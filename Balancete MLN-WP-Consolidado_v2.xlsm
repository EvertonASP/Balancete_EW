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slicers/slicer1.xml" ContentType="application/vnd.ms-excel.slicer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upoultracloud.sharepoint.com/sites/up-irpj-csll/IRPJ CSLL/13. Consultas e Projetos/10.0 Relação empresas Easy Way/Automação Balancetes EW/"/>
    </mc:Choice>
  </mc:AlternateContent>
  <xr:revisionPtr revIDLastSave="30" documentId="13_ncr:1_{2ADB7BC3-1894-45D1-833D-371A30917AE9}" xr6:coauthVersionLast="47" xr6:coauthVersionMax="47" xr10:uidLastSave="{84C8308E-B8BC-449C-8060-8023D62426DF}"/>
  <bookViews>
    <workbookView xWindow="-120" yWindow="-120" windowWidth="29040" windowHeight="15720" activeTab="2" xr2:uid="{91867752-21A2-4C6E-BDBE-7D0B2ACD3140}"/>
  </bookViews>
  <sheets>
    <sheet name="Dados" sheetId="15" r:id="rId1"/>
    <sheet name="Diretório" sheetId="5" r:id="rId2"/>
    <sheet name="Balancete MLN_WebPosto" sheetId="11" r:id="rId3"/>
    <sheet name="Balancete Oficial" sheetId="3" r:id="rId4"/>
  </sheets>
  <functionGroups builtInGroupCount="19"/>
  <definedNames>
    <definedName name="DadosExternos_1" localSheetId="1" hidden="1">Diretório!$B$2:$C$3</definedName>
    <definedName name="DadosExternos_2" localSheetId="2" hidden="1">'Balancete MLN_WebPosto'!$B$22:$J$2839</definedName>
    <definedName name="SegmentaçãodeDados_COD_EMPRESA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3" l="1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5" i="3"/>
  <c r="B11" i="3" l="1"/>
  <c r="B6" i="3"/>
  <c r="B7" i="3"/>
  <c r="B8" i="3"/>
  <c r="B9" i="3"/>
  <c r="B10" i="3"/>
  <c r="B21" i="3"/>
  <c r="B13" i="3"/>
  <c r="B14" i="3"/>
  <c r="B15" i="3"/>
  <c r="B29" i="3"/>
  <c r="B34" i="3"/>
  <c r="B18" i="3"/>
  <c r="B19" i="3"/>
  <c r="B20" i="3"/>
  <c r="B38" i="3"/>
  <c r="B22" i="3"/>
  <c r="B43" i="3"/>
  <c r="B46" i="3"/>
  <c r="B25" i="3"/>
  <c r="B26" i="3"/>
  <c r="B27" i="3"/>
  <c r="B49" i="3"/>
  <c r="B53" i="3"/>
  <c r="B62" i="3"/>
  <c r="B71" i="3"/>
  <c r="B32" i="3"/>
  <c r="B33" i="3"/>
  <c r="B78" i="3"/>
  <c r="B85" i="3"/>
  <c r="B89" i="3"/>
  <c r="B37" i="3"/>
  <c r="B93" i="3"/>
  <c r="B100" i="3"/>
  <c r="B106" i="3"/>
  <c r="B111" i="3"/>
  <c r="B42" i="3"/>
  <c r="B113" i="3"/>
  <c r="B117" i="3"/>
  <c r="B45" i="3"/>
  <c r="B121" i="3"/>
  <c r="B127" i="3"/>
  <c r="B134" i="3"/>
  <c r="B139" i="3"/>
  <c r="B143" i="3"/>
  <c r="B158" i="3"/>
  <c r="B179" i="3"/>
  <c r="B186" i="3"/>
  <c r="B192" i="3"/>
  <c r="B55" i="3"/>
  <c r="B56" i="3"/>
  <c r="B57" i="3"/>
  <c r="B58" i="3"/>
  <c r="B59" i="3"/>
  <c r="B196" i="3"/>
  <c r="B200" i="3"/>
  <c r="B203" i="3"/>
  <c r="B63" i="3"/>
  <c r="B205" i="3"/>
  <c r="B215" i="3"/>
  <c r="B66" i="3"/>
  <c r="B217" i="3"/>
  <c r="B68" i="3"/>
  <c r="B69" i="3"/>
  <c r="B70" i="3"/>
  <c r="B220" i="3"/>
  <c r="B225" i="3"/>
  <c r="B73" i="3"/>
  <c r="B231" i="3"/>
  <c r="B75" i="3"/>
  <c r="B76" i="3"/>
  <c r="B238" i="3"/>
  <c r="B240" i="3"/>
  <c r="B244" i="3"/>
  <c r="B80" i="3"/>
  <c r="B81" i="3"/>
  <c r="B82" i="3"/>
  <c r="B247" i="3"/>
  <c r="B250" i="3"/>
  <c r="B254" i="3"/>
  <c r="B257" i="3"/>
  <c r="B87" i="3"/>
  <c r="B260" i="3"/>
  <c r="B264" i="3"/>
  <c r="B268" i="3"/>
  <c r="B271" i="3"/>
  <c r="B12" i="3"/>
  <c r="B23" i="3"/>
  <c r="B94" i="3"/>
  <c r="B39" i="3"/>
  <c r="B47" i="3"/>
  <c r="B97" i="3"/>
  <c r="B98" i="3"/>
  <c r="B50" i="3"/>
  <c r="B54" i="3"/>
  <c r="B64" i="3"/>
  <c r="B72" i="3"/>
  <c r="B103" i="3"/>
  <c r="B104" i="3"/>
  <c r="B79" i="3"/>
  <c r="B90" i="3"/>
  <c r="B107" i="3"/>
  <c r="B95" i="3"/>
  <c r="B101" i="3"/>
  <c r="B108" i="3"/>
  <c r="B114" i="3"/>
  <c r="B122" i="3"/>
  <c r="B130" i="3"/>
  <c r="B135" i="3"/>
  <c r="B140" i="3"/>
  <c r="B148" i="3"/>
  <c r="B163" i="3"/>
  <c r="B180" i="3"/>
  <c r="B187" i="3"/>
  <c r="B120" i="3"/>
  <c r="B198" i="3"/>
  <c r="B201" i="3"/>
  <c r="B204" i="3"/>
  <c r="B124" i="3"/>
  <c r="B207" i="3"/>
  <c r="B126" i="3"/>
  <c r="B218" i="3"/>
  <c r="B128" i="3"/>
  <c r="B129" i="3"/>
  <c r="B227" i="3"/>
  <c r="B131" i="3"/>
  <c r="B232" i="3"/>
  <c r="B239" i="3"/>
  <c r="B245" i="3"/>
  <c r="B251" i="3"/>
  <c r="B255" i="3"/>
  <c r="B261" i="3"/>
  <c r="B138" i="3"/>
  <c r="B265" i="3"/>
  <c r="B269" i="3"/>
  <c r="B272" i="3"/>
  <c r="B274" i="3"/>
  <c r="B276" i="3"/>
  <c r="B144" i="3"/>
  <c r="B145" i="3"/>
  <c r="B146" i="3"/>
  <c r="B147" i="3"/>
  <c r="B16" i="3"/>
  <c r="B149" i="3"/>
  <c r="B150" i="3"/>
  <c r="B24" i="3"/>
  <c r="B152" i="3"/>
  <c r="B153" i="3"/>
  <c r="B154" i="3"/>
  <c r="B155" i="3"/>
  <c r="B156" i="3"/>
  <c r="B30" i="3"/>
  <c r="B35" i="3"/>
  <c r="B159" i="3"/>
  <c r="B160" i="3"/>
  <c r="B161" i="3"/>
  <c r="B162" i="3"/>
  <c r="B40" i="3"/>
  <c r="B164" i="3"/>
  <c r="B44" i="3"/>
  <c r="B166" i="3"/>
  <c r="B167" i="3"/>
  <c r="B168" i="3"/>
  <c r="B169" i="3"/>
  <c r="B170" i="3"/>
  <c r="B171" i="3"/>
  <c r="B172" i="3"/>
  <c r="B173" i="3"/>
  <c r="B174" i="3"/>
  <c r="B175" i="3"/>
  <c r="B48" i="3"/>
  <c r="B177" i="3"/>
  <c r="B178" i="3"/>
  <c r="B51" i="3"/>
  <c r="B60" i="3"/>
  <c r="B181" i="3"/>
  <c r="B182" i="3"/>
  <c r="B65" i="3"/>
  <c r="B74" i="3"/>
  <c r="B185" i="3"/>
  <c r="B83" i="3"/>
  <c r="B86" i="3"/>
  <c r="B91" i="3"/>
  <c r="B189" i="3"/>
  <c r="B96" i="3"/>
  <c r="B102" i="3"/>
  <c r="B109" i="3"/>
  <c r="B112" i="3"/>
  <c r="B194" i="3"/>
  <c r="B115" i="3"/>
  <c r="B118" i="3"/>
  <c r="B197" i="3"/>
  <c r="B123" i="3"/>
  <c r="B132" i="3"/>
  <c r="B136" i="3"/>
  <c r="B141" i="3"/>
  <c r="B151" i="3"/>
  <c r="B165" i="3"/>
  <c r="B183" i="3"/>
  <c r="B188" i="3"/>
  <c r="B206" i="3"/>
  <c r="B191" i="3"/>
  <c r="B193" i="3"/>
  <c r="B209" i="3"/>
  <c r="B210" i="3"/>
  <c r="B211" i="3"/>
  <c r="B212" i="3"/>
  <c r="B213" i="3"/>
  <c r="B214" i="3"/>
  <c r="B195" i="3"/>
  <c r="B199" i="3"/>
  <c r="B202" i="3"/>
  <c r="B208" i="3"/>
  <c r="B216" i="3"/>
  <c r="B219" i="3"/>
  <c r="B221" i="3"/>
  <c r="B222" i="3"/>
  <c r="B223" i="3"/>
  <c r="B224" i="3"/>
  <c r="B229" i="3"/>
  <c r="B226" i="3"/>
  <c r="B234" i="3"/>
  <c r="B228" i="3"/>
  <c r="B237" i="3"/>
  <c r="B230" i="3"/>
  <c r="B242" i="3"/>
  <c r="B243" i="3"/>
  <c r="B233" i="3"/>
  <c r="B246" i="3"/>
  <c r="B235" i="3"/>
  <c r="B236" i="3"/>
  <c r="B248" i="3"/>
  <c r="B252" i="3"/>
  <c r="B256" i="3"/>
  <c r="B258" i="3"/>
  <c r="B241" i="3"/>
  <c r="B262" i="3"/>
  <c r="B266" i="3"/>
  <c r="B270" i="3"/>
  <c r="B273" i="3"/>
  <c r="B275" i="3"/>
  <c r="B277" i="3"/>
  <c r="B17" i="3"/>
  <c r="B249" i="3"/>
  <c r="B28" i="3"/>
  <c r="B31" i="3"/>
  <c r="B36" i="3"/>
  <c r="B253" i="3"/>
  <c r="B41" i="3"/>
  <c r="B52" i="3"/>
  <c r="B61" i="3"/>
  <c r="B67" i="3"/>
  <c r="B77" i="3"/>
  <c r="B259" i="3"/>
  <c r="B84" i="3"/>
  <c r="B88" i="3"/>
  <c r="B92" i="3"/>
  <c r="B263" i="3"/>
  <c r="B99" i="3"/>
  <c r="B105" i="3"/>
  <c r="B110" i="3"/>
  <c r="B267" i="3"/>
  <c r="B116" i="3"/>
  <c r="B119" i="3"/>
  <c r="B125" i="3"/>
  <c r="B133" i="3"/>
  <c r="B137" i="3"/>
  <c r="B142" i="3"/>
  <c r="B157" i="3"/>
  <c r="B176" i="3"/>
  <c r="B184" i="3"/>
  <c r="B190" i="3"/>
  <c r="B278" i="3"/>
  <c r="B279" i="3"/>
  <c r="B280" i="3"/>
  <c r="B5" i="3"/>
  <c r="C265" i="3" l="1"/>
  <c r="C269" i="3"/>
  <c r="C147" i="3"/>
  <c r="C16" i="3"/>
  <c r="C155" i="3"/>
  <c r="C40" i="3"/>
  <c r="D164" i="3"/>
  <c r="E44" i="3"/>
  <c r="C171" i="3"/>
  <c r="C172" i="3"/>
  <c r="C51" i="3"/>
  <c r="C86" i="3"/>
  <c r="D91" i="3"/>
  <c r="C115" i="3"/>
  <c r="C118" i="3"/>
  <c r="E197" i="3"/>
  <c r="C165" i="3"/>
  <c r="E188" i="3"/>
  <c r="E212" i="3"/>
  <c r="E213" i="3"/>
  <c r="D216" i="3"/>
  <c r="E221" i="3"/>
  <c r="E237" i="3"/>
  <c r="D235" i="3"/>
  <c r="C236" i="3"/>
  <c r="E248" i="3"/>
  <c r="D266" i="3"/>
  <c r="E273" i="3"/>
  <c r="C31" i="3"/>
  <c r="D36" i="3"/>
  <c r="E253" i="3"/>
  <c r="C259" i="3"/>
  <c r="C84" i="3"/>
  <c r="E88" i="3"/>
  <c r="E119" i="3"/>
  <c r="C176" i="3"/>
  <c r="D184" i="3"/>
  <c r="E190" i="3"/>
  <c r="G2" i="11" a="1"/>
  <c r="G2" i="11" s="1"/>
  <c r="D154" i="3"/>
  <c r="C178" i="3"/>
  <c r="C210" i="3"/>
  <c r="C211" i="3"/>
  <c r="D234" i="3"/>
  <c r="D110" i="3"/>
  <c r="C267" i="3"/>
  <c r="C245" i="3"/>
  <c r="C251" i="3"/>
  <c r="C255" i="3"/>
  <c r="C261" i="3"/>
  <c r="C274" i="3"/>
  <c r="C276" i="3"/>
  <c r="C144" i="3"/>
  <c r="C145" i="3"/>
  <c r="C150" i="3"/>
  <c r="C24" i="3"/>
  <c r="C152" i="3"/>
  <c r="C153" i="3"/>
  <c r="C35" i="3"/>
  <c r="C159" i="3"/>
  <c r="C160" i="3"/>
  <c r="C161" i="3"/>
  <c r="C166" i="3"/>
  <c r="C167" i="3"/>
  <c r="C168" i="3"/>
  <c r="C169" i="3"/>
  <c r="C174" i="3"/>
  <c r="C175" i="3"/>
  <c r="C48" i="3"/>
  <c r="C177" i="3"/>
  <c r="C182" i="3"/>
  <c r="C65" i="3"/>
  <c r="C74" i="3"/>
  <c r="C185" i="3"/>
  <c r="C91" i="3"/>
  <c r="C96" i="3"/>
  <c r="C102" i="3"/>
  <c r="C109" i="3"/>
  <c r="C112" i="3"/>
  <c r="C123" i="3"/>
  <c r="C132" i="3"/>
  <c r="C136" i="3"/>
  <c r="C141" i="3"/>
  <c r="C206" i="3"/>
  <c r="C191" i="3"/>
  <c r="C193" i="3"/>
  <c r="C209" i="3"/>
  <c r="C214" i="3"/>
  <c r="C195" i="3"/>
  <c r="C199" i="3"/>
  <c r="C202" i="3"/>
  <c r="C216" i="3"/>
  <c r="C222" i="3"/>
  <c r="C223" i="3"/>
  <c r="C224" i="3"/>
  <c r="C229" i="3"/>
  <c r="C230" i="3"/>
  <c r="C242" i="3"/>
  <c r="C243" i="3"/>
  <c r="C233" i="3"/>
  <c r="C252" i="3"/>
  <c r="C256" i="3"/>
  <c r="C258" i="3"/>
  <c r="C241" i="3"/>
  <c r="C275" i="3"/>
  <c r="C277" i="3"/>
  <c r="C17" i="3"/>
  <c r="C249" i="3"/>
  <c r="C41" i="3"/>
  <c r="C52" i="3"/>
  <c r="C61" i="3"/>
  <c r="C67" i="3"/>
  <c r="C92" i="3"/>
  <c r="C263" i="3"/>
  <c r="C99" i="3"/>
  <c r="C105" i="3"/>
  <c r="C125" i="3"/>
  <c r="C133" i="3"/>
  <c r="C137" i="3"/>
  <c r="C142" i="3"/>
  <c r="C184" i="3"/>
  <c r="C278" i="3"/>
  <c r="C279" i="3"/>
  <c r="C280" i="3"/>
  <c r="D245" i="3"/>
  <c r="D251" i="3"/>
  <c r="D255" i="3"/>
  <c r="D261" i="3"/>
  <c r="D265" i="3"/>
  <c r="D274" i="3"/>
  <c r="D276" i="3"/>
  <c r="D144" i="3"/>
  <c r="D145" i="3"/>
  <c r="D150" i="3"/>
  <c r="D24" i="3"/>
  <c r="D152" i="3"/>
  <c r="D153" i="3"/>
  <c r="D35" i="3"/>
  <c r="D159" i="3"/>
  <c r="D160" i="3"/>
  <c r="D161" i="3"/>
  <c r="D166" i="3"/>
  <c r="D167" i="3"/>
  <c r="D168" i="3"/>
  <c r="D169" i="3"/>
  <c r="D174" i="3"/>
  <c r="D175" i="3"/>
  <c r="D48" i="3"/>
  <c r="D177" i="3"/>
  <c r="D182" i="3"/>
  <c r="D65" i="3"/>
  <c r="D74" i="3"/>
  <c r="D185" i="3"/>
  <c r="D96" i="3"/>
  <c r="D102" i="3"/>
  <c r="D109" i="3"/>
  <c r="D112" i="3"/>
  <c r="D123" i="3"/>
  <c r="D132" i="3"/>
  <c r="D136" i="3"/>
  <c r="D141" i="3"/>
  <c r="D206" i="3"/>
  <c r="D191" i="3"/>
  <c r="D193" i="3"/>
  <c r="D209" i="3"/>
  <c r="D212" i="3"/>
  <c r="D214" i="3"/>
  <c r="D195" i="3"/>
  <c r="D199" i="3"/>
  <c r="D202" i="3"/>
  <c r="D222" i="3"/>
  <c r="D223" i="3"/>
  <c r="D224" i="3"/>
  <c r="D229" i="3"/>
  <c r="D230" i="3"/>
  <c r="D242" i="3"/>
  <c r="D243" i="3"/>
  <c r="D233" i="3"/>
  <c r="D252" i="3"/>
  <c r="D256" i="3"/>
  <c r="D258" i="3"/>
  <c r="D241" i="3"/>
  <c r="D275" i="3"/>
  <c r="D277" i="3"/>
  <c r="D17" i="3"/>
  <c r="D249" i="3"/>
  <c r="D41" i="3"/>
  <c r="D52" i="3"/>
  <c r="D61" i="3"/>
  <c r="D67" i="3"/>
  <c r="D92" i="3"/>
  <c r="D263" i="3"/>
  <c r="D99" i="3"/>
  <c r="D105" i="3"/>
  <c r="D125" i="3"/>
  <c r="D133" i="3"/>
  <c r="D137" i="3"/>
  <c r="D142" i="3"/>
  <c r="D278" i="3"/>
  <c r="D279" i="3"/>
  <c r="D280" i="3"/>
  <c r="E245" i="3"/>
  <c r="E251" i="3"/>
  <c r="E255" i="3"/>
  <c r="E261" i="3"/>
  <c r="E265" i="3"/>
  <c r="E274" i="3"/>
  <c r="E276" i="3"/>
  <c r="E144" i="3"/>
  <c r="E145" i="3"/>
  <c r="E147" i="3"/>
  <c r="E150" i="3"/>
  <c r="E24" i="3"/>
  <c r="E152" i="3"/>
  <c r="E153" i="3"/>
  <c r="E155" i="3"/>
  <c r="E156" i="3"/>
  <c r="E35" i="3"/>
  <c r="E159" i="3"/>
  <c r="E160" i="3"/>
  <c r="E161" i="3"/>
  <c r="E40" i="3"/>
  <c r="E164" i="3"/>
  <c r="E166" i="3"/>
  <c r="E167" i="3"/>
  <c r="E168" i="3"/>
  <c r="E169" i="3"/>
  <c r="E171" i="3"/>
  <c r="E172" i="3"/>
  <c r="E174" i="3"/>
  <c r="E175" i="3"/>
  <c r="E48" i="3"/>
  <c r="E177" i="3"/>
  <c r="E51" i="3"/>
  <c r="E182" i="3"/>
  <c r="E65" i="3"/>
  <c r="E74" i="3"/>
  <c r="E185" i="3"/>
  <c r="E86" i="3"/>
  <c r="E91" i="3"/>
  <c r="E96" i="3"/>
  <c r="E102" i="3"/>
  <c r="E109" i="3"/>
  <c r="E112" i="3"/>
  <c r="E115" i="3"/>
  <c r="E118" i="3"/>
  <c r="E123" i="3"/>
  <c r="E132" i="3"/>
  <c r="E136" i="3"/>
  <c r="E141" i="3"/>
  <c r="E165" i="3"/>
  <c r="E183" i="3"/>
  <c r="E206" i="3"/>
  <c r="E191" i="3"/>
  <c r="E193" i="3"/>
  <c r="E209" i="3"/>
  <c r="E211" i="3"/>
  <c r="E214" i="3"/>
  <c r="E195" i="3"/>
  <c r="E199" i="3"/>
  <c r="E202" i="3"/>
  <c r="E216" i="3"/>
  <c r="E219" i="3"/>
  <c r="E222" i="3"/>
  <c r="E223" i="3"/>
  <c r="E224" i="3"/>
  <c r="E229" i="3"/>
  <c r="E234" i="3"/>
  <c r="E228" i="3"/>
  <c r="E230" i="3"/>
  <c r="E242" i="3"/>
  <c r="E243" i="3"/>
  <c r="E233" i="3"/>
  <c r="E235" i="3"/>
  <c r="E236" i="3"/>
  <c r="E252" i="3"/>
  <c r="E256" i="3"/>
  <c r="E258" i="3"/>
  <c r="E241" i="3"/>
  <c r="E266" i="3"/>
  <c r="E275" i="3"/>
  <c r="E277" i="3"/>
  <c r="E17" i="3"/>
  <c r="E249" i="3"/>
  <c r="E31" i="3"/>
  <c r="E36" i="3"/>
  <c r="E41" i="3"/>
  <c r="E52" i="3"/>
  <c r="E61" i="3"/>
  <c r="E67" i="3"/>
  <c r="E259" i="3"/>
  <c r="E84" i="3"/>
  <c r="E92" i="3"/>
  <c r="E263" i="3"/>
  <c r="E99" i="3"/>
  <c r="E105" i="3"/>
  <c r="E267" i="3"/>
  <c r="E116" i="3"/>
  <c r="E125" i="3"/>
  <c r="E133" i="3"/>
  <c r="E137" i="3"/>
  <c r="E142" i="3"/>
  <c r="E176" i="3"/>
  <c r="E278" i="3"/>
  <c r="E279" i="3"/>
  <c r="E280" i="3"/>
  <c r="C126" i="3"/>
  <c r="C218" i="3"/>
  <c r="D131" i="3"/>
  <c r="M5" i="3" l="1"/>
  <c r="T6" i="3"/>
  <c r="T7" i="3"/>
  <c r="T8" i="3"/>
  <c r="T9" i="3"/>
  <c r="T10" i="3"/>
  <c r="T11" i="3"/>
  <c r="T12" i="3"/>
  <c r="T13" i="3"/>
  <c r="S14" i="3"/>
  <c r="S15" i="3"/>
  <c r="S16" i="3"/>
  <c r="S17" i="3"/>
  <c r="S18" i="3"/>
  <c r="S19" i="3"/>
  <c r="S20" i="3"/>
  <c r="S21" i="3"/>
  <c r="R22" i="3"/>
  <c r="Q23" i="3"/>
  <c r="Q24" i="3"/>
  <c r="Q25" i="3"/>
  <c r="Q26" i="3"/>
  <c r="Q27" i="3"/>
  <c r="Q28" i="3"/>
  <c r="Q29" i="3"/>
  <c r="Q30" i="3"/>
  <c r="P31" i="3"/>
  <c r="P32" i="3"/>
  <c r="P33" i="3"/>
  <c r="P34" i="3"/>
  <c r="P35" i="3"/>
  <c r="P36" i="3"/>
  <c r="P37" i="3"/>
  <c r="P38" i="3"/>
  <c r="O39" i="3"/>
  <c r="O40" i="3"/>
  <c r="O41" i="3"/>
  <c r="O42" i="3"/>
  <c r="O43" i="3"/>
  <c r="O44" i="3"/>
  <c r="O45" i="3"/>
  <c r="O46" i="3"/>
  <c r="N47" i="3"/>
  <c r="N48" i="3"/>
  <c r="N49" i="3"/>
  <c r="N50" i="3"/>
  <c r="N51" i="3"/>
  <c r="N52" i="3"/>
  <c r="N53" i="3"/>
  <c r="N54" i="3"/>
  <c r="M55" i="3"/>
  <c r="M56" i="3"/>
  <c r="M57" i="3"/>
  <c r="M58" i="3"/>
  <c r="M59" i="3"/>
  <c r="M60" i="3"/>
  <c r="M61" i="3"/>
  <c r="M62" i="3"/>
  <c r="U62" i="3"/>
  <c r="U63" i="3"/>
  <c r="U64" i="3"/>
  <c r="U65" i="3"/>
  <c r="U66" i="3"/>
  <c r="U67" i="3"/>
  <c r="U68" i="3"/>
  <c r="U69" i="3"/>
  <c r="T70" i="3"/>
  <c r="T71" i="3"/>
  <c r="T72" i="3"/>
  <c r="T73" i="3"/>
  <c r="T74" i="3"/>
  <c r="T75" i="3"/>
  <c r="T76" i="3"/>
  <c r="T77" i="3"/>
  <c r="S78" i="3"/>
  <c r="S79" i="3"/>
  <c r="S80" i="3"/>
  <c r="S81" i="3"/>
  <c r="S82" i="3"/>
  <c r="S83" i="3"/>
  <c r="S84" i="3"/>
  <c r="S85" i="3"/>
  <c r="M6" i="3"/>
  <c r="U6" i="3"/>
  <c r="U7" i="3"/>
  <c r="U8" i="3"/>
  <c r="U9" i="3"/>
  <c r="U10" i="3"/>
  <c r="U11" i="3"/>
  <c r="U12" i="3"/>
  <c r="U13" i="3"/>
  <c r="T14" i="3"/>
  <c r="T15" i="3"/>
  <c r="T16" i="3"/>
  <c r="T17" i="3"/>
  <c r="T18" i="3"/>
  <c r="T19" i="3"/>
  <c r="T20" i="3"/>
  <c r="T21" i="3"/>
  <c r="S22" i="3"/>
  <c r="S23" i="3"/>
  <c r="S24" i="3"/>
  <c r="S25" i="3"/>
  <c r="S26" i="3"/>
  <c r="S27" i="3"/>
  <c r="S28" i="3"/>
  <c r="S29" i="3"/>
  <c r="R30" i="3"/>
  <c r="Q31" i="3"/>
  <c r="Q32" i="3"/>
  <c r="Q33" i="3"/>
  <c r="Q34" i="3"/>
  <c r="Q35" i="3"/>
  <c r="Q36" i="3"/>
  <c r="Q37" i="3"/>
  <c r="Q38" i="3"/>
  <c r="P39" i="3"/>
  <c r="P40" i="3"/>
  <c r="P41" i="3"/>
  <c r="P42" i="3"/>
  <c r="P43" i="3"/>
  <c r="P44" i="3"/>
  <c r="P45" i="3"/>
  <c r="P46" i="3"/>
  <c r="O47" i="3"/>
  <c r="O48" i="3"/>
  <c r="O49" i="3"/>
  <c r="O50" i="3"/>
  <c r="O51" i="3"/>
  <c r="O52" i="3"/>
  <c r="O53" i="3"/>
  <c r="O54" i="3"/>
  <c r="N55" i="3"/>
  <c r="N56" i="3"/>
  <c r="N57" i="3"/>
  <c r="N58" i="3"/>
  <c r="N59" i="3"/>
  <c r="N60" i="3"/>
  <c r="N61" i="3"/>
  <c r="N62" i="3"/>
  <c r="M63" i="3"/>
  <c r="M64" i="3"/>
  <c r="M65" i="3"/>
  <c r="M66" i="3"/>
  <c r="M67" i="3"/>
  <c r="M68" i="3"/>
  <c r="M69" i="3"/>
  <c r="M70" i="3"/>
  <c r="U70" i="3"/>
  <c r="U71" i="3"/>
  <c r="U72" i="3"/>
  <c r="U73" i="3"/>
  <c r="U74" i="3"/>
  <c r="U75" i="3"/>
  <c r="U76" i="3"/>
  <c r="U77" i="3"/>
  <c r="T78" i="3"/>
  <c r="T79" i="3"/>
  <c r="T80" i="3"/>
  <c r="T81" i="3"/>
  <c r="T82" i="3"/>
  <c r="T83" i="3"/>
  <c r="T84" i="3"/>
  <c r="T85" i="3"/>
  <c r="S86" i="3"/>
  <c r="S87" i="3"/>
  <c r="S88" i="3"/>
  <c r="N6" i="3"/>
  <c r="M7" i="3"/>
  <c r="M8" i="3"/>
  <c r="M9" i="3"/>
  <c r="M10" i="3"/>
  <c r="M11" i="3"/>
  <c r="M12" i="3"/>
  <c r="M13" i="3"/>
  <c r="M14" i="3"/>
  <c r="U14" i="3"/>
  <c r="U15" i="3"/>
  <c r="U16" i="3"/>
  <c r="U17" i="3"/>
  <c r="U18" i="3"/>
  <c r="U19" i="3"/>
  <c r="U20" i="3"/>
  <c r="U21" i="3"/>
  <c r="T22" i="3"/>
  <c r="T23" i="3"/>
  <c r="T24" i="3"/>
  <c r="T25" i="3"/>
  <c r="T26" i="3"/>
  <c r="T27" i="3"/>
  <c r="T28" i="3"/>
  <c r="T29" i="3"/>
  <c r="S30" i="3"/>
  <c r="S31" i="3"/>
  <c r="S32" i="3"/>
  <c r="S33" i="3"/>
  <c r="S34" i="3"/>
  <c r="S35" i="3"/>
  <c r="S36" i="3"/>
  <c r="S37" i="3"/>
  <c r="R38" i="3"/>
  <c r="Q39" i="3"/>
  <c r="Q40" i="3"/>
  <c r="Q41" i="3"/>
  <c r="Q42" i="3"/>
  <c r="Q43" i="3"/>
  <c r="Q44" i="3"/>
  <c r="Q45" i="3"/>
  <c r="Q46" i="3"/>
  <c r="P47" i="3"/>
  <c r="P48" i="3"/>
  <c r="P49" i="3"/>
  <c r="P50" i="3"/>
  <c r="P51" i="3"/>
  <c r="P52" i="3"/>
  <c r="P53" i="3"/>
  <c r="P54" i="3"/>
  <c r="O55" i="3"/>
  <c r="O56" i="3"/>
  <c r="O57" i="3"/>
  <c r="O58" i="3"/>
  <c r="O59" i="3"/>
  <c r="O60" i="3"/>
  <c r="O61" i="3"/>
  <c r="O62" i="3"/>
  <c r="N63" i="3"/>
  <c r="N64" i="3"/>
  <c r="O6" i="3"/>
  <c r="N7" i="3"/>
  <c r="N8" i="3"/>
  <c r="N9" i="3"/>
  <c r="N10" i="3"/>
  <c r="N11" i="3"/>
  <c r="N12" i="3"/>
  <c r="N13" i="3"/>
  <c r="N14" i="3"/>
  <c r="M15" i="3"/>
  <c r="M16" i="3"/>
  <c r="M17" i="3"/>
  <c r="M18" i="3"/>
  <c r="M19" i="3"/>
  <c r="M20" i="3"/>
  <c r="M21" i="3"/>
  <c r="M22" i="3"/>
  <c r="U22" i="3"/>
  <c r="U23" i="3"/>
  <c r="U24" i="3"/>
  <c r="U25" i="3"/>
  <c r="U26" i="3"/>
  <c r="U27" i="3"/>
  <c r="U28" i="3"/>
  <c r="U29" i="3"/>
  <c r="T30" i="3"/>
  <c r="T31" i="3"/>
  <c r="T32" i="3"/>
  <c r="T33" i="3"/>
  <c r="T34" i="3"/>
  <c r="T35" i="3"/>
  <c r="T36" i="3"/>
  <c r="T37" i="3"/>
  <c r="S38" i="3"/>
  <c r="S39" i="3"/>
  <c r="S40" i="3"/>
  <c r="S41" i="3"/>
  <c r="S42" i="3"/>
  <c r="S43" i="3"/>
  <c r="S44" i="3"/>
  <c r="S45" i="3"/>
  <c r="R46" i="3"/>
  <c r="Q47" i="3"/>
  <c r="Q48" i="3"/>
  <c r="Q49" i="3"/>
  <c r="Q50" i="3"/>
  <c r="Q51" i="3"/>
  <c r="Q52" i="3"/>
  <c r="Q53" i="3"/>
  <c r="Q54" i="3"/>
  <c r="P55" i="3"/>
  <c r="P56" i="3"/>
  <c r="P57" i="3"/>
  <c r="P58" i="3"/>
  <c r="P59" i="3"/>
  <c r="P60" i="3"/>
  <c r="P61" i="3"/>
  <c r="P62" i="3"/>
  <c r="O63" i="3"/>
  <c r="O64" i="3"/>
  <c r="O65" i="3"/>
  <c r="O66" i="3"/>
  <c r="O67" i="3"/>
  <c r="O68" i="3"/>
  <c r="O69" i="3"/>
  <c r="O70" i="3"/>
  <c r="N71" i="3"/>
  <c r="N72" i="3"/>
  <c r="N73" i="3"/>
  <c r="N74" i="3"/>
  <c r="N75" i="3"/>
  <c r="N76" i="3"/>
  <c r="N77" i="3"/>
  <c r="N78" i="3"/>
  <c r="M79" i="3"/>
  <c r="M80" i="3"/>
  <c r="M81" i="3"/>
  <c r="M82" i="3"/>
  <c r="M83" i="3"/>
  <c r="M84" i="3"/>
  <c r="M85" i="3"/>
  <c r="M86" i="3"/>
  <c r="U86" i="3"/>
  <c r="P6" i="3"/>
  <c r="O7" i="3"/>
  <c r="O8" i="3"/>
  <c r="O9" i="3"/>
  <c r="O10" i="3"/>
  <c r="O11" i="3"/>
  <c r="O12" i="3"/>
  <c r="O13" i="3"/>
  <c r="O14" i="3"/>
  <c r="N15" i="3"/>
  <c r="N16" i="3"/>
  <c r="N17" i="3"/>
  <c r="N18" i="3"/>
  <c r="N19" i="3"/>
  <c r="N20" i="3"/>
  <c r="N21" i="3"/>
  <c r="N22" i="3"/>
  <c r="M23" i="3"/>
  <c r="M24" i="3"/>
  <c r="M25" i="3"/>
  <c r="M26" i="3"/>
  <c r="M27" i="3"/>
  <c r="M28" i="3"/>
  <c r="M29" i="3"/>
  <c r="M30" i="3"/>
  <c r="U30" i="3"/>
  <c r="U31" i="3"/>
  <c r="U32" i="3"/>
  <c r="U33" i="3"/>
  <c r="U34" i="3"/>
  <c r="U35" i="3"/>
  <c r="U36" i="3"/>
  <c r="U37" i="3"/>
  <c r="T38" i="3"/>
  <c r="T39" i="3"/>
  <c r="T40" i="3"/>
  <c r="T41" i="3"/>
  <c r="T42" i="3"/>
  <c r="T43" i="3"/>
  <c r="T44" i="3"/>
  <c r="T45" i="3"/>
  <c r="S46" i="3"/>
  <c r="S47" i="3"/>
  <c r="S48" i="3"/>
  <c r="S49" i="3"/>
  <c r="S50" i="3"/>
  <c r="S51" i="3"/>
  <c r="S52" i="3"/>
  <c r="S53" i="3"/>
  <c r="R54" i="3"/>
  <c r="Q55" i="3"/>
  <c r="Q56" i="3"/>
  <c r="Q57" i="3"/>
  <c r="Q58" i="3"/>
  <c r="Q59" i="3"/>
  <c r="Q60" i="3"/>
  <c r="Q61" i="3"/>
  <c r="Q62" i="3"/>
  <c r="P63" i="3"/>
  <c r="P64" i="3"/>
  <c r="P65" i="3"/>
  <c r="P66" i="3"/>
  <c r="P67" i="3"/>
  <c r="P68" i="3"/>
  <c r="P69" i="3"/>
  <c r="P70" i="3"/>
  <c r="O71" i="3"/>
  <c r="O72" i="3"/>
  <c r="O73" i="3"/>
  <c r="O74" i="3"/>
  <c r="O75" i="3"/>
  <c r="O76" i="3"/>
  <c r="O77" i="3"/>
  <c r="O78" i="3"/>
  <c r="N79" i="3"/>
  <c r="N80" i="3"/>
  <c r="N81" i="3"/>
  <c r="N82" i="3"/>
  <c r="N83" i="3"/>
  <c r="N84" i="3"/>
  <c r="N85" i="3"/>
  <c r="Q6" i="3"/>
  <c r="P7" i="3"/>
  <c r="P8" i="3"/>
  <c r="P9" i="3"/>
  <c r="P10" i="3"/>
  <c r="P11" i="3"/>
  <c r="P12" i="3"/>
  <c r="P13" i="3"/>
  <c r="P14" i="3"/>
  <c r="O15" i="3"/>
  <c r="O16" i="3"/>
  <c r="O17" i="3"/>
  <c r="O18" i="3"/>
  <c r="O19" i="3"/>
  <c r="O20" i="3"/>
  <c r="O21" i="3"/>
  <c r="O22" i="3"/>
  <c r="N23" i="3"/>
  <c r="N24" i="3"/>
  <c r="N25" i="3"/>
  <c r="N26" i="3"/>
  <c r="N27" i="3"/>
  <c r="N28" i="3"/>
  <c r="N29" i="3"/>
  <c r="N30" i="3"/>
  <c r="M31" i="3"/>
  <c r="M32" i="3"/>
  <c r="M33" i="3"/>
  <c r="M34" i="3"/>
  <c r="M35" i="3"/>
  <c r="M36" i="3"/>
  <c r="M37" i="3"/>
  <c r="M38" i="3"/>
  <c r="U38" i="3"/>
  <c r="U39" i="3"/>
  <c r="U40" i="3"/>
  <c r="U41" i="3"/>
  <c r="U42" i="3"/>
  <c r="U43" i="3"/>
  <c r="U44" i="3"/>
  <c r="U45" i="3"/>
  <c r="T46" i="3"/>
  <c r="T47" i="3"/>
  <c r="T48" i="3"/>
  <c r="T49" i="3"/>
  <c r="T50" i="3"/>
  <c r="T51" i="3"/>
  <c r="T52" i="3"/>
  <c r="T53" i="3"/>
  <c r="S54" i="3"/>
  <c r="S55" i="3"/>
  <c r="S56" i="3"/>
  <c r="S57" i="3"/>
  <c r="S58" i="3"/>
  <c r="S59" i="3"/>
  <c r="S60" i="3"/>
  <c r="S61" i="3"/>
  <c r="R62" i="3"/>
  <c r="Q63" i="3"/>
  <c r="Q64" i="3"/>
  <c r="Q65" i="3"/>
  <c r="R6" i="3"/>
  <c r="Q7" i="3"/>
  <c r="Q8" i="3"/>
  <c r="Q9" i="3"/>
  <c r="Q10" i="3"/>
  <c r="Q11" i="3"/>
  <c r="Q12" i="3"/>
  <c r="Q13" i="3"/>
  <c r="Q14" i="3"/>
  <c r="P15" i="3"/>
  <c r="P16" i="3"/>
  <c r="P17" i="3"/>
  <c r="P18" i="3"/>
  <c r="P19" i="3"/>
  <c r="P20" i="3"/>
  <c r="P21" i="3"/>
  <c r="P22" i="3"/>
  <c r="O23" i="3"/>
  <c r="O24" i="3"/>
  <c r="O25" i="3"/>
  <c r="O26" i="3"/>
  <c r="O27" i="3"/>
  <c r="O28" i="3"/>
  <c r="O29" i="3"/>
  <c r="O30" i="3"/>
  <c r="N31" i="3"/>
  <c r="N32" i="3"/>
  <c r="N33" i="3"/>
  <c r="N34" i="3"/>
  <c r="N35" i="3"/>
  <c r="N36" i="3"/>
  <c r="N37" i="3"/>
  <c r="N38" i="3"/>
  <c r="M39" i="3"/>
  <c r="M40" i="3"/>
  <c r="M41" i="3"/>
  <c r="M42" i="3"/>
  <c r="M43" i="3"/>
  <c r="M44" i="3"/>
  <c r="M45" i="3"/>
  <c r="M46" i="3"/>
  <c r="U46" i="3"/>
  <c r="U47" i="3"/>
  <c r="S6" i="3"/>
  <c r="R14" i="3"/>
  <c r="Q22" i="3"/>
  <c r="P30" i="3"/>
  <c r="O38" i="3"/>
  <c r="N46" i="3"/>
  <c r="M51" i="3"/>
  <c r="U54" i="3"/>
  <c r="U58" i="3"/>
  <c r="T62" i="3"/>
  <c r="N66" i="3"/>
  <c r="N68" i="3"/>
  <c r="N70" i="3"/>
  <c r="M72" i="3"/>
  <c r="M74" i="3"/>
  <c r="M76" i="3"/>
  <c r="M78" i="3"/>
  <c r="U79" i="3"/>
  <c r="U81" i="3"/>
  <c r="U83" i="3"/>
  <c r="U85" i="3"/>
  <c r="N87" i="3"/>
  <c r="O88" i="3"/>
  <c r="P89" i="3"/>
  <c r="P90" i="3"/>
  <c r="P91" i="3"/>
  <c r="P92" i="3"/>
  <c r="P93" i="3"/>
  <c r="P94" i="3"/>
  <c r="O95" i="3"/>
  <c r="O96" i="3"/>
  <c r="O97" i="3"/>
  <c r="O98" i="3"/>
  <c r="O99" i="3"/>
  <c r="O100" i="3"/>
  <c r="O101" i="3"/>
  <c r="O102" i="3"/>
  <c r="N103" i="3"/>
  <c r="N104" i="3"/>
  <c r="N105" i="3"/>
  <c r="N106" i="3"/>
  <c r="N107" i="3"/>
  <c r="N108" i="3"/>
  <c r="N109" i="3"/>
  <c r="N110" i="3"/>
  <c r="M111" i="3"/>
  <c r="M112" i="3"/>
  <c r="M113" i="3"/>
  <c r="M114" i="3"/>
  <c r="M115" i="3"/>
  <c r="M116" i="3"/>
  <c r="M117" i="3"/>
  <c r="M118" i="3"/>
  <c r="U118" i="3"/>
  <c r="U119" i="3"/>
  <c r="U120" i="3"/>
  <c r="U121" i="3"/>
  <c r="U122" i="3"/>
  <c r="U123" i="3"/>
  <c r="U124" i="3"/>
  <c r="U125" i="3"/>
  <c r="T126" i="3"/>
  <c r="T127" i="3"/>
  <c r="T128" i="3"/>
  <c r="T129" i="3"/>
  <c r="T130" i="3"/>
  <c r="T131" i="3"/>
  <c r="T132" i="3"/>
  <c r="T133" i="3"/>
  <c r="S134" i="3"/>
  <c r="S135" i="3"/>
  <c r="S136" i="3"/>
  <c r="S137" i="3"/>
  <c r="S138" i="3"/>
  <c r="S139" i="3"/>
  <c r="S140" i="3"/>
  <c r="S141" i="3"/>
  <c r="R142" i="3"/>
  <c r="Q143" i="3"/>
  <c r="Q144" i="3"/>
  <c r="Q145" i="3"/>
  <c r="Q146" i="3"/>
  <c r="Q147" i="3"/>
  <c r="Q148" i="3"/>
  <c r="Q149" i="3"/>
  <c r="S7" i="3"/>
  <c r="Q15" i="3"/>
  <c r="P23" i="3"/>
  <c r="O31" i="3"/>
  <c r="N39" i="3"/>
  <c r="M47" i="3"/>
  <c r="U51" i="3"/>
  <c r="T55" i="3"/>
  <c r="T59" i="3"/>
  <c r="S63" i="3"/>
  <c r="Q66" i="3"/>
  <c r="Q68" i="3"/>
  <c r="Q70" i="3"/>
  <c r="P72" i="3"/>
  <c r="P74" i="3"/>
  <c r="P76" i="3"/>
  <c r="P78" i="3"/>
  <c r="O80" i="3"/>
  <c r="O82" i="3"/>
  <c r="O84" i="3"/>
  <c r="N86" i="3"/>
  <c r="O87" i="3"/>
  <c r="P88" i="3"/>
  <c r="Q89" i="3"/>
  <c r="Q90" i="3"/>
  <c r="Q91" i="3"/>
  <c r="Q92" i="3"/>
  <c r="Q93" i="3"/>
  <c r="Q94" i="3"/>
  <c r="P95" i="3"/>
  <c r="P96" i="3"/>
  <c r="P97" i="3"/>
  <c r="P98" i="3"/>
  <c r="P99" i="3"/>
  <c r="P100" i="3"/>
  <c r="P101" i="3"/>
  <c r="P102" i="3"/>
  <c r="O103" i="3"/>
  <c r="O104" i="3"/>
  <c r="O105" i="3"/>
  <c r="O106" i="3"/>
  <c r="O107" i="3"/>
  <c r="O108" i="3"/>
  <c r="O109" i="3"/>
  <c r="O110" i="3"/>
  <c r="N111" i="3"/>
  <c r="N112" i="3"/>
  <c r="N113" i="3"/>
  <c r="N114" i="3"/>
  <c r="N115" i="3"/>
  <c r="N116" i="3"/>
  <c r="S8" i="3"/>
  <c r="Q16" i="3"/>
  <c r="P24" i="3"/>
  <c r="O32" i="3"/>
  <c r="N40" i="3"/>
  <c r="M48" i="3"/>
  <c r="M52" i="3"/>
  <c r="U55" i="3"/>
  <c r="U59" i="3"/>
  <c r="T63" i="3"/>
  <c r="S66" i="3"/>
  <c r="S68" i="3"/>
  <c r="R70" i="3"/>
  <c r="Q72" i="3"/>
  <c r="Q74" i="3"/>
  <c r="Q76" i="3"/>
  <c r="Q78" i="3"/>
  <c r="P80" i="3"/>
  <c r="P82" i="3"/>
  <c r="P84" i="3"/>
  <c r="O86" i="3"/>
  <c r="P87" i="3"/>
  <c r="Q88" i="3"/>
  <c r="S89" i="3"/>
  <c r="S90" i="3"/>
  <c r="S91" i="3"/>
  <c r="S92" i="3"/>
  <c r="S93" i="3"/>
  <c r="R94" i="3"/>
  <c r="Q95" i="3"/>
  <c r="Q96" i="3"/>
  <c r="Q97" i="3"/>
  <c r="Q98" i="3"/>
  <c r="Q99" i="3"/>
  <c r="Q100" i="3"/>
  <c r="Q101" i="3"/>
  <c r="Q102" i="3"/>
  <c r="P103" i="3"/>
  <c r="P104" i="3"/>
  <c r="P105" i="3"/>
  <c r="P106" i="3"/>
  <c r="P107" i="3"/>
  <c r="P108" i="3"/>
  <c r="P109" i="3"/>
  <c r="P110" i="3"/>
  <c r="O111" i="3"/>
  <c r="O112" i="3"/>
  <c r="O113" i="3"/>
  <c r="O114" i="3"/>
  <c r="O115" i="3"/>
  <c r="O116" i="3"/>
  <c r="O117" i="3"/>
  <c r="O118" i="3"/>
  <c r="N119" i="3"/>
  <c r="N120" i="3"/>
  <c r="N121" i="3"/>
  <c r="N122" i="3"/>
  <c r="N123" i="3"/>
  <c r="N124" i="3"/>
  <c r="N125" i="3"/>
  <c r="N126" i="3"/>
  <c r="M127" i="3"/>
  <c r="M128" i="3"/>
  <c r="M129" i="3"/>
  <c r="M130" i="3"/>
  <c r="M131" i="3"/>
  <c r="M132" i="3"/>
  <c r="M133" i="3"/>
  <c r="S9" i="3"/>
  <c r="Q17" i="3"/>
  <c r="P25" i="3"/>
  <c r="O33" i="3"/>
  <c r="N41" i="3"/>
  <c r="U48" i="3"/>
  <c r="U52" i="3"/>
  <c r="T56" i="3"/>
  <c r="T60" i="3"/>
  <c r="S64" i="3"/>
  <c r="T66" i="3"/>
  <c r="T68" i="3"/>
  <c r="S70" i="3"/>
  <c r="S72" i="3"/>
  <c r="S74" i="3"/>
  <c r="S76" i="3"/>
  <c r="R78" i="3"/>
  <c r="Q80" i="3"/>
  <c r="Q82" i="3"/>
  <c r="Q84" i="3"/>
  <c r="P86" i="3"/>
  <c r="Q87" i="3"/>
  <c r="T88" i="3"/>
  <c r="T89" i="3"/>
  <c r="T90" i="3"/>
  <c r="T91" i="3"/>
  <c r="T92" i="3"/>
  <c r="T93" i="3"/>
  <c r="S94" i="3"/>
  <c r="S95" i="3"/>
  <c r="S96" i="3"/>
  <c r="S97" i="3"/>
  <c r="S98" i="3"/>
  <c r="S99" i="3"/>
  <c r="S100" i="3"/>
  <c r="S101" i="3"/>
  <c r="R102" i="3"/>
  <c r="Q103" i="3"/>
  <c r="Q104" i="3"/>
  <c r="Q105" i="3"/>
  <c r="Q106" i="3"/>
  <c r="Q107" i="3"/>
  <c r="Q108" i="3"/>
  <c r="Q109" i="3"/>
  <c r="Q110" i="3"/>
  <c r="P111" i="3"/>
  <c r="P112" i="3"/>
  <c r="P113" i="3"/>
  <c r="P114" i="3"/>
  <c r="P115" i="3"/>
  <c r="P116" i="3"/>
  <c r="P117" i="3"/>
  <c r="P118" i="3"/>
  <c r="O119" i="3"/>
  <c r="O120" i="3"/>
  <c r="O121" i="3"/>
  <c r="O122" i="3"/>
  <c r="O123" i="3"/>
  <c r="O124" i="3"/>
  <c r="O125" i="3"/>
  <c r="O126" i="3"/>
  <c r="N127" i="3"/>
  <c r="N128" i="3"/>
  <c r="N129" i="3"/>
  <c r="N130" i="3"/>
  <c r="N131" i="3"/>
  <c r="N132" i="3"/>
  <c r="N133" i="3"/>
  <c r="N134" i="3"/>
  <c r="M135" i="3"/>
  <c r="M136" i="3"/>
  <c r="M137" i="3"/>
  <c r="M138" i="3"/>
  <c r="M139" i="3"/>
  <c r="M140" i="3"/>
  <c r="M141" i="3"/>
  <c r="M142" i="3"/>
  <c r="U142" i="3"/>
  <c r="U143" i="3"/>
  <c r="U144" i="3"/>
  <c r="U145" i="3"/>
  <c r="U146" i="3"/>
  <c r="U147" i="3"/>
  <c r="S10" i="3"/>
  <c r="Q18" i="3"/>
  <c r="P26" i="3"/>
  <c r="O34" i="3"/>
  <c r="N42" i="3"/>
  <c r="M49" i="3"/>
  <c r="M53" i="3"/>
  <c r="U56" i="3"/>
  <c r="U60" i="3"/>
  <c r="T64" i="3"/>
  <c r="N67" i="3"/>
  <c r="N69" i="3"/>
  <c r="M71" i="3"/>
  <c r="M73" i="3"/>
  <c r="M75" i="3"/>
  <c r="M77" i="3"/>
  <c r="U78" i="3"/>
  <c r="U80" i="3"/>
  <c r="U82" i="3"/>
  <c r="U84" i="3"/>
  <c r="Q86" i="3"/>
  <c r="T87" i="3"/>
  <c r="U88" i="3"/>
  <c r="U89" i="3"/>
  <c r="U90" i="3"/>
  <c r="U91" i="3"/>
  <c r="U92" i="3"/>
  <c r="U93" i="3"/>
  <c r="T94" i="3"/>
  <c r="T95" i="3"/>
  <c r="T96" i="3"/>
  <c r="T97" i="3"/>
  <c r="T98" i="3"/>
  <c r="T99" i="3"/>
  <c r="T100" i="3"/>
  <c r="T101" i="3"/>
  <c r="S102" i="3"/>
  <c r="S103" i="3"/>
  <c r="S104" i="3"/>
  <c r="S105" i="3"/>
  <c r="S106" i="3"/>
  <c r="S107" i="3"/>
  <c r="S108" i="3"/>
  <c r="S109" i="3"/>
  <c r="R110" i="3"/>
  <c r="Q111" i="3"/>
  <c r="Q112" i="3"/>
  <c r="Q113" i="3"/>
  <c r="Q114" i="3"/>
  <c r="Q115" i="3"/>
  <c r="Q116" i="3"/>
  <c r="Q117" i="3"/>
  <c r="Q118" i="3"/>
  <c r="P119" i="3"/>
  <c r="P120" i="3"/>
  <c r="P121" i="3"/>
  <c r="P122" i="3"/>
  <c r="P123" i="3"/>
  <c r="P124" i="3"/>
  <c r="P125" i="3"/>
  <c r="P126" i="3"/>
  <c r="O127" i="3"/>
  <c r="O128" i="3"/>
  <c r="O129" i="3"/>
  <c r="O130" i="3"/>
  <c r="O131" i="3"/>
  <c r="O132" i="3"/>
  <c r="O133" i="3"/>
  <c r="O134" i="3"/>
  <c r="N135" i="3"/>
  <c r="N136" i="3"/>
  <c r="N137" i="3"/>
  <c r="N138" i="3"/>
  <c r="N139" i="3"/>
  <c r="N140" i="3"/>
  <c r="N141" i="3"/>
  <c r="N142" i="3"/>
  <c r="M143" i="3"/>
  <c r="M144" i="3"/>
  <c r="M145" i="3"/>
  <c r="M146" i="3"/>
  <c r="M147" i="3"/>
  <c r="M148" i="3"/>
  <c r="M149" i="3"/>
  <c r="M150" i="3"/>
  <c r="S11" i="3"/>
  <c r="Q19" i="3"/>
  <c r="P27" i="3"/>
  <c r="O35" i="3"/>
  <c r="N43" i="3"/>
  <c r="U49" i="3"/>
  <c r="U53" i="3"/>
  <c r="T57" i="3"/>
  <c r="T61" i="3"/>
  <c r="N65" i="3"/>
  <c r="Q67" i="3"/>
  <c r="Q69" i="3"/>
  <c r="P71" i="3"/>
  <c r="P73" i="3"/>
  <c r="P75" i="3"/>
  <c r="P77" i="3"/>
  <c r="O79" i="3"/>
  <c r="O81" i="3"/>
  <c r="O83" i="3"/>
  <c r="O85" i="3"/>
  <c r="R86" i="3"/>
  <c r="U87" i="3"/>
  <c r="M89" i="3"/>
  <c r="M90" i="3"/>
  <c r="M91" i="3"/>
  <c r="M92" i="3"/>
  <c r="M93" i="3"/>
  <c r="M94" i="3"/>
  <c r="U94" i="3"/>
  <c r="U95" i="3"/>
  <c r="U96" i="3"/>
  <c r="U97" i="3"/>
  <c r="U98" i="3"/>
  <c r="U99" i="3"/>
  <c r="U100" i="3"/>
  <c r="U101" i="3"/>
  <c r="T102" i="3"/>
  <c r="T103" i="3"/>
  <c r="T104" i="3"/>
  <c r="T105" i="3"/>
  <c r="T106" i="3"/>
  <c r="T107" i="3"/>
  <c r="T108" i="3"/>
  <c r="T109" i="3"/>
  <c r="S110" i="3"/>
  <c r="S111" i="3"/>
  <c r="S112" i="3"/>
  <c r="S12" i="3"/>
  <c r="Q20" i="3"/>
  <c r="P28" i="3"/>
  <c r="O36" i="3"/>
  <c r="N44" i="3"/>
  <c r="M50" i="3"/>
  <c r="M54" i="3"/>
  <c r="U57" i="3"/>
  <c r="U61" i="3"/>
  <c r="S65" i="3"/>
  <c r="S67" i="3"/>
  <c r="S69" i="3"/>
  <c r="Q71" i="3"/>
  <c r="Q73" i="3"/>
  <c r="Q75" i="3"/>
  <c r="Q77" i="3"/>
  <c r="P79" i="3"/>
  <c r="P81" i="3"/>
  <c r="P83" i="3"/>
  <c r="P85" i="3"/>
  <c r="T86" i="3"/>
  <c r="M88" i="3"/>
  <c r="N89" i="3"/>
  <c r="N90" i="3"/>
  <c r="N91" i="3"/>
  <c r="N92" i="3"/>
  <c r="N93" i="3"/>
  <c r="N94" i="3"/>
  <c r="M95" i="3"/>
  <c r="M96" i="3"/>
  <c r="M97" i="3"/>
  <c r="M98" i="3"/>
  <c r="M99" i="3"/>
  <c r="M100" i="3"/>
  <c r="M101" i="3"/>
  <c r="M102" i="3"/>
  <c r="U102" i="3"/>
  <c r="U103" i="3"/>
  <c r="U104" i="3"/>
  <c r="U105" i="3"/>
  <c r="U106" i="3"/>
  <c r="U107" i="3"/>
  <c r="U108" i="3"/>
  <c r="U109" i="3"/>
  <c r="T110" i="3"/>
  <c r="T111" i="3"/>
  <c r="T112" i="3"/>
  <c r="T113" i="3"/>
  <c r="T114" i="3"/>
  <c r="T115" i="3"/>
  <c r="T116" i="3"/>
  <c r="T117" i="3"/>
  <c r="S118" i="3"/>
  <c r="S119" i="3"/>
  <c r="S120" i="3"/>
  <c r="S121" i="3"/>
  <c r="S122" i="3"/>
  <c r="S123" i="3"/>
  <c r="S124" i="3"/>
  <c r="S125" i="3"/>
  <c r="R126" i="3"/>
  <c r="Q127" i="3"/>
  <c r="S13" i="3"/>
  <c r="S62" i="3"/>
  <c r="Q21" i="3"/>
  <c r="T65" i="3"/>
  <c r="Q81" i="3"/>
  <c r="O92" i="3"/>
  <c r="N100" i="3"/>
  <c r="M108" i="3"/>
  <c r="S114" i="3"/>
  <c r="U117" i="3"/>
  <c r="Q120" i="3"/>
  <c r="M123" i="3"/>
  <c r="T125" i="3"/>
  <c r="P128" i="3"/>
  <c r="P130" i="3"/>
  <c r="P132" i="3"/>
  <c r="M134" i="3"/>
  <c r="Q135" i="3"/>
  <c r="O137" i="3"/>
  <c r="T138" i="3"/>
  <c r="P140" i="3"/>
  <c r="U141" i="3"/>
  <c r="P143" i="3"/>
  <c r="N145" i="3"/>
  <c r="S146" i="3"/>
  <c r="O148" i="3"/>
  <c r="S149" i="3"/>
  <c r="S150" i="3"/>
  <c r="S151" i="3"/>
  <c r="S152" i="3"/>
  <c r="S153" i="3"/>
  <c r="S154" i="3"/>
  <c r="S155" i="3"/>
  <c r="S156" i="3"/>
  <c r="S157" i="3"/>
  <c r="R158" i="3"/>
  <c r="Q159" i="3"/>
  <c r="Q160" i="3"/>
  <c r="Q161" i="3"/>
  <c r="Q162" i="3"/>
  <c r="Q163" i="3"/>
  <c r="Q164" i="3"/>
  <c r="Q165" i="3"/>
  <c r="Q166" i="3"/>
  <c r="P167" i="3"/>
  <c r="P168" i="3"/>
  <c r="P169" i="3"/>
  <c r="P170" i="3"/>
  <c r="P171" i="3"/>
  <c r="P172" i="3"/>
  <c r="P173" i="3"/>
  <c r="P174" i="3"/>
  <c r="O175" i="3"/>
  <c r="O176" i="3"/>
  <c r="O177" i="3"/>
  <c r="O178" i="3"/>
  <c r="O179" i="3"/>
  <c r="O180" i="3"/>
  <c r="O181" i="3"/>
  <c r="O182" i="3"/>
  <c r="N183" i="3"/>
  <c r="N184" i="3"/>
  <c r="N185" i="3"/>
  <c r="N186" i="3"/>
  <c r="N187" i="3"/>
  <c r="N188" i="3"/>
  <c r="N189" i="3"/>
  <c r="N190" i="3"/>
  <c r="M191" i="3"/>
  <c r="M192" i="3"/>
  <c r="M193" i="3"/>
  <c r="M194" i="3"/>
  <c r="M195" i="3"/>
  <c r="M196" i="3"/>
  <c r="M197" i="3"/>
  <c r="M198" i="3"/>
  <c r="U198" i="3"/>
  <c r="U199" i="3"/>
  <c r="U200" i="3"/>
  <c r="U201" i="3"/>
  <c r="U202" i="3"/>
  <c r="U203" i="3"/>
  <c r="U204" i="3"/>
  <c r="U205" i="3"/>
  <c r="T206" i="3"/>
  <c r="T207" i="3"/>
  <c r="T208" i="3"/>
  <c r="T209" i="3"/>
  <c r="T210" i="3"/>
  <c r="T211" i="3"/>
  <c r="T212" i="3"/>
  <c r="T213" i="3"/>
  <c r="S214" i="3"/>
  <c r="S215" i="3"/>
  <c r="S216" i="3"/>
  <c r="S217" i="3"/>
  <c r="P29" i="3"/>
  <c r="T67" i="3"/>
  <c r="Q83" i="3"/>
  <c r="O93" i="3"/>
  <c r="N101" i="3"/>
  <c r="M109" i="3"/>
  <c r="U114" i="3"/>
  <c r="N118" i="3"/>
  <c r="T120" i="3"/>
  <c r="Q123" i="3"/>
  <c r="M126" i="3"/>
  <c r="Q128" i="3"/>
  <c r="Q130" i="3"/>
  <c r="Q132" i="3"/>
  <c r="P134" i="3"/>
  <c r="T135" i="3"/>
  <c r="P137" i="3"/>
  <c r="U138" i="3"/>
  <c r="Q140" i="3"/>
  <c r="O142" i="3"/>
  <c r="S143" i="3"/>
  <c r="O145" i="3"/>
  <c r="T146" i="3"/>
  <c r="P148" i="3"/>
  <c r="T149" i="3"/>
  <c r="T150" i="3"/>
  <c r="T151" i="3"/>
  <c r="T152" i="3"/>
  <c r="T153" i="3"/>
  <c r="T154" i="3"/>
  <c r="T155" i="3"/>
  <c r="T156" i="3"/>
  <c r="T157" i="3"/>
  <c r="S158" i="3"/>
  <c r="S159" i="3"/>
  <c r="S160" i="3"/>
  <c r="S161" i="3"/>
  <c r="S162" i="3"/>
  <c r="S163" i="3"/>
  <c r="S164" i="3"/>
  <c r="S165" i="3"/>
  <c r="R166" i="3"/>
  <c r="Q167" i="3"/>
  <c r="Q168" i="3"/>
  <c r="Q169" i="3"/>
  <c r="Q170" i="3"/>
  <c r="Q171" i="3"/>
  <c r="Q172" i="3"/>
  <c r="Q173" i="3"/>
  <c r="Q174" i="3"/>
  <c r="P175" i="3"/>
  <c r="P176" i="3"/>
  <c r="O37" i="3"/>
  <c r="T69" i="3"/>
  <c r="Q85" i="3"/>
  <c r="O94" i="3"/>
  <c r="N102" i="3"/>
  <c r="M110" i="3"/>
  <c r="S115" i="3"/>
  <c r="R118" i="3"/>
  <c r="M121" i="3"/>
  <c r="T123" i="3"/>
  <c r="Q126" i="3"/>
  <c r="S128" i="3"/>
  <c r="S130" i="3"/>
  <c r="S132" i="3"/>
  <c r="Q134" i="3"/>
  <c r="U135" i="3"/>
  <c r="Q137" i="3"/>
  <c r="O139" i="3"/>
  <c r="T140" i="3"/>
  <c r="P142" i="3"/>
  <c r="T143" i="3"/>
  <c r="P145" i="3"/>
  <c r="N147" i="3"/>
  <c r="S148" i="3"/>
  <c r="U149" i="3"/>
  <c r="U150" i="3"/>
  <c r="U151" i="3"/>
  <c r="U152" i="3"/>
  <c r="U153" i="3"/>
  <c r="U154" i="3"/>
  <c r="U155" i="3"/>
  <c r="U156" i="3"/>
  <c r="U157" i="3"/>
  <c r="T158" i="3"/>
  <c r="T159" i="3"/>
  <c r="T160" i="3"/>
  <c r="T161" i="3"/>
  <c r="T162" i="3"/>
  <c r="T163" i="3"/>
  <c r="T164" i="3"/>
  <c r="T165" i="3"/>
  <c r="S166" i="3"/>
  <c r="S167" i="3"/>
  <c r="S168" i="3"/>
  <c r="S169" i="3"/>
  <c r="S170" i="3"/>
  <c r="S171" i="3"/>
  <c r="S172" i="3"/>
  <c r="S173" i="3"/>
  <c r="R174" i="3"/>
  <c r="Q175" i="3"/>
  <c r="Q176" i="3"/>
  <c r="Q177" i="3"/>
  <c r="Q178" i="3"/>
  <c r="Q179" i="3"/>
  <c r="Q180" i="3"/>
  <c r="Q181" i="3"/>
  <c r="Q182" i="3"/>
  <c r="P183" i="3"/>
  <c r="P184" i="3"/>
  <c r="P185" i="3"/>
  <c r="P186" i="3"/>
  <c r="P187" i="3"/>
  <c r="P188" i="3"/>
  <c r="P189" i="3"/>
  <c r="P190" i="3"/>
  <c r="O191" i="3"/>
  <c r="O192" i="3"/>
  <c r="O193" i="3"/>
  <c r="O194" i="3"/>
  <c r="O195" i="3"/>
  <c r="O196" i="3"/>
  <c r="O197" i="3"/>
  <c r="O198" i="3"/>
  <c r="N199" i="3"/>
  <c r="N200" i="3"/>
  <c r="N201" i="3"/>
  <c r="N202" i="3"/>
  <c r="N203" i="3"/>
  <c r="N204" i="3"/>
  <c r="N205" i="3"/>
  <c r="N206" i="3"/>
  <c r="M207" i="3"/>
  <c r="M208" i="3"/>
  <c r="M209" i="3"/>
  <c r="N45" i="3"/>
  <c r="S71" i="3"/>
  <c r="U50" i="3"/>
  <c r="S73" i="3"/>
  <c r="N88" i="3"/>
  <c r="N96" i="3"/>
  <c r="M104" i="3"/>
  <c r="U111" i="3"/>
  <c r="S116" i="3"/>
  <c r="M119" i="3"/>
  <c r="T121" i="3"/>
  <c r="Q124" i="3"/>
  <c r="U126" i="3"/>
  <c r="P129" i="3"/>
  <c r="P131" i="3"/>
  <c r="P133" i="3"/>
  <c r="T134" i="3"/>
  <c r="P136" i="3"/>
  <c r="U137" i="3"/>
  <c r="Q139" i="3"/>
  <c r="O141" i="3"/>
  <c r="S142" i="3"/>
  <c r="O144" i="3"/>
  <c r="T145" i="3"/>
  <c r="P147" i="3"/>
  <c r="U148" i="3"/>
  <c r="O150" i="3"/>
  <c r="N151" i="3"/>
  <c r="N152" i="3"/>
  <c r="N153" i="3"/>
  <c r="N154" i="3"/>
  <c r="N155" i="3"/>
  <c r="N156" i="3"/>
  <c r="N157" i="3"/>
  <c r="N158" i="3"/>
  <c r="M159" i="3"/>
  <c r="M160" i="3"/>
  <c r="M161" i="3"/>
  <c r="M162" i="3"/>
  <c r="M163" i="3"/>
  <c r="M164" i="3"/>
  <c r="M165" i="3"/>
  <c r="M166" i="3"/>
  <c r="U166" i="3"/>
  <c r="U167" i="3"/>
  <c r="U168" i="3"/>
  <c r="U169" i="3"/>
  <c r="U170" i="3"/>
  <c r="U171" i="3"/>
  <c r="U172" i="3"/>
  <c r="T54" i="3"/>
  <c r="S75" i="3"/>
  <c r="O89" i="3"/>
  <c r="N97" i="3"/>
  <c r="M105" i="3"/>
  <c r="U112" i="3"/>
  <c r="U116" i="3"/>
  <c r="Q119" i="3"/>
  <c r="M122" i="3"/>
  <c r="T124" i="3"/>
  <c r="P127" i="3"/>
  <c r="Q129" i="3"/>
  <c r="Q131" i="3"/>
  <c r="Q133" i="3"/>
  <c r="U134" i="3"/>
  <c r="Q136" i="3"/>
  <c r="O138" i="3"/>
  <c r="T139" i="3"/>
  <c r="P141" i="3"/>
  <c r="T142" i="3"/>
  <c r="P144" i="3"/>
  <c r="N146" i="3"/>
  <c r="S147" i="3"/>
  <c r="N149" i="3"/>
  <c r="P150" i="3"/>
  <c r="O151" i="3"/>
  <c r="O152" i="3"/>
  <c r="O153" i="3"/>
  <c r="O154" i="3"/>
  <c r="O155" i="3"/>
  <c r="O156" i="3"/>
  <c r="O157" i="3"/>
  <c r="O158" i="3"/>
  <c r="N159" i="3"/>
  <c r="N160" i="3"/>
  <c r="N161" i="3"/>
  <c r="N162" i="3"/>
  <c r="N163" i="3"/>
  <c r="N164" i="3"/>
  <c r="N165" i="3"/>
  <c r="N166" i="3"/>
  <c r="M167" i="3"/>
  <c r="M168" i="3"/>
  <c r="M169" i="3"/>
  <c r="M170" i="3"/>
  <c r="M171" i="3"/>
  <c r="M172" i="3"/>
  <c r="M173" i="3"/>
  <c r="M174" i="3"/>
  <c r="U174" i="3"/>
  <c r="U175" i="3"/>
  <c r="U176" i="3"/>
  <c r="U177" i="3"/>
  <c r="U178" i="3"/>
  <c r="U179" i="3"/>
  <c r="U180" i="3"/>
  <c r="U181" i="3"/>
  <c r="T182" i="3"/>
  <c r="T183" i="3"/>
  <c r="T184" i="3"/>
  <c r="T185" i="3"/>
  <c r="T186" i="3"/>
  <c r="T187" i="3"/>
  <c r="T188" i="3"/>
  <c r="T189" i="3"/>
  <c r="S190" i="3"/>
  <c r="S191" i="3"/>
  <c r="S192" i="3"/>
  <c r="S193" i="3"/>
  <c r="S194" i="3"/>
  <c r="S195" i="3"/>
  <c r="S196" i="3"/>
  <c r="S197" i="3"/>
  <c r="R198" i="3"/>
  <c r="Q199" i="3"/>
  <c r="Q200" i="3"/>
  <c r="Q201" i="3"/>
  <c r="T58" i="3"/>
  <c r="S77" i="3"/>
  <c r="O90" i="3"/>
  <c r="N98" i="3"/>
  <c r="M106" i="3"/>
  <c r="S113" i="3"/>
  <c r="N117" i="3"/>
  <c r="T119" i="3"/>
  <c r="Q122" i="3"/>
  <c r="M125" i="3"/>
  <c r="S127" i="3"/>
  <c r="S129" i="3"/>
  <c r="S131" i="3"/>
  <c r="S133" i="3"/>
  <c r="O135" i="3"/>
  <c r="T136" i="3"/>
  <c r="P138" i="3"/>
  <c r="U139" i="3"/>
  <c r="Q141" i="3"/>
  <c r="N143" i="3"/>
  <c r="S144" i="3"/>
  <c r="O146" i="3"/>
  <c r="T147" i="3"/>
  <c r="O149" i="3"/>
  <c r="Q150" i="3"/>
  <c r="P151" i="3"/>
  <c r="P152" i="3"/>
  <c r="P153" i="3"/>
  <c r="P154" i="3"/>
  <c r="P155" i="3"/>
  <c r="P156" i="3"/>
  <c r="P157" i="3"/>
  <c r="P158" i="3"/>
  <c r="O159" i="3"/>
  <c r="O160" i="3"/>
  <c r="O161" i="3"/>
  <c r="O162" i="3"/>
  <c r="O163" i="3"/>
  <c r="O164" i="3"/>
  <c r="O165" i="3"/>
  <c r="O166" i="3"/>
  <c r="N167" i="3"/>
  <c r="N168" i="3"/>
  <c r="N169" i="3"/>
  <c r="N170" i="3"/>
  <c r="N171" i="3"/>
  <c r="N172" i="3"/>
  <c r="N173" i="3"/>
  <c r="N174" i="3"/>
  <c r="M175" i="3"/>
  <c r="M176" i="3"/>
  <c r="M177" i="3"/>
  <c r="M178" i="3"/>
  <c r="M179" i="3"/>
  <c r="M180" i="3"/>
  <c r="M181" i="3"/>
  <c r="M182" i="3"/>
  <c r="U182" i="3"/>
  <c r="U183" i="3"/>
  <c r="U184" i="3"/>
  <c r="U185" i="3"/>
  <c r="U186" i="3"/>
  <c r="U187" i="3"/>
  <c r="U188" i="3"/>
  <c r="U189" i="3"/>
  <c r="T190" i="3"/>
  <c r="T191" i="3"/>
  <c r="T192" i="3"/>
  <c r="T193" i="3"/>
  <c r="T194" i="3"/>
  <c r="T195" i="3"/>
  <c r="T196" i="3"/>
  <c r="T197" i="3"/>
  <c r="S198" i="3"/>
  <c r="S199" i="3"/>
  <c r="S200" i="3"/>
  <c r="S201" i="3"/>
  <c r="S202" i="3"/>
  <c r="S203" i="3"/>
  <c r="S204" i="3"/>
  <c r="S205" i="3"/>
  <c r="Q79" i="3"/>
  <c r="U113" i="3"/>
  <c r="Q125" i="3"/>
  <c r="U133" i="3"/>
  <c r="O140" i="3"/>
  <c r="P146" i="3"/>
  <c r="Q151" i="3"/>
  <c r="Q155" i="3"/>
  <c r="P159" i="3"/>
  <c r="P163" i="3"/>
  <c r="O167" i="3"/>
  <c r="O171" i="3"/>
  <c r="S174" i="3"/>
  <c r="N177" i="3"/>
  <c r="N179" i="3"/>
  <c r="N181" i="3"/>
  <c r="M183" i="3"/>
  <c r="M185" i="3"/>
  <c r="M187" i="3"/>
  <c r="M189" i="3"/>
  <c r="U190" i="3"/>
  <c r="U192" i="3"/>
  <c r="U194" i="3"/>
  <c r="U196" i="3"/>
  <c r="T198" i="3"/>
  <c r="T200" i="3"/>
  <c r="Q202" i="3"/>
  <c r="O204" i="3"/>
  <c r="T205" i="3"/>
  <c r="N207" i="3"/>
  <c r="P208" i="3"/>
  <c r="S209" i="3"/>
  <c r="U210" i="3"/>
  <c r="M212" i="3"/>
  <c r="N213" i="3"/>
  <c r="O214" i="3"/>
  <c r="O215" i="3"/>
  <c r="P216" i="3"/>
  <c r="Q217" i="3"/>
  <c r="S218" i="3"/>
  <c r="M87" i="3"/>
  <c r="U115" i="3"/>
  <c r="S126" i="3"/>
  <c r="R134" i="3"/>
  <c r="U140" i="3"/>
  <c r="O147" i="3"/>
  <c r="M152" i="3"/>
  <c r="M156" i="3"/>
  <c r="U159" i="3"/>
  <c r="U163" i="3"/>
  <c r="T167" i="3"/>
  <c r="T171" i="3"/>
  <c r="T174" i="3"/>
  <c r="P177" i="3"/>
  <c r="P179" i="3"/>
  <c r="P181" i="3"/>
  <c r="O183" i="3"/>
  <c r="O185" i="3"/>
  <c r="O187" i="3"/>
  <c r="O189" i="3"/>
  <c r="N191" i="3"/>
  <c r="N193" i="3"/>
  <c r="N195" i="3"/>
  <c r="N197" i="3"/>
  <c r="M199" i="3"/>
  <c r="M201" i="3"/>
  <c r="T202" i="3"/>
  <c r="P204" i="3"/>
  <c r="M206" i="3"/>
  <c r="O207" i="3"/>
  <c r="Q208" i="3"/>
  <c r="U209" i="3"/>
  <c r="M211" i="3"/>
  <c r="N212" i="3"/>
  <c r="O213" i="3"/>
  <c r="P214" i="3"/>
  <c r="P215" i="3"/>
  <c r="Q216" i="3"/>
  <c r="T217" i="3"/>
  <c r="T218" i="3"/>
  <c r="T219" i="3"/>
  <c r="T220" i="3"/>
  <c r="T221" i="3"/>
  <c r="S222" i="3"/>
  <c r="S223" i="3"/>
  <c r="S224" i="3"/>
  <c r="S225" i="3"/>
  <c r="S226" i="3"/>
  <c r="S227" i="3"/>
  <c r="S228" i="3"/>
  <c r="S229" i="3"/>
  <c r="R230" i="3"/>
  <c r="Q231" i="3"/>
  <c r="Q232" i="3"/>
  <c r="Q233" i="3"/>
  <c r="Q234" i="3"/>
  <c r="Q235" i="3"/>
  <c r="Q236" i="3"/>
  <c r="Q237" i="3"/>
  <c r="Q238" i="3"/>
  <c r="P239" i="3"/>
  <c r="P240" i="3"/>
  <c r="P241" i="3"/>
  <c r="P242" i="3"/>
  <c r="P243" i="3"/>
  <c r="P244" i="3"/>
  <c r="P245" i="3"/>
  <c r="P246" i="3"/>
  <c r="O247" i="3"/>
  <c r="O248" i="3"/>
  <c r="O249" i="3"/>
  <c r="O250" i="3"/>
  <c r="O251" i="3"/>
  <c r="O252" i="3"/>
  <c r="O253" i="3"/>
  <c r="O254" i="3"/>
  <c r="N255" i="3"/>
  <c r="N256" i="3"/>
  <c r="N257" i="3"/>
  <c r="N258" i="3"/>
  <c r="N259" i="3"/>
  <c r="N260" i="3"/>
  <c r="N261" i="3"/>
  <c r="N262" i="3"/>
  <c r="M263" i="3"/>
  <c r="M264" i="3"/>
  <c r="M265" i="3"/>
  <c r="M266" i="3"/>
  <c r="M267" i="3"/>
  <c r="O91" i="3"/>
  <c r="S117" i="3"/>
  <c r="U127" i="3"/>
  <c r="P135" i="3"/>
  <c r="T141" i="3"/>
  <c r="N148" i="3"/>
  <c r="Q152" i="3"/>
  <c r="Q156" i="3"/>
  <c r="P160" i="3"/>
  <c r="P164" i="3"/>
  <c r="O168" i="3"/>
  <c r="O172" i="3"/>
  <c r="N175" i="3"/>
  <c r="S177" i="3"/>
  <c r="S179" i="3"/>
  <c r="S181" i="3"/>
  <c r="Q183" i="3"/>
  <c r="Q185" i="3"/>
  <c r="Q187" i="3"/>
  <c r="Q189" i="3"/>
  <c r="P191" i="3"/>
  <c r="P193" i="3"/>
  <c r="P195" i="3"/>
  <c r="P197" i="3"/>
  <c r="O199" i="3"/>
  <c r="O201" i="3"/>
  <c r="M203" i="3"/>
  <c r="Q204" i="3"/>
  <c r="O206" i="3"/>
  <c r="P207" i="3"/>
  <c r="S208" i="3"/>
  <c r="M210" i="3"/>
  <c r="N211" i="3"/>
  <c r="O212" i="3"/>
  <c r="P213" i="3"/>
  <c r="Q214" i="3"/>
  <c r="Q215" i="3"/>
  <c r="T216" i="3"/>
  <c r="U217" i="3"/>
  <c r="U218" i="3"/>
  <c r="U219" i="3"/>
  <c r="U220" i="3"/>
  <c r="U221" i="3"/>
  <c r="T222" i="3"/>
  <c r="T223" i="3"/>
  <c r="T224" i="3"/>
  <c r="T225" i="3"/>
  <c r="T226" i="3"/>
  <c r="T227" i="3"/>
  <c r="T228" i="3"/>
  <c r="T229" i="3"/>
  <c r="S230" i="3"/>
  <c r="S231" i="3"/>
  <c r="S232" i="3"/>
  <c r="S233" i="3"/>
  <c r="S234" i="3"/>
  <c r="S235" i="3"/>
  <c r="S236" i="3"/>
  <c r="S237" i="3"/>
  <c r="R238" i="3"/>
  <c r="Q239" i="3"/>
  <c r="Q240" i="3"/>
  <c r="Q241" i="3"/>
  <c r="Q242" i="3"/>
  <c r="Q243" i="3"/>
  <c r="Q244" i="3"/>
  <c r="Q245" i="3"/>
  <c r="Q246" i="3"/>
  <c r="P247" i="3"/>
  <c r="P248" i="3"/>
  <c r="P249" i="3"/>
  <c r="P250" i="3"/>
  <c r="P251" i="3"/>
  <c r="P252" i="3"/>
  <c r="P253" i="3"/>
  <c r="P254" i="3"/>
  <c r="N95" i="3"/>
  <c r="T118" i="3"/>
  <c r="U128" i="3"/>
  <c r="O136" i="3"/>
  <c r="Q142" i="3"/>
  <c r="T148" i="3"/>
  <c r="M153" i="3"/>
  <c r="M157" i="3"/>
  <c r="U160" i="3"/>
  <c r="U164" i="3"/>
  <c r="T168" i="3"/>
  <c r="T172" i="3"/>
  <c r="S175" i="3"/>
  <c r="T177" i="3"/>
  <c r="T179" i="3"/>
  <c r="T181" i="3"/>
  <c r="S183" i="3"/>
  <c r="S185" i="3"/>
  <c r="S187" i="3"/>
  <c r="S189" i="3"/>
  <c r="Q191" i="3"/>
  <c r="Q193" i="3"/>
  <c r="Q195" i="3"/>
  <c r="Q197" i="3"/>
  <c r="P199" i="3"/>
  <c r="P201" i="3"/>
  <c r="O203" i="3"/>
  <c r="T204" i="3"/>
  <c r="P206" i="3"/>
  <c r="Q207" i="3"/>
  <c r="U208" i="3"/>
  <c r="N210" i="3"/>
  <c r="O211" i="3"/>
  <c r="P212" i="3"/>
  <c r="Q213" i="3"/>
  <c r="R214" i="3"/>
  <c r="T215" i="3"/>
  <c r="U216" i="3"/>
  <c r="M218" i="3"/>
  <c r="M219" i="3"/>
  <c r="M220" i="3"/>
  <c r="M221" i="3"/>
  <c r="M222" i="3"/>
  <c r="U222" i="3"/>
  <c r="U223" i="3"/>
  <c r="U224" i="3"/>
  <c r="U225" i="3"/>
  <c r="U226" i="3"/>
  <c r="U227" i="3"/>
  <c r="U228" i="3"/>
  <c r="U229" i="3"/>
  <c r="T230" i="3"/>
  <c r="T231" i="3"/>
  <c r="T232" i="3"/>
  <c r="T233" i="3"/>
  <c r="T234" i="3"/>
  <c r="T235" i="3"/>
  <c r="T236" i="3"/>
  <c r="T237" i="3"/>
  <c r="S238" i="3"/>
  <c r="S239" i="3"/>
  <c r="S240" i="3"/>
  <c r="S241" i="3"/>
  <c r="S242" i="3"/>
  <c r="S243" i="3"/>
  <c r="S244" i="3"/>
  <c r="S245" i="3"/>
  <c r="R246" i="3"/>
  <c r="Q247" i="3"/>
  <c r="Q248" i="3"/>
  <c r="Q249" i="3"/>
  <c r="Q250" i="3"/>
  <c r="Q251" i="3"/>
  <c r="Q252" i="3"/>
  <c r="Q253" i="3"/>
  <c r="Q254" i="3"/>
  <c r="P255" i="3"/>
  <c r="P256" i="3"/>
  <c r="P257" i="3"/>
  <c r="P258" i="3"/>
  <c r="P259" i="3"/>
  <c r="P260" i="3"/>
  <c r="P261" i="3"/>
  <c r="P262" i="3"/>
  <c r="O263" i="3"/>
  <c r="O264" i="3"/>
  <c r="O265" i="3"/>
  <c r="O266" i="3"/>
  <c r="O267" i="3"/>
  <c r="N99" i="3"/>
  <c r="M120" i="3"/>
  <c r="U129" i="3"/>
  <c r="U136" i="3"/>
  <c r="O143" i="3"/>
  <c r="P149" i="3"/>
  <c r="Q153" i="3"/>
  <c r="Q157" i="3"/>
  <c r="P161" i="3"/>
  <c r="P165" i="3"/>
  <c r="O169" i="3"/>
  <c r="O173" i="3"/>
  <c r="T175" i="3"/>
  <c r="N178" i="3"/>
  <c r="N180" i="3"/>
  <c r="N182" i="3"/>
  <c r="M184" i="3"/>
  <c r="M186" i="3"/>
  <c r="M188" i="3"/>
  <c r="M190" i="3"/>
  <c r="U191" i="3"/>
  <c r="U193" i="3"/>
  <c r="U195" i="3"/>
  <c r="U197" i="3"/>
  <c r="T199" i="3"/>
  <c r="T201" i="3"/>
  <c r="P203" i="3"/>
  <c r="M205" i="3"/>
  <c r="Q206" i="3"/>
  <c r="S207" i="3"/>
  <c r="N209" i="3"/>
  <c r="O210" i="3"/>
  <c r="P211" i="3"/>
  <c r="Q212" i="3"/>
  <c r="S213" i="3"/>
  <c r="T214" i="3"/>
  <c r="U215" i="3"/>
  <c r="M217" i="3"/>
  <c r="N218" i="3"/>
  <c r="M103" i="3"/>
  <c r="Q121" i="3"/>
  <c r="U130" i="3"/>
  <c r="T137" i="3"/>
  <c r="N144" i="3"/>
  <c r="N150" i="3"/>
  <c r="M154" i="3"/>
  <c r="M158" i="3"/>
  <c r="U161" i="3"/>
  <c r="U165" i="3"/>
  <c r="T169" i="3"/>
  <c r="T173" i="3"/>
  <c r="N176" i="3"/>
  <c r="P178" i="3"/>
  <c r="P180" i="3"/>
  <c r="P182" i="3"/>
  <c r="O184" i="3"/>
  <c r="O186" i="3"/>
  <c r="O188" i="3"/>
  <c r="O190" i="3"/>
  <c r="N192" i="3"/>
  <c r="N194" i="3"/>
  <c r="N196" i="3"/>
  <c r="N198" i="3"/>
  <c r="M200" i="3"/>
  <c r="M202" i="3"/>
  <c r="Q203" i="3"/>
  <c r="O205" i="3"/>
  <c r="R206" i="3"/>
  <c r="U207" i="3"/>
  <c r="O209" i="3"/>
  <c r="P210" i="3"/>
  <c r="Q211" i="3"/>
  <c r="S212" i="3"/>
  <c r="U213" i="3"/>
  <c r="U214" i="3"/>
  <c r="M216" i="3"/>
  <c r="N217" i="3"/>
  <c r="O218" i="3"/>
  <c r="O219" i="3"/>
  <c r="O220" i="3"/>
  <c r="O221" i="3"/>
  <c r="O222" i="3"/>
  <c r="N223" i="3"/>
  <c r="N224" i="3"/>
  <c r="N225" i="3"/>
  <c r="N226" i="3"/>
  <c r="N227" i="3"/>
  <c r="N228" i="3"/>
  <c r="N229" i="3"/>
  <c r="N230" i="3"/>
  <c r="M231" i="3"/>
  <c r="M232" i="3"/>
  <c r="M233" i="3"/>
  <c r="M234" i="3"/>
  <c r="M235" i="3"/>
  <c r="M236" i="3"/>
  <c r="M237" i="3"/>
  <c r="M238" i="3"/>
  <c r="U238" i="3"/>
  <c r="U239" i="3"/>
  <c r="U240" i="3"/>
  <c r="U241" i="3"/>
  <c r="U242" i="3"/>
  <c r="U243" i="3"/>
  <c r="U244" i="3"/>
  <c r="U245" i="3"/>
  <c r="T246" i="3"/>
  <c r="T247" i="3"/>
  <c r="T248" i="3"/>
  <c r="T249" i="3"/>
  <c r="T250" i="3"/>
  <c r="T251" i="3"/>
  <c r="T252" i="3"/>
  <c r="T253" i="3"/>
  <c r="S254" i="3"/>
  <c r="S255" i="3"/>
  <c r="S256" i="3"/>
  <c r="S257" i="3"/>
  <c r="S258" i="3"/>
  <c r="S259" i="3"/>
  <c r="S260" i="3"/>
  <c r="M107" i="3"/>
  <c r="T122" i="3"/>
  <c r="U131" i="3"/>
  <c r="Q138" i="3"/>
  <c r="T144" i="3"/>
  <c r="R150" i="3"/>
  <c r="Q154" i="3"/>
  <c r="Q158" i="3"/>
  <c r="P162" i="3"/>
  <c r="P166" i="3"/>
  <c r="O170" i="3"/>
  <c r="U173" i="3"/>
  <c r="S176" i="3"/>
  <c r="S178" i="3"/>
  <c r="S180" i="3"/>
  <c r="R182" i="3"/>
  <c r="Q184" i="3"/>
  <c r="Q186" i="3"/>
  <c r="Q188" i="3"/>
  <c r="Q190" i="3"/>
  <c r="P192" i="3"/>
  <c r="P194" i="3"/>
  <c r="P196" i="3"/>
  <c r="P198" i="3"/>
  <c r="O200" i="3"/>
  <c r="O202" i="3"/>
  <c r="T203" i="3"/>
  <c r="P205" i="3"/>
  <c r="S206" i="3"/>
  <c r="N208" i="3"/>
  <c r="P209" i="3"/>
  <c r="Q210" i="3"/>
  <c r="S211" i="3"/>
  <c r="U212" i="3"/>
  <c r="M214" i="3"/>
  <c r="M215" i="3"/>
  <c r="N216" i="3"/>
  <c r="O217" i="3"/>
  <c r="P218" i="3"/>
  <c r="P219" i="3"/>
  <c r="P220" i="3"/>
  <c r="P221" i="3"/>
  <c r="P222" i="3"/>
  <c r="O223" i="3"/>
  <c r="O224" i="3"/>
  <c r="O225" i="3"/>
  <c r="O226" i="3"/>
  <c r="O227" i="3"/>
  <c r="O228" i="3"/>
  <c r="O229" i="3"/>
  <c r="O230" i="3"/>
  <c r="N231" i="3"/>
  <c r="N232" i="3"/>
  <c r="N233" i="3"/>
  <c r="N234" i="3"/>
  <c r="N235" i="3"/>
  <c r="N236" i="3"/>
  <c r="N237" i="3"/>
  <c r="N238" i="3"/>
  <c r="M239" i="3"/>
  <c r="M240" i="3"/>
  <c r="M241" i="3"/>
  <c r="M242" i="3"/>
  <c r="M243" i="3"/>
  <c r="M244" i="3"/>
  <c r="M245" i="3"/>
  <c r="M246" i="3"/>
  <c r="U246" i="3"/>
  <c r="U247" i="3"/>
  <c r="U248" i="3"/>
  <c r="U249" i="3"/>
  <c r="U250" i="3"/>
  <c r="U251" i="3"/>
  <c r="U252" i="3"/>
  <c r="U110" i="3"/>
  <c r="M124" i="3"/>
  <c r="U132" i="3"/>
  <c r="P139" i="3"/>
  <c r="S145" i="3"/>
  <c r="M151" i="3"/>
  <c r="M155" i="3"/>
  <c r="U158" i="3"/>
  <c r="U162" i="3"/>
  <c r="T166" i="3"/>
  <c r="T170" i="3"/>
  <c r="O174" i="3"/>
  <c r="T176" i="3"/>
  <c r="T178" i="3"/>
  <c r="T180" i="3"/>
  <c r="S182" i="3"/>
  <c r="S184" i="3"/>
  <c r="S186" i="3"/>
  <c r="S188" i="3"/>
  <c r="R190" i="3"/>
  <c r="Q192" i="3"/>
  <c r="Q194" i="3"/>
  <c r="Q196" i="3"/>
  <c r="Q198" i="3"/>
  <c r="P200" i="3"/>
  <c r="P202" i="3"/>
  <c r="M204" i="3"/>
  <c r="Q205" i="3"/>
  <c r="U206" i="3"/>
  <c r="O208" i="3"/>
  <c r="Q209" i="3"/>
  <c r="S210" i="3"/>
  <c r="U211" i="3"/>
  <c r="M213" i="3"/>
  <c r="N214" i="3"/>
  <c r="N215" i="3"/>
  <c r="O216" i="3"/>
  <c r="P217" i="3"/>
  <c r="Q218" i="3"/>
  <c r="Q219" i="3"/>
  <c r="Q220" i="3"/>
  <c r="Q221" i="3"/>
  <c r="Q222" i="3"/>
  <c r="P223" i="3"/>
  <c r="P224" i="3"/>
  <c r="P225" i="3"/>
  <c r="P226" i="3"/>
  <c r="P227" i="3"/>
  <c r="P228" i="3"/>
  <c r="P229" i="3"/>
  <c r="P230" i="3"/>
  <c r="O231" i="3"/>
  <c r="O232" i="3"/>
  <c r="O233" i="3"/>
  <c r="O234" i="3"/>
  <c r="O235" i="3"/>
  <c r="O236" i="3"/>
  <c r="O237" i="3"/>
  <c r="O238" i="3"/>
  <c r="N239" i="3"/>
  <c r="N240" i="3"/>
  <c r="N241" i="3"/>
  <c r="N242" i="3"/>
  <c r="N243" i="3"/>
  <c r="N244" i="3"/>
  <c r="N245" i="3"/>
  <c r="N246" i="3"/>
  <c r="M247" i="3"/>
  <c r="M248" i="3"/>
  <c r="M249" i="3"/>
  <c r="M250" i="3"/>
  <c r="M251" i="3"/>
  <c r="M252" i="3"/>
  <c r="M253" i="3"/>
  <c r="M254" i="3"/>
  <c r="U254" i="3"/>
  <c r="U255" i="3"/>
  <c r="U256" i="3"/>
  <c r="U257" i="3"/>
  <c r="U258" i="3"/>
  <c r="U259" i="3"/>
  <c r="U260" i="3"/>
  <c r="U261" i="3"/>
  <c r="T262" i="3"/>
  <c r="T263" i="3"/>
  <c r="N219" i="3"/>
  <c r="M223" i="3"/>
  <c r="M227" i="3"/>
  <c r="U230" i="3"/>
  <c r="U234" i="3"/>
  <c r="T238" i="3"/>
  <c r="T242" i="3"/>
  <c r="S246" i="3"/>
  <c r="S250" i="3"/>
  <c r="N254" i="3"/>
  <c r="O256" i="3"/>
  <c r="O258" i="3"/>
  <c r="O260" i="3"/>
  <c r="M262" i="3"/>
  <c r="Q263" i="3"/>
  <c r="U264" i="3"/>
  <c r="P266" i="3"/>
  <c r="S267" i="3"/>
  <c r="S268" i="3"/>
  <c r="S269" i="3"/>
  <c r="S219" i="3"/>
  <c r="Q223" i="3"/>
  <c r="Q227" i="3"/>
  <c r="P231" i="3"/>
  <c r="P235" i="3"/>
  <c r="O239" i="3"/>
  <c r="O243" i="3"/>
  <c r="N247" i="3"/>
  <c r="N251" i="3"/>
  <c r="R254" i="3"/>
  <c r="Q256" i="3"/>
  <c r="Q258" i="3"/>
  <c r="Q260" i="3"/>
  <c r="O262" i="3"/>
  <c r="S263" i="3"/>
  <c r="N265" i="3"/>
  <c r="Q266" i="3"/>
  <c r="T267" i="3"/>
  <c r="T268" i="3"/>
  <c r="T269" i="3"/>
  <c r="S270" i="3"/>
  <c r="S271" i="3"/>
  <c r="S272" i="3"/>
  <c r="S273" i="3"/>
  <c r="S274" i="3"/>
  <c r="S275" i="3"/>
  <c r="S276" i="3"/>
  <c r="S277" i="3"/>
  <c r="R278" i="3"/>
  <c r="Q279" i="3"/>
  <c r="Q280" i="3"/>
  <c r="N220" i="3"/>
  <c r="M224" i="3"/>
  <c r="M228" i="3"/>
  <c r="U231" i="3"/>
  <c r="U235" i="3"/>
  <c r="T239" i="3"/>
  <c r="T243" i="3"/>
  <c r="S247" i="3"/>
  <c r="S251" i="3"/>
  <c r="T254" i="3"/>
  <c r="T256" i="3"/>
  <c r="T258" i="3"/>
  <c r="T260" i="3"/>
  <c r="Q262" i="3"/>
  <c r="U263" i="3"/>
  <c r="P265" i="3"/>
  <c r="S266" i="3"/>
  <c r="U267" i="3"/>
  <c r="U268" i="3"/>
  <c r="U269" i="3"/>
  <c r="T270" i="3"/>
  <c r="T271" i="3"/>
  <c r="T272" i="3"/>
  <c r="T273" i="3"/>
  <c r="T274" i="3"/>
  <c r="T275" i="3"/>
  <c r="T276" i="3"/>
  <c r="T277" i="3"/>
  <c r="S278" i="3"/>
  <c r="S279" i="3"/>
  <c r="S280" i="3"/>
  <c r="S220" i="3"/>
  <c r="Q224" i="3"/>
  <c r="Q228" i="3"/>
  <c r="P232" i="3"/>
  <c r="P236" i="3"/>
  <c r="O240" i="3"/>
  <c r="O244" i="3"/>
  <c r="N248" i="3"/>
  <c r="N252" i="3"/>
  <c r="M255" i="3"/>
  <c r="M257" i="3"/>
  <c r="M259" i="3"/>
  <c r="M261" i="3"/>
  <c r="R262" i="3"/>
  <c r="N264" i="3"/>
  <c r="Q265" i="3"/>
  <c r="T266" i="3"/>
  <c r="M268" i="3"/>
  <c r="M269" i="3"/>
  <c r="M270" i="3"/>
  <c r="U270" i="3"/>
  <c r="U271" i="3"/>
  <c r="U272" i="3"/>
  <c r="U273" i="3"/>
  <c r="U274" i="3"/>
  <c r="U275" i="3"/>
  <c r="U276" i="3"/>
  <c r="U277" i="3"/>
  <c r="T278" i="3"/>
  <c r="T279" i="3"/>
  <c r="T280" i="3"/>
  <c r="N221" i="3"/>
  <c r="M225" i="3"/>
  <c r="M229" i="3"/>
  <c r="U232" i="3"/>
  <c r="U236" i="3"/>
  <c r="T240" i="3"/>
  <c r="T244" i="3"/>
  <c r="S248" i="3"/>
  <c r="S252" i="3"/>
  <c r="O255" i="3"/>
  <c r="O257" i="3"/>
  <c r="O259" i="3"/>
  <c r="O261" i="3"/>
  <c r="S262" i="3"/>
  <c r="P264" i="3"/>
  <c r="S265" i="3"/>
  <c r="U266" i="3"/>
  <c r="N268" i="3"/>
  <c r="N269" i="3"/>
  <c r="S221" i="3"/>
  <c r="Q225" i="3"/>
  <c r="Q229" i="3"/>
  <c r="P233" i="3"/>
  <c r="P237" i="3"/>
  <c r="O241" i="3"/>
  <c r="O245" i="3"/>
  <c r="N249" i="3"/>
  <c r="N253" i="3"/>
  <c r="Q255" i="3"/>
  <c r="Q257" i="3"/>
  <c r="Q259" i="3"/>
  <c r="Q261" i="3"/>
  <c r="U262" i="3"/>
  <c r="Q264" i="3"/>
  <c r="T265" i="3"/>
  <c r="N267" i="3"/>
  <c r="O268" i="3"/>
  <c r="O269" i="3"/>
  <c r="O270" i="3"/>
  <c r="N271" i="3"/>
  <c r="N272" i="3"/>
  <c r="N273" i="3"/>
  <c r="N274" i="3"/>
  <c r="N275" i="3"/>
  <c r="N276" i="3"/>
  <c r="N277" i="3"/>
  <c r="N278" i="3"/>
  <c r="M279" i="3"/>
  <c r="M280" i="3"/>
  <c r="N222" i="3"/>
  <c r="M226" i="3"/>
  <c r="M230" i="3"/>
  <c r="U233" i="3"/>
  <c r="U237" i="3"/>
  <c r="T241" i="3"/>
  <c r="T245" i="3"/>
  <c r="S249" i="3"/>
  <c r="S253" i="3"/>
  <c r="T255" i="3"/>
  <c r="T257" i="3"/>
  <c r="T259" i="3"/>
  <c r="S261" i="3"/>
  <c r="N263" i="3"/>
  <c r="S264" i="3"/>
  <c r="U265" i="3"/>
  <c r="P267" i="3"/>
  <c r="P268" i="3"/>
  <c r="P269" i="3"/>
  <c r="P270" i="3"/>
  <c r="O271" i="3"/>
  <c r="O272" i="3"/>
  <c r="O273" i="3"/>
  <c r="O274" i="3"/>
  <c r="O275" i="3"/>
  <c r="O276" i="3"/>
  <c r="O277" i="3"/>
  <c r="O278" i="3"/>
  <c r="N279" i="3"/>
  <c r="N280" i="3"/>
  <c r="R222" i="3"/>
  <c r="Q226" i="3"/>
  <c r="Q230" i="3"/>
  <c r="P234" i="3"/>
  <c r="P238" i="3"/>
  <c r="O242" i="3"/>
  <c r="O246" i="3"/>
  <c r="N250" i="3"/>
  <c r="U253" i="3"/>
  <c r="M256" i="3"/>
  <c r="M258" i="3"/>
  <c r="M260" i="3"/>
  <c r="T261" i="3"/>
  <c r="P263" i="3"/>
  <c r="T264" i="3"/>
  <c r="N266" i="3"/>
  <c r="Q267" i="3"/>
  <c r="Q268" i="3"/>
  <c r="Q269" i="3"/>
  <c r="Q270" i="3"/>
  <c r="P271" i="3"/>
  <c r="P272" i="3"/>
  <c r="P273" i="3"/>
  <c r="P274" i="3"/>
  <c r="P275" i="3"/>
  <c r="P276" i="3"/>
  <c r="P277" i="3"/>
  <c r="P278" i="3"/>
  <c r="O279" i="3"/>
  <c r="O280" i="3"/>
  <c r="N270" i="3"/>
  <c r="M274" i="3"/>
  <c r="M278" i="3"/>
  <c r="R270" i="3"/>
  <c r="Q274" i="3"/>
  <c r="Q278" i="3"/>
  <c r="L7" i="3"/>
  <c r="L15" i="3"/>
  <c r="L23" i="3"/>
  <c r="L31" i="3"/>
  <c r="L39" i="3"/>
  <c r="L47" i="3"/>
  <c r="L55" i="3"/>
  <c r="L63" i="3"/>
  <c r="L71" i="3"/>
  <c r="L79" i="3"/>
  <c r="L87" i="3"/>
  <c r="L95" i="3"/>
  <c r="L103" i="3"/>
  <c r="L111" i="3"/>
  <c r="L119" i="3"/>
  <c r="L127" i="3"/>
  <c r="L135" i="3"/>
  <c r="L143" i="3"/>
  <c r="L151" i="3"/>
  <c r="L159" i="3"/>
  <c r="L167" i="3"/>
  <c r="L175" i="3"/>
  <c r="L183" i="3"/>
  <c r="L191" i="3"/>
  <c r="L199" i="3"/>
  <c r="L207" i="3"/>
  <c r="L215" i="3"/>
  <c r="L223" i="3"/>
  <c r="L231" i="3"/>
  <c r="L239" i="3"/>
  <c r="L247" i="3"/>
  <c r="L255" i="3"/>
  <c r="L263" i="3"/>
  <c r="L271" i="3"/>
  <c r="L279" i="3"/>
  <c r="M271" i="3"/>
  <c r="M275" i="3"/>
  <c r="U278" i="3"/>
  <c r="L8" i="3"/>
  <c r="L16" i="3"/>
  <c r="L24" i="3"/>
  <c r="L32" i="3"/>
  <c r="L40" i="3"/>
  <c r="L48" i="3"/>
  <c r="L56" i="3"/>
  <c r="L64" i="3"/>
  <c r="L72" i="3"/>
  <c r="L80" i="3"/>
  <c r="L88" i="3"/>
  <c r="L96" i="3"/>
  <c r="L104" i="3"/>
  <c r="L112" i="3"/>
  <c r="L120" i="3"/>
  <c r="L128" i="3"/>
  <c r="L136" i="3"/>
  <c r="L144" i="3"/>
  <c r="L152" i="3"/>
  <c r="L160" i="3"/>
  <c r="L168" i="3"/>
  <c r="L176" i="3"/>
  <c r="L184" i="3"/>
  <c r="L192" i="3"/>
  <c r="L200" i="3"/>
  <c r="L208" i="3"/>
  <c r="L216" i="3"/>
  <c r="L224" i="3"/>
  <c r="L232" i="3"/>
  <c r="L240" i="3"/>
  <c r="L248" i="3"/>
  <c r="L256" i="3"/>
  <c r="Q271" i="3"/>
  <c r="Q275" i="3"/>
  <c r="P279" i="3"/>
  <c r="L9" i="3"/>
  <c r="L17" i="3"/>
  <c r="L25" i="3"/>
  <c r="L33" i="3"/>
  <c r="L41" i="3"/>
  <c r="L49" i="3"/>
  <c r="L57" i="3"/>
  <c r="L65" i="3"/>
  <c r="L73" i="3"/>
  <c r="L81" i="3"/>
  <c r="L89" i="3"/>
  <c r="L97" i="3"/>
  <c r="L105" i="3"/>
  <c r="L113" i="3"/>
  <c r="L121" i="3"/>
  <c r="L129" i="3"/>
  <c r="L137" i="3"/>
  <c r="L145" i="3"/>
  <c r="L153" i="3"/>
  <c r="L161" i="3"/>
  <c r="L169" i="3"/>
  <c r="L177" i="3"/>
  <c r="L185" i="3"/>
  <c r="L193" i="3"/>
  <c r="L201" i="3"/>
  <c r="L209" i="3"/>
  <c r="L217" i="3"/>
  <c r="L225" i="3"/>
  <c r="L233" i="3"/>
  <c r="L241" i="3"/>
  <c r="L249" i="3"/>
  <c r="L257" i="3"/>
  <c r="L265" i="3"/>
  <c r="L273" i="3"/>
  <c r="M272" i="3"/>
  <c r="M276" i="3"/>
  <c r="U279" i="3"/>
  <c r="Q272" i="3"/>
  <c r="Q276" i="3"/>
  <c r="P280" i="3"/>
  <c r="L11" i="3"/>
  <c r="L19" i="3"/>
  <c r="L27" i="3"/>
  <c r="L35" i="3"/>
  <c r="L43" i="3"/>
  <c r="L51" i="3"/>
  <c r="L59" i="3"/>
  <c r="L67" i="3"/>
  <c r="L75" i="3"/>
  <c r="L83" i="3"/>
  <c r="L91" i="3"/>
  <c r="L99" i="3"/>
  <c r="L107" i="3"/>
  <c r="L115" i="3"/>
  <c r="L123" i="3"/>
  <c r="L131" i="3"/>
  <c r="L139" i="3"/>
  <c r="L147" i="3"/>
  <c r="L155" i="3"/>
  <c r="L163" i="3"/>
  <c r="L171" i="3"/>
  <c r="L179" i="3"/>
  <c r="L187" i="3"/>
  <c r="L195" i="3"/>
  <c r="L203" i="3"/>
  <c r="M273" i="3"/>
  <c r="M277" i="3"/>
  <c r="U280" i="3"/>
  <c r="L12" i="3"/>
  <c r="L20" i="3"/>
  <c r="L28" i="3"/>
  <c r="L36" i="3"/>
  <c r="L44" i="3"/>
  <c r="L52" i="3"/>
  <c r="L60" i="3"/>
  <c r="L68" i="3"/>
  <c r="L76" i="3"/>
  <c r="L84" i="3"/>
  <c r="L92" i="3"/>
  <c r="L100" i="3"/>
  <c r="L108" i="3"/>
  <c r="L116" i="3"/>
  <c r="L124" i="3"/>
  <c r="L132" i="3"/>
  <c r="L140" i="3"/>
  <c r="L148" i="3"/>
  <c r="L156" i="3"/>
  <c r="L164" i="3"/>
  <c r="L172" i="3"/>
  <c r="L180" i="3"/>
  <c r="L188" i="3"/>
  <c r="L196" i="3"/>
  <c r="L204" i="3"/>
  <c r="Q273" i="3"/>
  <c r="Q277" i="3"/>
  <c r="L5" i="3"/>
  <c r="L13" i="3"/>
  <c r="L21" i="3"/>
  <c r="L29" i="3"/>
  <c r="L37" i="3"/>
  <c r="L45" i="3"/>
  <c r="L53" i="3"/>
  <c r="L61" i="3"/>
  <c r="L69" i="3"/>
  <c r="L77" i="3"/>
  <c r="L85" i="3"/>
  <c r="L93" i="3"/>
  <c r="L101" i="3"/>
  <c r="L109" i="3"/>
  <c r="L117" i="3"/>
  <c r="L125" i="3"/>
  <c r="L133" i="3"/>
  <c r="L141" i="3"/>
  <c r="L149" i="3"/>
  <c r="L157" i="3"/>
  <c r="L165" i="3"/>
  <c r="L173" i="3"/>
  <c r="L181" i="3"/>
  <c r="L189" i="3"/>
  <c r="L197" i="3"/>
  <c r="L205" i="3"/>
  <c r="L213" i="3"/>
  <c r="L221" i="3"/>
  <c r="L229" i="3"/>
  <c r="L237" i="3"/>
  <c r="L245" i="3"/>
  <c r="L6" i="3"/>
  <c r="L38" i="3"/>
  <c r="L70" i="3"/>
  <c r="L102" i="3"/>
  <c r="L134" i="3"/>
  <c r="L166" i="3"/>
  <c r="L198" i="3"/>
  <c r="L219" i="3"/>
  <c r="L235" i="3"/>
  <c r="L251" i="3"/>
  <c r="L262" i="3"/>
  <c r="L274" i="3"/>
  <c r="K10" i="3"/>
  <c r="K18" i="3"/>
  <c r="K26" i="3"/>
  <c r="K34" i="3"/>
  <c r="K42" i="3"/>
  <c r="K50" i="3"/>
  <c r="K58" i="3"/>
  <c r="K66" i="3"/>
  <c r="K74" i="3"/>
  <c r="K82" i="3"/>
  <c r="K90" i="3"/>
  <c r="K98" i="3"/>
  <c r="K106" i="3"/>
  <c r="K114" i="3"/>
  <c r="K122" i="3"/>
  <c r="K130" i="3"/>
  <c r="K138" i="3"/>
  <c r="K146" i="3"/>
  <c r="K154" i="3"/>
  <c r="K162" i="3"/>
  <c r="K170" i="3"/>
  <c r="K178" i="3"/>
  <c r="K186" i="3"/>
  <c r="L10" i="3"/>
  <c r="L42" i="3"/>
  <c r="L74" i="3"/>
  <c r="L106" i="3"/>
  <c r="L138" i="3"/>
  <c r="L170" i="3"/>
  <c r="L202" i="3"/>
  <c r="L220" i="3"/>
  <c r="L236" i="3"/>
  <c r="L252" i="3"/>
  <c r="L264" i="3"/>
  <c r="L275" i="3"/>
  <c r="K11" i="3"/>
  <c r="K19" i="3"/>
  <c r="K27" i="3"/>
  <c r="K35" i="3"/>
  <c r="K43" i="3"/>
  <c r="K51" i="3"/>
  <c r="K59" i="3"/>
  <c r="K67" i="3"/>
  <c r="K75" i="3"/>
  <c r="K83" i="3"/>
  <c r="K91" i="3"/>
  <c r="K99" i="3"/>
  <c r="K107" i="3"/>
  <c r="K115" i="3"/>
  <c r="K123" i="3"/>
  <c r="K131" i="3"/>
  <c r="K139" i="3"/>
  <c r="K147" i="3"/>
  <c r="K155" i="3"/>
  <c r="K163" i="3"/>
  <c r="K171" i="3"/>
  <c r="K179" i="3"/>
  <c r="K187" i="3"/>
  <c r="K195" i="3"/>
  <c r="K203" i="3"/>
  <c r="K211" i="3"/>
  <c r="K219" i="3"/>
  <c r="K227" i="3"/>
  <c r="K235" i="3"/>
  <c r="K243" i="3"/>
  <c r="K251" i="3"/>
  <c r="K259" i="3"/>
  <c r="K267" i="3"/>
  <c r="K275" i="3"/>
  <c r="J6" i="3"/>
  <c r="J14" i="3"/>
  <c r="J22" i="3"/>
  <c r="J30" i="3"/>
  <c r="J38" i="3"/>
  <c r="J46" i="3"/>
  <c r="J54" i="3"/>
  <c r="J62" i="3"/>
  <c r="J70" i="3"/>
  <c r="J78" i="3"/>
  <c r="J86" i="3"/>
  <c r="J94" i="3"/>
  <c r="J102" i="3"/>
  <c r="J110" i="3"/>
  <c r="L14" i="3"/>
  <c r="L46" i="3"/>
  <c r="L78" i="3"/>
  <c r="L110" i="3"/>
  <c r="L142" i="3"/>
  <c r="L174" i="3"/>
  <c r="L206" i="3"/>
  <c r="L222" i="3"/>
  <c r="L238" i="3"/>
  <c r="L253" i="3"/>
  <c r="L266" i="3"/>
  <c r="L276" i="3"/>
  <c r="K12" i="3"/>
  <c r="K20" i="3"/>
  <c r="K28" i="3"/>
  <c r="K36" i="3"/>
  <c r="K44" i="3"/>
  <c r="K52" i="3"/>
  <c r="K60" i="3"/>
  <c r="K68" i="3"/>
  <c r="K76" i="3"/>
  <c r="K84" i="3"/>
  <c r="K92" i="3"/>
  <c r="K100" i="3"/>
  <c r="K108" i="3"/>
  <c r="K116" i="3"/>
  <c r="K124" i="3"/>
  <c r="K132" i="3"/>
  <c r="K140" i="3"/>
  <c r="K148" i="3"/>
  <c r="K156" i="3"/>
  <c r="K164" i="3"/>
  <c r="K172" i="3"/>
  <c r="K180" i="3"/>
  <c r="K188" i="3"/>
  <c r="K196" i="3"/>
  <c r="K204" i="3"/>
  <c r="K212" i="3"/>
  <c r="K220" i="3"/>
  <c r="K228" i="3"/>
  <c r="K236" i="3"/>
  <c r="K244" i="3"/>
  <c r="K252" i="3"/>
  <c r="K260" i="3"/>
  <c r="K268" i="3"/>
  <c r="K276" i="3"/>
  <c r="J7" i="3"/>
  <c r="J15" i="3"/>
  <c r="J23" i="3"/>
  <c r="J31" i="3"/>
  <c r="J39" i="3"/>
  <c r="J47" i="3"/>
  <c r="J55" i="3"/>
  <c r="J63" i="3"/>
  <c r="J71" i="3"/>
  <c r="J79" i="3"/>
  <c r="J87" i="3"/>
  <c r="J95" i="3"/>
  <c r="J103" i="3"/>
  <c r="J111" i="3"/>
  <c r="L22" i="3"/>
  <c r="L54" i="3"/>
  <c r="L86" i="3"/>
  <c r="L118" i="3"/>
  <c r="L150" i="3"/>
  <c r="L182" i="3"/>
  <c r="L211" i="3"/>
  <c r="L227" i="3"/>
  <c r="L243" i="3"/>
  <c r="L258" i="3"/>
  <c r="L268" i="3"/>
  <c r="L278" i="3"/>
  <c r="K6" i="3"/>
  <c r="K14" i="3"/>
  <c r="K22" i="3"/>
  <c r="K30" i="3"/>
  <c r="K38" i="3"/>
  <c r="K46" i="3"/>
  <c r="K54" i="3"/>
  <c r="K62" i="3"/>
  <c r="K70" i="3"/>
  <c r="K78" i="3"/>
  <c r="K86" i="3"/>
  <c r="K94" i="3"/>
  <c r="K102" i="3"/>
  <c r="K110" i="3"/>
  <c r="K118" i="3"/>
  <c r="K126" i="3"/>
  <c r="K134" i="3"/>
  <c r="K142" i="3"/>
  <c r="K150" i="3"/>
  <c r="K158" i="3"/>
  <c r="K166" i="3"/>
  <c r="L26" i="3"/>
  <c r="L58" i="3"/>
  <c r="L90" i="3"/>
  <c r="L122" i="3"/>
  <c r="L154" i="3"/>
  <c r="L186" i="3"/>
  <c r="L212" i="3"/>
  <c r="L228" i="3"/>
  <c r="L244" i="3"/>
  <c r="L259" i="3"/>
  <c r="L269" i="3"/>
  <c r="L280" i="3"/>
  <c r="K7" i="3"/>
  <c r="K15" i="3"/>
  <c r="K23" i="3"/>
  <c r="K31" i="3"/>
  <c r="K39" i="3"/>
  <c r="K47" i="3"/>
  <c r="K55" i="3"/>
  <c r="K63" i="3"/>
  <c r="K71" i="3"/>
  <c r="K79" i="3"/>
  <c r="K87" i="3"/>
  <c r="K95" i="3"/>
  <c r="K103" i="3"/>
  <c r="K111" i="3"/>
  <c r="K119" i="3"/>
  <c r="K127" i="3"/>
  <c r="K135" i="3"/>
  <c r="K143" i="3"/>
  <c r="K151" i="3"/>
  <c r="K159" i="3"/>
  <c r="K167" i="3"/>
  <c r="K175" i="3"/>
  <c r="K183" i="3"/>
  <c r="K191" i="3"/>
  <c r="K199" i="3"/>
  <c r="K207" i="3"/>
  <c r="K215" i="3"/>
  <c r="K223" i="3"/>
  <c r="K231" i="3"/>
  <c r="K239" i="3"/>
  <c r="K247" i="3"/>
  <c r="K255" i="3"/>
  <c r="K263" i="3"/>
  <c r="K271" i="3"/>
  <c r="K279" i="3"/>
  <c r="J10" i="3"/>
  <c r="J18" i="3"/>
  <c r="J26" i="3"/>
  <c r="J34" i="3"/>
  <c r="J42" i="3"/>
  <c r="J50" i="3"/>
  <c r="J58" i="3"/>
  <c r="J66" i="3"/>
  <c r="L30" i="3"/>
  <c r="L62" i="3"/>
  <c r="L94" i="3"/>
  <c r="L126" i="3"/>
  <c r="L158" i="3"/>
  <c r="L190" i="3"/>
  <c r="L214" i="3"/>
  <c r="L230" i="3"/>
  <c r="L246" i="3"/>
  <c r="L260" i="3"/>
  <c r="L270" i="3"/>
  <c r="K8" i="3"/>
  <c r="K16" i="3"/>
  <c r="K24" i="3"/>
  <c r="K32" i="3"/>
  <c r="K40" i="3"/>
  <c r="K48" i="3"/>
  <c r="K56" i="3"/>
  <c r="K64" i="3"/>
  <c r="K72" i="3"/>
  <c r="K80" i="3"/>
  <c r="K88" i="3"/>
  <c r="K96" i="3"/>
  <c r="K104" i="3"/>
  <c r="K112" i="3"/>
  <c r="K120" i="3"/>
  <c r="K128" i="3"/>
  <c r="K136" i="3"/>
  <c r="K144" i="3"/>
  <c r="K152" i="3"/>
  <c r="K160" i="3"/>
  <c r="K168" i="3"/>
  <c r="K176" i="3"/>
  <c r="K184" i="3"/>
  <c r="K192" i="3"/>
  <c r="K200" i="3"/>
  <c r="K208" i="3"/>
  <c r="K216" i="3"/>
  <c r="K224" i="3"/>
  <c r="K232" i="3"/>
  <c r="K240" i="3"/>
  <c r="K248" i="3"/>
  <c r="K256" i="3"/>
  <c r="K264" i="3"/>
  <c r="K272" i="3"/>
  <c r="K280" i="3"/>
  <c r="J11" i="3"/>
  <c r="J19" i="3"/>
  <c r="J27" i="3"/>
  <c r="J35" i="3"/>
  <c r="J43" i="3"/>
  <c r="J51" i="3"/>
  <c r="J59" i="3"/>
  <c r="J67" i="3"/>
  <c r="J75" i="3"/>
  <c r="J83" i="3"/>
  <c r="J91" i="3"/>
  <c r="J99" i="3"/>
  <c r="L34" i="3"/>
  <c r="L162" i="3"/>
  <c r="L250" i="3"/>
  <c r="K25" i="3"/>
  <c r="K57" i="3"/>
  <c r="K89" i="3"/>
  <c r="K121" i="3"/>
  <c r="K153" i="3"/>
  <c r="K181" i="3"/>
  <c r="K214" i="3"/>
  <c r="K230" i="3"/>
  <c r="K246" i="3"/>
  <c r="K262" i="3"/>
  <c r="K278" i="3"/>
  <c r="J41" i="3"/>
  <c r="J73" i="3"/>
  <c r="J98" i="3"/>
  <c r="J119" i="3"/>
  <c r="J135" i="3"/>
  <c r="J151" i="3"/>
  <c r="J175" i="3"/>
  <c r="J199" i="3"/>
  <c r="J223" i="3"/>
  <c r="J239" i="3"/>
  <c r="J263" i="3"/>
  <c r="L50" i="3"/>
  <c r="L178" i="3"/>
  <c r="L254" i="3"/>
  <c r="K29" i="3"/>
  <c r="K61" i="3"/>
  <c r="K93" i="3"/>
  <c r="K125" i="3"/>
  <c r="K157" i="3"/>
  <c r="K182" i="3"/>
  <c r="K201" i="3"/>
  <c r="K217" i="3"/>
  <c r="K233" i="3"/>
  <c r="K249" i="3"/>
  <c r="K265" i="3"/>
  <c r="J12" i="3"/>
  <c r="J28" i="3"/>
  <c r="J44" i="3"/>
  <c r="J60" i="3"/>
  <c r="J74" i="3"/>
  <c r="J88" i="3"/>
  <c r="J100" i="3"/>
  <c r="J112" i="3"/>
  <c r="J120" i="3"/>
  <c r="J128" i="3"/>
  <c r="J136" i="3"/>
  <c r="J144" i="3"/>
  <c r="J152" i="3"/>
  <c r="J160" i="3"/>
  <c r="J168" i="3"/>
  <c r="J176" i="3"/>
  <c r="J184" i="3"/>
  <c r="J192" i="3"/>
  <c r="J200" i="3"/>
  <c r="J208" i="3"/>
  <c r="J216" i="3"/>
  <c r="J224" i="3"/>
  <c r="J232" i="3"/>
  <c r="J240" i="3"/>
  <c r="J248" i="3"/>
  <c r="J256" i="3"/>
  <c r="J264" i="3"/>
  <c r="J272" i="3"/>
  <c r="J280" i="3"/>
  <c r="T5" i="3"/>
  <c r="N5" i="3"/>
  <c r="L66" i="3"/>
  <c r="L194" i="3"/>
  <c r="L261" i="3"/>
  <c r="K33" i="3"/>
  <c r="K65" i="3"/>
  <c r="K97" i="3"/>
  <c r="K129" i="3"/>
  <c r="K161" i="3"/>
  <c r="K185" i="3"/>
  <c r="K202" i="3"/>
  <c r="K218" i="3"/>
  <c r="K234" i="3"/>
  <c r="K250" i="3"/>
  <c r="K266" i="3"/>
  <c r="J13" i="3"/>
  <c r="J29" i="3"/>
  <c r="J45" i="3"/>
  <c r="J61" i="3"/>
  <c r="J76" i="3"/>
  <c r="J89" i="3"/>
  <c r="J101" i="3"/>
  <c r="J113" i="3"/>
  <c r="J121" i="3"/>
  <c r="J129" i="3"/>
  <c r="J137" i="3"/>
  <c r="J145" i="3"/>
  <c r="J153" i="3"/>
  <c r="J161" i="3"/>
  <c r="J169" i="3"/>
  <c r="J177" i="3"/>
  <c r="J185" i="3"/>
  <c r="J193" i="3"/>
  <c r="J201" i="3"/>
  <c r="J209" i="3"/>
  <c r="J217" i="3"/>
  <c r="J225" i="3"/>
  <c r="J233" i="3"/>
  <c r="J241" i="3"/>
  <c r="J249" i="3"/>
  <c r="J257" i="3"/>
  <c r="J265" i="3"/>
  <c r="J273" i="3"/>
  <c r="U5" i="3"/>
  <c r="L82" i="3"/>
  <c r="L210" i="3"/>
  <c r="L267" i="3"/>
  <c r="K37" i="3"/>
  <c r="K69" i="3"/>
  <c r="K101" i="3"/>
  <c r="K133" i="3"/>
  <c r="K165" i="3"/>
  <c r="K189" i="3"/>
  <c r="K205" i="3"/>
  <c r="K221" i="3"/>
  <c r="K237" i="3"/>
  <c r="K253" i="3"/>
  <c r="K269" i="3"/>
  <c r="J16" i="3"/>
  <c r="J32" i="3"/>
  <c r="J48" i="3"/>
  <c r="J64" i="3"/>
  <c r="J77" i="3"/>
  <c r="J90" i="3"/>
  <c r="J104" i="3"/>
  <c r="J114" i="3"/>
  <c r="J122" i="3"/>
  <c r="J130" i="3"/>
  <c r="J138" i="3"/>
  <c r="J146" i="3"/>
  <c r="J154" i="3"/>
  <c r="J162" i="3"/>
  <c r="J170" i="3"/>
  <c r="J178" i="3"/>
  <c r="J186" i="3"/>
  <c r="J194" i="3"/>
  <c r="J202" i="3"/>
  <c r="J210" i="3"/>
  <c r="J218" i="3"/>
  <c r="J226" i="3"/>
  <c r="J234" i="3"/>
  <c r="J242" i="3"/>
  <c r="J250" i="3"/>
  <c r="J258" i="3"/>
  <c r="J266" i="3"/>
  <c r="J274" i="3"/>
  <c r="J5" i="3"/>
  <c r="K206" i="3"/>
  <c r="J17" i="3"/>
  <c r="J49" i="3"/>
  <c r="J80" i="3"/>
  <c r="J105" i="3"/>
  <c r="J123" i="3"/>
  <c r="J139" i="3"/>
  <c r="J155" i="3"/>
  <c r="J171" i="3"/>
  <c r="J187" i="3"/>
  <c r="J203" i="3"/>
  <c r="J219" i="3"/>
  <c r="J235" i="3"/>
  <c r="J251" i="3"/>
  <c r="J267" i="3"/>
  <c r="J275" i="3"/>
  <c r="L98" i="3"/>
  <c r="L218" i="3"/>
  <c r="L272" i="3"/>
  <c r="K9" i="3"/>
  <c r="K41" i="3"/>
  <c r="K73" i="3"/>
  <c r="K105" i="3"/>
  <c r="K137" i="3"/>
  <c r="K169" i="3"/>
  <c r="K190" i="3"/>
  <c r="K222" i="3"/>
  <c r="K238" i="3"/>
  <c r="K254" i="3"/>
  <c r="K270" i="3"/>
  <c r="J33" i="3"/>
  <c r="J65" i="3"/>
  <c r="J92" i="3"/>
  <c r="J115" i="3"/>
  <c r="J131" i="3"/>
  <c r="J147" i="3"/>
  <c r="J163" i="3"/>
  <c r="J179" i="3"/>
  <c r="J195" i="3"/>
  <c r="J211" i="3"/>
  <c r="J227" i="3"/>
  <c r="J243" i="3"/>
  <c r="J259" i="3"/>
  <c r="L114" i="3"/>
  <c r="L226" i="3"/>
  <c r="L277" i="3"/>
  <c r="K13" i="3"/>
  <c r="K45" i="3"/>
  <c r="K77" i="3"/>
  <c r="K109" i="3"/>
  <c r="K141" i="3"/>
  <c r="K173" i="3"/>
  <c r="K193" i="3"/>
  <c r="K209" i="3"/>
  <c r="K225" i="3"/>
  <c r="K241" i="3"/>
  <c r="K257" i="3"/>
  <c r="K273" i="3"/>
  <c r="J20" i="3"/>
  <c r="J36" i="3"/>
  <c r="J52" i="3"/>
  <c r="J68" i="3"/>
  <c r="J81" i="3"/>
  <c r="J93" i="3"/>
  <c r="J106" i="3"/>
  <c r="J116" i="3"/>
  <c r="J124" i="3"/>
  <c r="J132" i="3"/>
  <c r="J140" i="3"/>
  <c r="J148" i="3"/>
  <c r="J156" i="3"/>
  <c r="J164" i="3"/>
  <c r="J172" i="3"/>
  <c r="J180" i="3"/>
  <c r="J188" i="3"/>
  <c r="J196" i="3"/>
  <c r="J204" i="3"/>
  <c r="J212" i="3"/>
  <c r="J220" i="3"/>
  <c r="J228" i="3"/>
  <c r="J236" i="3"/>
  <c r="J244" i="3"/>
  <c r="J252" i="3"/>
  <c r="J260" i="3"/>
  <c r="J268" i="3"/>
  <c r="J276" i="3"/>
  <c r="O5" i="3"/>
  <c r="L130" i="3"/>
  <c r="L234" i="3"/>
  <c r="K17" i="3"/>
  <c r="K49" i="3"/>
  <c r="K81" i="3"/>
  <c r="K113" i="3"/>
  <c r="K145" i="3"/>
  <c r="K174" i="3"/>
  <c r="K194" i="3"/>
  <c r="K210" i="3"/>
  <c r="K226" i="3"/>
  <c r="K242" i="3"/>
  <c r="K258" i="3"/>
  <c r="K274" i="3"/>
  <c r="K5" i="3"/>
  <c r="J21" i="3"/>
  <c r="J37" i="3"/>
  <c r="J53" i="3"/>
  <c r="J69" i="3"/>
  <c r="J82" i="3"/>
  <c r="J96" i="3"/>
  <c r="J107" i="3"/>
  <c r="J117" i="3"/>
  <c r="J125" i="3"/>
  <c r="J133" i="3"/>
  <c r="J141" i="3"/>
  <c r="J149" i="3"/>
  <c r="J157" i="3"/>
  <c r="J165" i="3"/>
  <c r="J173" i="3"/>
  <c r="J181" i="3"/>
  <c r="J189" i="3"/>
  <c r="J197" i="3"/>
  <c r="J205" i="3"/>
  <c r="J213" i="3"/>
  <c r="J221" i="3"/>
  <c r="J229" i="3"/>
  <c r="J237" i="3"/>
  <c r="J245" i="3"/>
  <c r="J253" i="3"/>
  <c r="J261" i="3"/>
  <c r="J269" i="3"/>
  <c r="J277" i="3"/>
  <c r="P5" i="3"/>
  <c r="J25" i="3"/>
  <c r="J159" i="3"/>
  <c r="J191" i="3"/>
  <c r="J215" i="3"/>
  <c r="J247" i="3"/>
  <c r="J271" i="3"/>
  <c r="S5" i="3"/>
  <c r="L18" i="3"/>
  <c r="L146" i="3"/>
  <c r="L242" i="3"/>
  <c r="K21" i="3"/>
  <c r="K53" i="3"/>
  <c r="K85" i="3"/>
  <c r="K117" i="3"/>
  <c r="K149" i="3"/>
  <c r="K177" i="3"/>
  <c r="K197" i="3"/>
  <c r="K213" i="3"/>
  <c r="K229" i="3"/>
  <c r="K245" i="3"/>
  <c r="K261" i="3"/>
  <c r="K277" i="3"/>
  <c r="J8" i="3"/>
  <c r="J24" i="3"/>
  <c r="J40" i="3"/>
  <c r="J56" i="3"/>
  <c r="J72" i="3"/>
  <c r="J84" i="3"/>
  <c r="J97" i="3"/>
  <c r="J108" i="3"/>
  <c r="J118" i="3"/>
  <c r="J126" i="3"/>
  <c r="J134" i="3"/>
  <c r="J142" i="3"/>
  <c r="J150" i="3"/>
  <c r="J158" i="3"/>
  <c r="J166" i="3"/>
  <c r="J174" i="3"/>
  <c r="J182" i="3"/>
  <c r="J190" i="3"/>
  <c r="J198" i="3"/>
  <c r="J206" i="3"/>
  <c r="J214" i="3"/>
  <c r="J222" i="3"/>
  <c r="J230" i="3"/>
  <c r="J238" i="3"/>
  <c r="J246" i="3"/>
  <c r="J254" i="3"/>
  <c r="J262" i="3"/>
  <c r="J270" i="3"/>
  <c r="J278" i="3"/>
  <c r="Q5" i="3"/>
  <c r="K198" i="3"/>
  <c r="J9" i="3"/>
  <c r="J57" i="3"/>
  <c r="J85" i="3"/>
  <c r="J109" i="3"/>
  <c r="J127" i="3"/>
  <c r="J143" i="3"/>
  <c r="J167" i="3"/>
  <c r="J183" i="3"/>
  <c r="J207" i="3"/>
  <c r="J231" i="3"/>
  <c r="J255" i="3"/>
  <c r="J279" i="3"/>
  <c r="R275" i="3"/>
  <c r="R75" i="3"/>
  <c r="R250" i="3"/>
  <c r="R186" i="3"/>
  <c r="R122" i="3"/>
  <c r="R58" i="3"/>
  <c r="R107" i="3"/>
  <c r="R265" i="3"/>
  <c r="R201" i="3"/>
  <c r="R137" i="3"/>
  <c r="R73" i="3"/>
  <c r="R9" i="3"/>
  <c r="R272" i="3"/>
  <c r="R208" i="3"/>
  <c r="R144" i="3"/>
  <c r="R16" i="3"/>
  <c r="R79" i="3"/>
  <c r="R215" i="3"/>
  <c r="R29" i="3"/>
  <c r="R269" i="3"/>
  <c r="R204" i="3"/>
  <c r="R12" i="3"/>
  <c r="R243" i="3"/>
  <c r="R51" i="3"/>
  <c r="R242" i="3"/>
  <c r="R178" i="3"/>
  <c r="R114" i="3"/>
  <c r="R50" i="3"/>
  <c r="R83" i="3"/>
  <c r="R257" i="3"/>
  <c r="R193" i="3"/>
  <c r="R129" i="3"/>
  <c r="R65" i="3"/>
  <c r="R264" i="3"/>
  <c r="R200" i="3"/>
  <c r="R136" i="3"/>
  <c r="R72" i="3"/>
  <c r="R8" i="3"/>
  <c r="R39" i="3"/>
  <c r="R71" i="3"/>
  <c r="R191" i="3"/>
  <c r="R253" i="3"/>
  <c r="R109" i="3"/>
  <c r="R21" i="3"/>
  <c r="R183" i="3"/>
  <c r="R261" i="3"/>
  <c r="R149" i="3"/>
  <c r="R260" i="3"/>
  <c r="R196" i="3"/>
  <c r="R132" i="3"/>
  <c r="R68" i="3"/>
  <c r="R91" i="3"/>
  <c r="R44" i="3"/>
  <c r="R219" i="3"/>
  <c r="R35" i="3"/>
  <c r="R234" i="3"/>
  <c r="R170" i="3"/>
  <c r="R106" i="3"/>
  <c r="R42" i="3"/>
  <c r="R267" i="3"/>
  <c r="R67" i="3"/>
  <c r="R249" i="3"/>
  <c r="R185" i="3"/>
  <c r="R121" i="3"/>
  <c r="R57" i="3"/>
  <c r="R256" i="3"/>
  <c r="R192" i="3"/>
  <c r="R128" i="3"/>
  <c r="R64" i="3"/>
  <c r="R7" i="3"/>
  <c r="R47" i="3"/>
  <c r="R159" i="3"/>
  <c r="R237" i="3"/>
  <c r="R93" i="3"/>
  <c r="R13" i="3"/>
  <c r="R151" i="3"/>
  <c r="R245" i="3"/>
  <c r="R133" i="3"/>
  <c r="R252" i="3"/>
  <c r="R188" i="3"/>
  <c r="R124" i="3"/>
  <c r="R60" i="3"/>
  <c r="R59" i="3"/>
  <c r="R105" i="3"/>
  <c r="R69" i="3"/>
  <c r="R95" i="3"/>
  <c r="R101" i="3"/>
  <c r="R172" i="3"/>
  <c r="R259" i="3"/>
  <c r="R187" i="3"/>
  <c r="R11" i="3"/>
  <c r="R226" i="3"/>
  <c r="R162" i="3"/>
  <c r="R98" i="3"/>
  <c r="R34" i="3"/>
  <c r="R235" i="3"/>
  <c r="R43" i="3"/>
  <c r="R241" i="3"/>
  <c r="R177" i="3"/>
  <c r="R113" i="3"/>
  <c r="R49" i="3"/>
  <c r="R248" i="3"/>
  <c r="R184" i="3"/>
  <c r="R120" i="3"/>
  <c r="R56" i="3"/>
  <c r="R279" i="3"/>
  <c r="R255" i="3"/>
  <c r="R15" i="3"/>
  <c r="R119" i="3"/>
  <c r="R221" i="3"/>
  <c r="R77" i="3"/>
  <c r="R127" i="3"/>
  <c r="R229" i="3"/>
  <c r="R117" i="3"/>
  <c r="R244" i="3"/>
  <c r="R180" i="3"/>
  <c r="R116" i="3"/>
  <c r="R52" i="3"/>
  <c r="R19" i="3"/>
  <c r="R163" i="3"/>
  <c r="R218" i="3"/>
  <c r="R154" i="3"/>
  <c r="R90" i="3"/>
  <c r="R26" i="3"/>
  <c r="R203" i="3"/>
  <c r="R27" i="3"/>
  <c r="R233" i="3"/>
  <c r="R169" i="3"/>
  <c r="R41" i="3"/>
  <c r="R251" i="3"/>
  <c r="R240" i="3"/>
  <c r="R176" i="3"/>
  <c r="R112" i="3"/>
  <c r="R48" i="3"/>
  <c r="R223" i="3"/>
  <c r="R231" i="3"/>
  <c r="R87" i="3"/>
  <c r="R197" i="3"/>
  <c r="R213" i="3"/>
  <c r="R236" i="3"/>
  <c r="R108" i="3"/>
  <c r="R139" i="3"/>
  <c r="R274" i="3"/>
  <c r="R210" i="3"/>
  <c r="R146" i="3"/>
  <c r="R82" i="3"/>
  <c r="R18" i="3"/>
  <c r="R179" i="3"/>
  <c r="R225" i="3"/>
  <c r="R161" i="3"/>
  <c r="R97" i="3"/>
  <c r="R33" i="3"/>
  <c r="R211" i="3"/>
  <c r="R232" i="3"/>
  <c r="R168" i="3"/>
  <c r="R104" i="3"/>
  <c r="R40" i="3"/>
  <c r="R175" i="3"/>
  <c r="R199" i="3"/>
  <c r="R55" i="3"/>
  <c r="R181" i="3"/>
  <c r="R53" i="3"/>
  <c r="R63" i="3"/>
  <c r="R205" i="3"/>
  <c r="R85" i="3"/>
  <c r="R228" i="3"/>
  <c r="R164" i="3"/>
  <c r="R100" i="3"/>
  <c r="R36" i="3"/>
  <c r="R227" i="3"/>
  <c r="R80" i="3"/>
  <c r="R125" i="3"/>
  <c r="R207" i="3"/>
  <c r="R165" i="3"/>
  <c r="R268" i="3"/>
  <c r="R140" i="3"/>
  <c r="R131" i="3"/>
  <c r="R115" i="3"/>
  <c r="R266" i="3"/>
  <c r="R202" i="3"/>
  <c r="R138" i="3"/>
  <c r="R74" i="3"/>
  <c r="R10" i="3"/>
  <c r="R147" i="3"/>
  <c r="R5" i="3"/>
  <c r="R217" i="3"/>
  <c r="R153" i="3"/>
  <c r="R89" i="3"/>
  <c r="R25" i="3"/>
  <c r="R171" i="3"/>
  <c r="R224" i="3"/>
  <c r="R160" i="3"/>
  <c r="R96" i="3"/>
  <c r="R32" i="3"/>
  <c r="R143" i="3"/>
  <c r="R167" i="3"/>
  <c r="R271" i="3"/>
  <c r="R23" i="3"/>
  <c r="R157" i="3"/>
  <c r="R45" i="3"/>
  <c r="R263" i="3"/>
  <c r="R31" i="3"/>
  <c r="R189" i="3"/>
  <c r="R61" i="3"/>
  <c r="R220" i="3"/>
  <c r="R156" i="3"/>
  <c r="R92" i="3"/>
  <c r="R28" i="3"/>
  <c r="R195" i="3"/>
  <c r="R277" i="3"/>
  <c r="R99" i="3"/>
  <c r="R258" i="3"/>
  <c r="R194" i="3"/>
  <c r="R130" i="3"/>
  <c r="R66" i="3"/>
  <c r="R123" i="3"/>
  <c r="R273" i="3"/>
  <c r="R209" i="3"/>
  <c r="R145" i="3"/>
  <c r="R81" i="3"/>
  <c r="R17" i="3"/>
  <c r="R280" i="3"/>
  <c r="R216" i="3"/>
  <c r="R152" i="3"/>
  <c r="R88" i="3"/>
  <c r="R24" i="3"/>
  <c r="R111" i="3"/>
  <c r="R135" i="3"/>
  <c r="R247" i="3"/>
  <c r="R141" i="3"/>
  <c r="R37" i="3"/>
  <c r="R239" i="3"/>
  <c r="R173" i="3"/>
  <c r="R276" i="3"/>
  <c r="R212" i="3"/>
  <c r="R148" i="3"/>
  <c r="R84" i="3"/>
  <c r="R20" i="3"/>
  <c r="R155" i="3"/>
  <c r="R103" i="3"/>
  <c r="R76" i="3"/>
  <c r="C116" i="3"/>
  <c r="D116" i="3"/>
  <c r="C270" i="3"/>
  <c r="D270" i="3"/>
  <c r="C228" i="3"/>
  <c r="D228" i="3"/>
  <c r="C219" i="3"/>
  <c r="D219" i="3"/>
  <c r="C183" i="3"/>
  <c r="D183" i="3"/>
  <c r="C60" i="3"/>
  <c r="D60" i="3"/>
  <c r="C156" i="3"/>
  <c r="D156" i="3"/>
  <c r="D118" i="3"/>
  <c r="D236" i="3"/>
  <c r="D16" i="3"/>
  <c r="C212" i="3"/>
  <c r="E184" i="3"/>
  <c r="E270" i="3"/>
  <c r="E60" i="3"/>
  <c r="E16" i="3"/>
  <c r="C36" i="3"/>
  <c r="C164" i="3"/>
  <c r="D84" i="3"/>
  <c r="D172" i="3"/>
  <c r="C173" i="3"/>
  <c r="D173" i="3"/>
  <c r="C272" i="3"/>
  <c r="D272" i="3"/>
  <c r="E272" i="3"/>
  <c r="E173" i="3"/>
  <c r="D30" i="3"/>
  <c r="C30" i="3"/>
  <c r="D181" i="3"/>
  <c r="C181" i="3"/>
  <c r="E181" i="3"/>
  <c r="D149" i="3"/>
  <c r="C149" i="3"/>
  <c r="E149" i="3"/>
  <c r="D189" i="3"/>
  <c r="E189" i="3"/>
  <c r="D44" i="3"/>
  <c r="C44" i="3"/>
  <c r="E30" i="3"/>
  <c r="D176" i="3"/>
  <c r="C110" i="3"/>
  <c r="C157" i="3"/>
  <c r="D157" i="3"/>
  <c r="C77" i="3"/>
  <c r="D77" i="3"/>
  <c r="C262" i="3"/>
  <c r="D262" i="3"/>
  <c r="D194" i="3"/>
  <c r="C194" i="3"/>
  <c r="C170" i="3"/>
  <c r="D170" i="3"/>
  <c r="C162" i="3"/>
  <c r="D162" i="3"/>
  <c r="D146" i="3"/>
  <c r="C146" i="3"/>
  <c r="C227" i="3"/>
  <c r="D227" i="3"/>
  <c r="C154" i="3"/>
  <c r="C28" i="3"/>
  <c r="D28" i="3"/>
  <c r="D246" i="3"/>
  <c r="C246" i="3"/>
  <c r="C226" i="3"/>
  <c r="D226" i="3"/>
  <c r="C208" i="3"/>
  <c r="D208" i="3"/>
  <c r="D151" i="3"/>
  <c r="C151" i="3"/>
  <c r="C83" i="3"/>
  <c r="D83" i="3"/>
  <c r="D138" i="3"/>
  <c r="E138" i="3"/>
  <c r="D178" i="3"/>
  <c r="D210" i="3"/>
  <c r="E157" i="3"/>
  <c r="E110" i="3"/>
  <c r="E77" i="3"/>
  <c r="E28" i="3"/>
  <c r="E262" i="3"/>
  <c r="E246" i="3"/>
  <c r="E226" i="3"/>
  <c r="E208" i="3"/>
  <c r="E210" i="3"/>
  <c r="E151" i="3"/>
  <c r="E194" i="3"/>
  <c r="E83" i="3"/>
  <c r="E178" i="3"/>
  <c r="E170" i="3"/>
  <c r="E162" i="3"/>
  <c r="E154" i="3"/>
  <c r="E146" i="3"/>
  <c r="D165" i="3"/>
  <c r="C234" i="3"/>
  <c r="D211" i="3"/>
  <c r="C235" i="3"/>
  <c r="D267" i="3"/>
  <c r="C138" i="3"/>
  <c r="D269" i="3"/>
  <c r="E269" i="3"/>
  <c r="E218" i="3"/>
  <c r="D259" i="3"/>
  <c r="C266" i="3"/>
  <c r="D115" i="3"/>
  <c r="D86" i="3"/>
  <c r="D51" i="3"/>
  <c r="D171" i="3"/>
  <c r="D40" i="3"/>
  <c r="D155" i="3"/>
  <c r="D31" i="3"/>
  <c r="D147" i="3"/>
  <c r="D232" i="3"/>
  <c r="C232" i="3"/>
  <c r="E126" i="3"/>
  <c r="D126" i="3"/>
  <c r="C131" i="3"/>
  <c r="E131" i="3"/>
  <c r="E129" i="3"/>
  <c r="E232" i="3"/>
  <c r="C129" i="3"/>
  <c r="C128" i="3"/>
  <c r="D218" i="3"/>
  <c r="E239" i="3"/>
  <c r="E227" i="3"/>
  <c r="C189" i="3"/>
  <c r="D129" i="3"/>
  <c r="D128" i="3"/>
  <c r="E128" i="3"/>
  <c r="C190" i="3"/>
  <c r="D190" i="3"/>
  <c r="C119" i="3"/>
  <c r="D119" i="3"/>
  <c r="C88" i="3"/>
  <c r="D88" i="3"/>
  <c r="C253" i="3"/>
  <c r="D253" i="3"/>
  <c r="C273" i="3"/>
  <c r="D273" i="3"/>
  <c r="C248" i="3"/>
  <c r="D248" i="3"/>
  <c r="C237" i="3"/>
  <c r="D237" i="3"/>
  <c r="C221" i="3"/>
  <c r="D221" i="3"/>
  <c r="C213" i="3"/>
  <c r="D213" i="3"/>
  <c r="C188" i="3"/>
  <c r="D188" i="3"/>
  <c r="C197" i="3"/>
  <c r="D197" i="3"/>
  <c r="C239" i="3"/>
  <c r="D239" i="3"/>
  <c r="E107" i="3"/>
  <c r="D107" i="3"/>
  <c r="C107" i="3"/>
  <c r="E217" i="3"/>
  <c r="D217" i="3"/>
  <c r="C217" i="3"/>
  <c r="E113" i="3"/>
  <c r="C113" i="3"/>
  <c r="D113" i="3"/>
  <c r="D98" i="3"/>
  <c r="C98" i="3"/>
  <c r="E98" i="3"/>
  <c r="D124" i="3"/>
  <c r="E124" i="3"/>
  <c r="C124" i="3"/>
  <c r="D148" i="3"/>
  <c r="E148" i="3"/>
  <c r="C148" i="3"/>
  <c r="D95" i="3"/>
  <c r="E95" i="3"/>
  <c r="C95" i="3"/>
  <c r="D54" i="3"/>
  <c r="E54" i="3"/>
  <c r="C54" i="3"/>
  <c r="D12" i="3"/>
  <c r="E12" i="3"/>
  <c r="C12" i="3"/>
  <c r="D250" i="3"/>
  <c r="E250" i="3"/>
  <c r="C250" i="3"/>
  <c r="D76" i="3"/>
  <c r="E76" i="3"/>
  <c r="C76" i="3"/>
  <c r="D68" i="3"/>
  <c r="E68" i="3"/>
  <c r="C68" i="3"/>
  <c r="D196" i="3"/>
  <c r="E196" i="3"/>
  <c r="C196" i="3"/>
  <c r="D179" i="3"/>
  <c r="E179" i="3"/>
  <c r="C179" i="3"/>
  <c r="D117" i="3"/>
  <c r="E117" i="3"/>
  <c r="C117" i="3"/>
  <c r="D89" i="3"/>
  <c r="E89" i="3"/>
  <c r="C89" i="3"/>
  <c r="D49" i="3"/>
  <c r="E49" i="3"/>
  <c r="C49" i="3"/>
  <c r="D20" i="3"/>
  <c r="E20" i="3"/>
  <c r="C20" i="3"/>
  <c r="D21" i="3"/>
  <c r="E21" i="3"/>
  <c r="C21" i="3"/>
  <c r="E140" i="3"/>
  <c r="C140" i="3"/>
  <c r="D140" i="3"/>
  <c r="E75" i="3"/>
  <c r="C75" i="3"/>
  <c r="D75" i="3"/>
  <c r="E11" i="3"/>
  <c r="C11" i="3"/>
  <c r="D11" i="3"/>
  <c r="D201" i="3"/>
  <c r="C201" i="3"/>
  <c r="E201" i="3"/>
  <c r="D231" i="3"/>
  <c r="C231" i="3"/>
  <c r="E231" i="3"/>
  <c r="D10" i="3"/>
  <c r="C10" i="3"/>
  <c r="E10" i="3"/>
  <c r="E204" i="3"/>
  <c r="C204" i="3"/>
  <c r="D204" i="3"/>
  <c r="E59" i="3"/>
  <c r="C59" i="3"/>
  <c r="D59" i="3"/>
  <c r="E19" i="3"/>
  <c r="D19" i="3"/>
  <c r="C19" i="3"/>
  <c r="C82" i="3"/>
  <c r="D82" i="3"/>
  <c r="E82" i="3"/>
  <c r="C78" i="3"/>
  <c r="E78" i="3"/>
  <c r="D78" i="3"/>
  <c r="C198" i="3"/>
  <c r="D198" i="3"/>
  <c r="E198" i="3"/>
  <c r="E130" i="3"/>
  <c r="C130" i="3"/>
  <c r="D130" i="3"/>
  <c r="C79" i="3"/>
  <c r="E79" i="3"/>
  <c r="D79" i="3"/>
  <c r="E97" i="3"/>
  <c r="C97" i="3"/>
  <c r="D97" i="3"/>
  <c r="C264" i="3"/>
  <c r="D264" i="3"/>
  <c r="E264" i="3"/>
  <c r="E81" i="3"/>
  <c r="C81" i="3"/>
  <c r="D81" i="3"/>
  <c r="C73" i="3"/>
  <c r="D73" i="3"/>
  <c r="E73" i="3"/>
  <c r="E215" i="3"/>
  <c r="C215" i="3"/>
  <c r="D215" i="3"/>
  <c r="C57" i="3"/>
  <c r="E57" i="3"/>
  <c r="D57" i="3"/>
  <c r="C139" i="3"/>
  <c r="D139" i="3"/>
  <c r="E139" i="3"/>
  <c r="C111" i="3"/>
  <c r="D111" i="3"/>
  <c r="E111" i="3"/>
  <c r="E33" i="3"/>
  <c r="C33" i="3"/>
  <c r="D33" i="3"/>
  <c r="E25" i="3"/>
  <c r="C25" i="3"/>
  <c r="D25" i="3"/>
  <c r="E34" i="3"/>
  <c r="C34" i="3"/>
  <c r="D34" i="3"/>
  <c r="C9" i="3"/>
  <c r="D9" i="3"/>
  <c r="E9" i="3"/>
  <c r="E50" i="3"/>
  <c r="C50" i="3"/>
  <c r="D50" i="3"/>
  <c r="E85" i="3"/>
  <c r="C85" i="3"/>
  <c r="D85" i="3"/>
  <c r="C268" i="3"/>
  <c r="E268" i="3"/>
  <c r="D268" i="3"/>
  <c r="D58" i="3"/>
  <c r="C58" i="3"/>
  <c r="E58" i="3"/>
  <c r="C42" i="3"/>
  <c r="D42" i="3"/>
  <c r="E42" i="3"/>
  <c r="C18" i="3"/>
  <c r="D18" i="3"/>
  <c r="E18" i="3"/>
  <c r="C120" i="3"/>
  <c r="D120" i="3"/>
  <c r="E120" i="3"/>
  <c r="C122" i="3"/>
  <c r="D122" i="3"/>
  <c r="E122" i="3"/>
  <c r="C104" i="3"/>
  <c r="D104" i="3"/>
  <c r="E104" i="3"/>
  <c r="C47" i="3"/>
  <c r="D47" i="3"/>
  <c r="E47" i="3"/>
  <c r="C260" i="3"/>
  <c r="D260" i="3"/>
  <c r="E260" i="3"/>
  <c r="C80" i="3"/>
  <c r="D80" i="3"/>
  <c r="E80" i="3"/>
  <c r="C225" i="3"/>
  <c r="D225" i="3"/>
  <c r="E225" i="3"/>
  <c r="C205" i="3"/>
  <c r="D205" i="3"/>
  <c r="E205" i="3"/>
  <c r="C56" i="3"/>
  <c r="D56" i="3"/>
  <c r="E56" i="3"/>
  <c r="C134" i="3"/>
  <c r="D134" i="3"/>
  <c r="E134" i="3"/>
  <c r="C106" i="3"/>
  <c r="D106" i="3"/>
  <c r="E106" i="3"/>
  <c r="C32" i="3"/>
  <c r="D32" i="3"/>
  <c r="E32" i="3"/>
  <c r="C46" i="3"/>
  <c r="D46" i="3"/>
  <c r="E46" i="3"/>
  <c r="C29" i="3"/>
  <c r="D29" i="3"/>
  <c r="E29" i="3"/>
  <c r="C8" i="3"/>
  <c r="D8" i="3"/>
  <c r="E8" i="3"/>
  <c r="E247" i="3"/>
  <c r="C247" i="3"/>
  <c r="D247" i="3"/>
  <c r="E158" i="3"/>
  <c r="C158" i="3"/>
  <c r="D158" i="3"/>
  <c r="D90" i="3"/>
  <c r="C90" i="3"/>
  <c r="E90" i="3"/>
  <c r="D143" i="3"/>
  <c r="C143" i="3"/>
  <c r="E143" i="3"/>
  <c r="C187" i="3"/>
  <c r="D187" i="3"/>
  <c r="E187" i="3"/>
  <c r="C114" i="3"/>
  <c r="D114" i="3"/>
  <c r="E114" i="3"/>
  <c r="C103" i="3"/>
  <c r="D103" i="3"/>
  <c r="E103" i="3"/>
  <c r="C39" i="3"/>
  <c r="D39" i="3"/>
  <c r="E39" i="3"/>
  <c r="C87" i="3"/>
  <c r="D87" i="3"/>
  <c r="E87" i="3"/>
  <c r="C244" i="3"/>
  <c r="D244" i="3"/>
  <c r="E244" i="3"/>
  <c r="C220" i="3"/>
  <c r="D220" i="3"/>
  <c r="E220" i="3"/>
  <c r="C63" i="3"/>
  <c r="D63" i="3"/>
  <c r="E63" i="3"/>
  <c r="C55" i="3"/>
  <c r="D55" i="3"/>
  <c r="E55" i="3"/>
  <c r="C127" i="3"/>
  <c r="D127" i="3"/>
  <c r="E127" i="3"/>
  <c r="C100" i="3"/>
  <c r="D100" i="3"/>
  <c r="E100" i="3"/>
  <c r="C71" i="3"/>
  <c r="D71" i="3"/>
  <c r="E71" i="3"/>
  <c r="C43" i="3"/>
  <c r="D43" i="3"/>
  <c r="E43" i="3"/>
  <c r="C15" i="3"/>
  <c r="D15" i="3"/>
  <c r="E15" i="3"/>
  <c r="C7" i="3"/>
  <c r="D7" i="3"/>
  <c r="E7" i="3"/>
  <c r="C180" i="3"/>
  <c r="D180" i="3"/>
  <c r="E180" i="3"/>
  <c r="C108" i="3"/>
  <c r="D108" i="3"/>
  <c r="E108" i="3"/>
  <c r="C72" i="3"/>
  <c r="D72" i="3"/>
  <c r="E72" i="3"/>
  <c r="C94" i="3"/>
  <c r="D94" i="3"/>
  <c r="E94" i="3"/>
  <c r="C257" i="3"/>
  <c r="D257" i="3"/>
  <c r="E257" i="3"/>
  <c r="C240" i="3"/>
  <c r="D240" i="3"/>
  <c r="E240" i="3"/>
  <c r="C70" i="3"/>
  <c r="D70" i="3"/>
  <c r="E70" i="3"/>
  <c r="C203" i="3"/>
  <c r="D203" i="3"/>
  <c r="E203" i="3"/>
  <c r="C192" i="3"/>
  <c r="D192" i="3"/>
  <c r="E192" i="3"/>
  <c r="C121" i="3"/>
  <c r="D121" i="3"/>
  <c r="E121" i="3"/>
  <c r="C93" i="3"/>
  <c r="D93" i="3"/>
  <c r="E93" i="3"/>
  <c r="C62" i="3"/>
  <c r="D62" i="3"/>
  <c r="E62" i="3"/>
  <c r="C22" i="3"/>
  <c r="D22" i="3"/>
  <c r="E22" i="3"/>
  <c r="C14" i="3"/>
  <c r="D14" i="3"/>
  <c r="E14" i="3"/>
  <c r="C6" i="3"/>
  <c r="D6" i="3"/>
  <c r="E6" i="3"/>
  <c r="E271" i="3"/>
  <c r="C271" i="3"/>
  <c r="D271" i="3"/>
  <c r="E27" i="3"/>
  <c r="C27" i="3"/>
  <c r="D27" i="3"/>
  <c r="C135" i="3"/>
  <c r="D135" i="3"/>
  <c r="E135" i="3"/>
  <c r="D66" i="3"/>
  <c r="C66" i="3"/>
  <c r="E66" i="3"/>
  <c r="D26" i="3"/>
  <c r="C26" i="3"/>
  <c r="E26" i="3"/>
  <c r="C207" i="3"/>
  <c r="D207" i="3"/>
  <c r="E207" i="3"/>
  <c r="C163" i="3"/>
  <c r="D163" i="3"/>
  <c r="E163" i="3"/>
  <c r="C101" i="3"/>
  <c r="D101" i="3"/>
  <c r="E101" i="3"/>
  <c r="C64" i="3"/>
  <c r="D64" i="3"/>
  <c r="E64" i="3"/>
  <c r="C23" i="3"/>
  <c r="D23" i="3"/>
  <c r="E23" i="3"/>
  <c r="C254" i="3"/>
  <c r="D254" i="3"/>
  <c r="E254" i="3"/>
  <c r="C238" i="3"/>
  <c r="D238" i="3"/>
  <c r="E238" i="3"/>
  <c r="C69" i="3"/>
  <c r="D69" i="3"/>
  <c r="E69" i="3"/>
  <c r="C200" i="3"/>
  <c r="D200" i="3"/>
  <c r="E200" i="3"/>
  <c r="C186" i="3"/>
  <c r="D186" i="3"/>
  <c r="E186" i="3"/>
  <c r="C45" i="3"/>
  <c r="D45" i="3"/>
  <c r="E45" i="3"/>
  <c r="C37" i="3"/>
  <c r="D37" i="3"/>
  <c r="E37" i="3"/>
  <c r="C53" i="3"/>
  <c r="D53" i="3"/>
  <c r="E53" i="3"/>
  <c r="C38" i="3"/>
  <c r="D38" i="3"/>
  <c r="E38" i="3"/>
  <c r="C13" i="3"/>
  <c r="D13" i="3"/>
  <c r="E13" i="3"/>
  <c r="C5" i="3"/>
  <c r="D5" i="3"/>
  <c r="E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488FF35-FBE2-4C0E-9295-D2D91E0543E8}" keepAlive="1" name="Consulta - Balancete MLN_WebPosto" description="Conexão com a consulta 'Balancete MLN_WebPosto' na pasta de trabalho." type="5" refreshedVersion="8" background="1" saveData="1">
    <dbPr connection="Provider=Microsoft.Mashup.OleDb.1;Data Source=$Workbook$;Location=&quot;Balancete MLN_WebPosto&quot;;Extended Properties=&quot;&quot;" command="SELECT * FROM [Balancete MLN_WebPosto]"/>
  </connection>
  <connection id="2" xr16:uid="{BBF0E69C-0CA4-41B6-9209-ABFD976DE5DD}" keepAlive="1" name="Consulta - Diretório" description="Conexão com a consulta 'Diretório' na pasta de trabalho." type="5" refreshedVersion="8" background="1" saveData="1">
    <dbPr connection="Provider=Microsoft.Mashup.OleDb.1;Data Source=$Workbook$;Location=Diretório;Extended Properties=&quot;&quot;" command="SELECT * FROM [Diretório]"/>
  </connection>
  <connection id="3" xr16:uid="{63782A44-42BD-4367-B24F-B13E102D136E}" keepAlive="1" name="Consulta - Fonte Base" description="Conexão com a consulta 'Fonte Base' na pasta de trabalho." type="5" refreshedVersion="0" background="1">
    <dbPr connection="Provider=Microsoft.Mashup.OleDb.1;Data Source=$Workbook$;Location=&quot;Fonte Base&quot;;Extended Properties=&quot;&quot;" command="SELECT * FROM [Fonte Base]"/>
  </connection>
  <connection id="4" xr16:uid="{DEEB12E4-982C-4370-BBBE-D69245D97BF2}" keepAlive="1" name="Consulta - Link" description="Conexão com a consulta 'Link' na pasta de trabalho." type="5" refreshedVersion="8" background="1" saveData="1">
    <dbPr connection="Provider=Microsoft.Mashup.OleDb.1;Data Source=$Workbook$;Location=Link;Extended Properties=&quot;&quot;" command="SELECT * FROM [Link]"/>
  </connection>
  <connection id="5" xr16:uid="{0E6BA31C-3396-4C91-9FBD-A624B2BC9BA9}" keepAlive="1" name="Consulta - Relatório Modificado" description="Conexão com a consulta 'Relatório Modificado' na pasta de trabalho." type="5" refreshedVersion="8" background="1" saveData="1">
    <dbPr connection="Provider=Microsoft.Mashup.OleDb.1;Data Source=$Workbook$;Location=&quot;Relatório Modificado&quot;;Extended Properties=&quot;&quot;" command="SELECT * FROM [Relatório Modificado]"/>
  </connection>
  <connection id="6" xr16:uid="{E4249024-9639-4795-B4D1-D5724AE4919F}" keepAlive="1" name="Consulta - Relatorio Padão(1)" description="Conexão com a consulta 'Relatorio Padão' na pasta de trabalho." type="5" refreshedVersion="0" background="1">
    <dbPr connection="Provider=Microsoft.Mashup.OleDb.1;Data Source=$Workbook$;Location=&quot;Relatorio Padão&quot;;Extended Properties=&quot;&quot;" command="SELECT * FROM [Relatorio Padão]"/>
  </connection>
  <connection id="7" xr16:uid="{CBA28DDA-E51F-4B9E-A5BE-D7AF483185EC}" keepAlive="1" name="Consulta - Relatório Padrão" description="Conexão com a consulta 'Relatório Padrão' na pasta de trabalho." type="5" refreshedVersion="8" background="1" saveData="1">
    <dbPr connection="Provider=Microsoft.Mashup.OleDb.1;Data Source=$Workbook$;Location=&quot;Relatório Padrão&quot;;Extended Properties=&quot;&quot;" command="SELECT * FROM [Relatório Padrã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<sst xmlns="http://schemas.openxmlformats.org/spreadsheetml/2006/main" count="14125" uniqueCount="893">
  <si>
    <t>Balancete:</t>
  </si>
  <si>
    <t>Conta</t>
  </si>
  <si>
    <t>Descrição da conta</t>
  </si>
  <si>
    <t>Caracteristica
(Sintetica/Analitica)</t>
  </si>
  <si>
    <t>Grupo
A/P/R</t>
  </si>
  <si>
    <t>Grupo Conta
1/2/3/4</t>
  </si>
  <si>
    <t>Referencial RFB</t>
  </si>
  <si>
    <t>Referencial BPC</t>
  </si>
  <si>
    <t>Observação contas novas</t>
  </si>
  <si>
    <t>Impacto de IR/CS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</si>
  <si>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</si>
  <si>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</si>
  <si>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</si>
  <si>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</si>
  <si>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</si>
  <si>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</si>
  <si>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</si>
  <si>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</si>
  <si>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</si>
  <si>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</si>
  <si>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</si>
  <si>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</si>
  <si>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</t>
  </si>
  <si>
    <t>B</t>
  </si>
  <si>
    <t>C</t>
  </si>
  <si>
    <t>Sem Impacto</t>
  </si>
  <si>
    <t>1.01.01.01.000200</t>
  </si>
  <si>
    <t>1.01.01.01.000300</t>
  </si>
  <si>
    <t>1.01.01.01.000301</t>
  </si>
  <si>
    <t>1.01.01.01.000406</t>
  </si>
  <si>
    <t>1.01.01.02.001011</t>
  </si>
  <si>
    <t>1.01.02.01.000002</t>
  </si>
  <si>
    <t>1.01.02.01.000003</t>
  </si>
  <si>
    <t>1.01.02.02.000100</t>
  </si>
  <si>
    <t>1.01.02.02.000200</t>
  </si>
  <si>
    <t>1.01.02.06.000100</t>
  </si>
  <si>
    <t>1.01.02.06.000200</t>
  </si>
  <si>
    <t>1.01.02.06.000300</t>
  </si>
  <si>
    <t>1.01.03.01.000200</t>
  </si>
  <si>
    <t>1.01.03.01.000300</t>
  </si>
  <si>
    <t>2.01.01.01.000100</t>
  </si>
  <si>
    <t>2.01.01.05.000100</t>
  </si>
  <si>
    <t>2.01.01.05.000200</t>
  </si>
  <si>
    <t>2.01.01.05.000300</t>
  </si>
  <si>
    <t>2.01.01.05.001000</t>
  </si>
  <si>
    <t>2.01.01.05.001100</t>
  </si>
  <si>
    <t>2.04.01.01.000001</t>
  </si>
  <si>
    <t>2.04.01.02.000001</t>
  </si>
  <si>
    <t>3.01.01.01.000401</t>
  </si>
  <si>
    <t>3.01.01.03.000200</t>
  </si>
  <si>
    <t>3.01.01.03.000300</t>
  </si>
  <si>
    <t>3.01.01.03.000400</t>
  </si>
  <si>
    <t>3.01.01.04.000301</t>
  </si>
  <si>
    <t>4.01.01.01.000200</t>
  </si>
  <si>
    <t>4.01.01.01.000400</t>
  </si>
  <si>
    <t>4.01.05.02.000100</t>
  </si>
  <si>
    <t>4.01.05.02.000200</t>
  </si>
  <si>
    <t>4.01.05.02.000300</t>
  </si>
  <si>
    <t>4.01.05.02.000400</t>
  </si>
  <si>
    <t>4.01.05.02.000500</t>
  </si>
  <si>
    <t>4.01.05.02.001000</t>
  </si>
  <si>
    <t>4.01.05.02.001501</t>
  </si>
  <si>
    <t>4.01.05.02.001504</t>
  </si>
  <si>
    <t>4.01.05.03.000200</t>
  </si>
  <si>
    <t>4.01.05.05.000200</t>
  </si>
  <si>
    <t>4.01.05.07.000100</t>
  </si>
  <si>
    <t>4.01.05.07.000603</t>
  </si>
  <si>
    <t>4.01.05.08.000100</t>
  </si>
  <si>
    <t>4.01.05.08.001000</t>
  </si>
  <si>
    <t>4.01.05.10.000900</t>
  </si>
  <si>
    <t>4.01.05.10.002100</t>
  </si>
  <si>
    <t>4.01.10.01.000100</t>
  </si>
  <si>
    <t>4.01.10.01.000400</t>
  </si>
  <si>
    <t>4.01.10.01.000700</t>
  </si>
  <si>
    <t>4.01.10.01.000800</t>
  </si>
  <si>
    <t>4.05.01.01.000100</t>
  </si>
  <si>
    <t>4.05.01.01.000200</t>
  </si>
  <si>
    <t>Personalizar</t>
  </si>
  <si>
    <t>Folder Path</t>
  </si>
  <si>
    <t>2.01.01.05.000900</t>
  </si>
  <si>
    <t>2.04.02.01.000100</t>
  </si>
  <si>
    <t>1.01.01.02.001012</t>
  </si>
  <si>
    <t>1.01.03.01.000500</t>
  </si>
  <si>
    <t>2.01.01.01.000105</t>
  </si>
  <si>
    <t>2.01.01.01.000125</t>
  </si>
  <si>
    <t>2.04.05.01.000100</t>
  </si>
  <si>
    <t>3.01.01.01.000402</t>
  </si>
  <si>
    <t>3.01.01.04.000100</t>
  </si>
  <si>
    <t>3.01.02.01.000102</t>
  </si>
  <si>
    <t>4.01.01.01.001000</t>
  </si>
  <si>
    <t>4.01.05.02.000600</t>
  </si>
  <si>
    <t>4.01.05.03.000600</t>
  </si>
  <si>
    <t>4.01.05.04.000200</t>
  </si>
  <si>
    <t>4.01.05.04.000400</t>
  </si>
  <si>
    <t>4.01.05.05.000300</t>
  </si>
  <si>
    <t>4.01.05.05.000500</t>
  </si>
  <si>
    <t>4.01.05.05.000600</t>
  </si>
  <si>
    <t>4.01.05.07.000300</t>
  </si>
  <si>
    <t>4.01.05.07.000600</t>
  </si>
  <si>
    <t>4.01.05.07.000604</t>
  </si>
  <si>
    <t>4.01.05.07.000610</t>
  </si>
  <si>
    <t>4.01.05.07.000613</t>
  </si>
  <si>
    <t>4.01.05.08.000400</t>
  </si>
  <si>
    <t>4.01.05.08.000800</t>
  </si>
  <si>
    <t>4.01.05.09.000100</t>
  </si>
  <si>
    <t>4.01.05.10.000100</t>
  </si>
  <si>
    <t>4.01.05.10.000200</t>
  </si>
  <si>
    <t>4.01.05.10.000400</t>
  </si>
  <si>
    <t>4.01.05.10.001600</t>
  </si>
  <si>
    <t>4.01.05.10.002400</t>
  </si>
  <si>
    <t>4.01.05.10.002900</t>
  </si>
  <si>
    <t>4.01.05.10.003106</t>
  </si>
  <si>
    <t>4.01.08.01.002300</t>
  </si>
  <si>
    <t>2.01.01.01.000121</t>
  </si>
  <si>
    <t>AMPM PORTO  ANCHIETA</t>
  </si>
  <si>
    <t>SETEMBRO</t>
  </si>
  <si>
    <t>CAIXA PDV PISTA DINHEIRO</t>
  </si>
  <si>
    <t>CAIXA PDV - PIX</t>
  </si>
  <si>
    <t>PAGPIX</t>
  </si>
  <si>
    <t>PROTEGE</t>
  </si>
  <si>
    <t>BANCO ITAU</t>
  </si>
  <si>
    <t>BANCO BANRISUL</t>
  </si>
  <si>
    <t>CLIENTES - PDV</t>
  </si>
  <si>
    <t>IPIRANGA- INTERHOLDING</t>
  </si>
  <si>
    <t>CARTAO DE DEBITO</t>
  </si>
  <si>
    <t>CARTAO DE CREDITO</t>
  </si>
  <si>
    <t>IMPOSTOS A RECUPERAR</t>
  </si>
  <si>
    <t>ICMS A RECUPERAR</t>
  </si>
  <si>
    <t>PIS A RECUPERAR</t>
  </si>
  <si>
    <t>COFINS A RECUPERAR</t>
  </si>
  <si>
    <t>ESTOQUE DE MERCADORIAS LJ CONVENIENCIA</t>
  </si>
  <si>
    <t>ESTOQUE DE PRODUTOS AUTOMOTIVOS</t>
  </si>
  <si>
    <t>(-) PROVISAO PERDA ESTOQUE</t>
  </si>
  <si>
    <t>FORNECEDORES DIVERSOS</t>
  </si>
  <si>
    <t>40.299.810/0027-44 #FORNEC.INTERHOLDING - AM PM</t>
  </si>
  <si>
    <t>33.337.122/0159-06 #FORNEC.INTERHOLDING - IPIRANGA</t>
  </si>
  <si>
    <t>33.337.122/0001-27 #FORNEC.INTERHOLDING - IPIRANGA</t>
  </si>
  <si>
    <t>ICMS A RECOLHER</t>
  </si>
  <si>
    <t>PIS A RECOLHER</t>
  </si>
  <si>
    <t>COFINS A RECOLHER</t>
  </si>
  <si>
    <t>ISS TERCEIROS A RECOLHER</t>
  </si>
  <si>
    <t>RETENCOES IRRF COD 1708</t>
  </si>
  <si>
    <t>RETENCOES IRRF PIS/COFINS/CSLL COD 5952</t>
  </si>
  <si>
    <t>03.546.544/0001-41 CAPITAL SOCIAL</t>
  </si>
  <si>
    <t>(-) CAPITAL A INTEGRALIZAR</t>
  </si>
  <si>
    <t>ADIANT. P FUTURO AUMENTO DE CAPITAL SOCIAL</t>
  </si>
  <si>
    <t>(-) PREJUIZOS ACUMULADOS</t>
  </si>
  <si>
    <t>RECEITAS VENDAS DE PRODUTOS AUTOMOTIVOS</t>
  </si>
  <si>
    <t>RECEITAS VENDAS DE PRODUTOS CONVENIENCIA</t>
  </si>
  <si>
    <t>(-) ICMS</t>
  </si>
  <si>
    <t>(-) PIS S/FATURAMENTOS</t>
  </si>
  <si>
    <t>(-) COFINS S/FATURAMENTOS</t>
  </si>
  <si>
    <t>DESCONTOS OBTIDOS</t>
  </si>
  <si>
    <t>OUTRAS RECEITAS FINANCEIRAS</t>
  </si>
  <si>
    <t>PRODUTOS RECEBIDOS EM BONIFICAÇÃO OU BRINDE</t>
  </si>
  <si>
    <t>C.M.V MERCADORIAS DIVERSAS (LOJA)</t>
  </si>
  <si>
    <t>C.M.V PRODUTOS  AUTOMOTIVOS</t>
  </si>
  <si>
    <t>PROVISÃO PERDA ESTOQUE</t>
  </si>
  <si>
    <t>SALARIOS</t>
  </si>
  <si>
    <t>INSS</t>
  </si>
  <si>
    <t>FGTS</t>
  </si>
  <si>
    <t>FERIAS</t>
  </si>
  <si>
    <t>13° SALARIO</t>
  </si>
  <si>
    <t>INDENIZACOES E AVISO PREVIO</t>
  </si>
  <si>
    <t>HORAS EXTRAS</t>
  </si>
  <si>
    <t>FGTS 50% MULTA RECISORIA</t>
  </si>
  <si>
    <t>DESCONTO QUEBRA DE CAIXA</t>
  </si>
  <si>
    <t>VALE TRANSPORTE</t>
  </si>
  <si>
    <t>EPI - EQUIP. PROTECAO INDIVIDUAL E UNIFORMES</t>
  </si>
  <si>
    <t>PREMIOS, BRINDES E DOACOES</t>
  </si>
  <si>
    <t>PROPAGANDA E PUBLICIDADE</t>
  </si>
  <si>
    <t>PROVISAO INSS S/FERIAS</t>
  </si>
  <si>
    <t>PROVISAO FGTS S/FERIAS</t>
  </si>
  <si>
    <t>PROVISAO DE INSS S/13 SALARIO</t>
  </si>
  <si>
    <t>PROVISAO DE FGTS S/13 SALARIO</t>
  </si>
  <si>
    <t>ALUGUEL DE IMOVEIS</t>
  </si>
  <si>
    <t>ALUGUEL DIVERSOS</t>
  </si>
  <si>
    <t>SEGUROS DIVERSOS</t>
  </si>
  <si>
    <t>SERVIÇO CONCILIAÇÃO DE VALORES</t>
  </si>
  <si>
    <t>SERVIÇO DE TEF</t>
  </si>
  <si>
    <t>AMPM - ROYALTIES</t>
  </si>
  <si>
    <t>AMPM – TAXA LOGISTICA</t>
  </si>
  <si>
    <t>SERVICOS PROFISSIONAIS PESSOA JURIDICA</t>
  </si>
  <si>
    <t>HONORARIOS CONTABILIDADE</t>
  </si>
  <si>
    <t>SERVICOS DE HIGIENE E LIMPEZA</t>
  </si>
  <si>
    <t>TRANSPORTE DE VALORES</t>
  </si>
  <si>
    <t>MANUTENCAO DE EDIFICIO E INSTALACOES</t>
  </si>
  <si>
    <t>MATERIAL DE ESCRITORIO</t>
  </si>
  <si>
    <t>TELEFONE FIXO E INTERNET</t>
  </si>
  <si>
    <t>ENERGIA ELETRICA</t>
  </si>
  <si>
    <t>DESPESAS LEGAIS E JUDICIAIS</t>
  </si>
  <si>
    <t>MATERIAIS - SERV - EQUIP. UTILIZADOS NA PISTA</t>
  </si>
  <si>
    <t>MATERIAL DE USO E CONSUMO</t>
  </si>
  <si>
    <t>MENSALIDADE DE SOFTWARE</t>
  </si>
  <si>
    <t>DESPESAS JURIDICAS</t>
  </si>
  <si>
    <t>PERDA SOBRA E FALTA</t>
  </si>
  <si>
    <t>IPTU</t>
  </si>
  <si>
    <t>DESPESAS BANCARIAS - TARIFAS</t>
  </si>
  <si>
    <t>JUROS DE MORA FORNECEDORES</t>
  </si>
  <si>
    <t>OUTRAS DESPESAS FINANCEIRAS</t>
  </si>
  <si>
    <t>TAXA ADMINISTRATIVA CARTAO DE CREDITO</t>
  </si>
  <si>
    <t>PROVISAO P/IRPJ</t>
  </si>
  <si>
    <t>PROVISAO P/CSLL</t>
  </si>
  <si>
    <t>4.01.05.10.003107</t>
  </si>
  <si>
    <t>PERDA NOTA FALSA</t>
  </si>
  <si>
    <t>1.01.02.02.000300</t>
  </si>
  <si>
    <t>ABASTECE AI</t>
  </si>
  <si>
    <t>4.01.05.03.000100</t>
  </si>
  <si>
    <t>VALE ALIMENTACAO E CESTA BASICA</t>
  </si>
  <si>
    <t>4.01.05.10.000700</t>
  </si>
  <si>
    <t>MATERIAL DE HIGIENE E LIMPEZA</t>
  </si>
  <si>
    <t>6</t>
  </si>
  <si>
    <t>7</t>
  </si>
  <si>
    <t>000844</t>
  </si>
  <si>
    <t>000870</t>
  </si>
  <si>
    <t>16</t>
  </si>
  <si>
    <t>17</t>
  </si>
  <si>
    <t>54</t>
  </si>
  <si>
    <t>000880</t>
  </si>
  <si>
    <t>64</t>
  </si>
  <si>
    <t>65</t>
  </si>
  <si>
    <t>241</t>
  </si>
  <si>
    <t>242</t>
  </si>
  <si>
    <t>243</t>
  </si>
  <si>
    <t>272</t>
  </si>
  <si>
    <t>273</t>
  </si>
  <si>
    <t>000897</t>
  </si>
  <si>
    <t>390</t>
  </si>
  <si>
    <t>000790</t>
  </si>
  <si>
    <t>000806</t>
  </si>
  <si>
    <t>000810</t>
  </si>
  <si>
    <t>418</t>
  </si>
  <si>
    <t>419</t>
  </si>
  <si>
    <t>420</t>
  </si>
  <si>
    <t>426</t>
  </si>
  <si>
    <t>427</t>
  </si>
  <si>
    <t>428</t>
  </si>
  <si>
    <t>774</t>
  </si>
  <si>
    <t>518</t>
  </si>
  <si>
    <t>521</t>
  </si>
  <si>
    <t>536</t>
  </si>
  <si>
    <t>550</t>
  </si>
  <si>
    <t>551</t>
  </si>
  <si>
    <t>557</t>
  </si>
  <si>
    <t>558</t>
  </si>
  <si>
    <t>559</t>
  </si>
  <si>
    <t>564</t>
  </si>
  <si>
    <t>567</t>
  </si>
  <si>
    <t>000843</t>
  </si>
  <si>
    <t>588</t>
  </si>
  <si>
    <t>590</t>
  </si>
  <si>
    <t>000898</t>
  </si>
  <si>
    <t>596</t>
  </si>
  <si>
    <t>597</t>
  </si>
  <si>
    <t>598</t>
  </si>
  <si>
    <t>599</t>
  </si>
  <si>
    <t>600</t>
  </si>
  <si>
    <t>601</t>
  </si>
  <si>
    <t>605</t>
  </si>
  <si>
    <t>611</t>
  </si>
  <si>
    <t>779</t>
  </si>
  <si>
    <t>620</t>
  </si>
  <si>
    <t>624</t>
  </si>
  <si>
    <t>632</t>
  </si>
  <si>
    <t>634</t>
  </si>
  <si>
    <t>643</t>
  </si>
  <si>
    <t>644</t>
  </si>
  <si>
    <t>646</t>
  </si>
  <si>
    <t>647</t>
  </si>
  <si>
    <t>661</t>
  </si>
  <si>
    <t>663</t>
  </si>
  <si>
    <t>666</t>
  </si>
  <si>
    <t>000846</t>
  </si>
  <si>
    <t>000847</t>
  </si>
  <si>
    <t>000854</t>
  </si>
  <si>
    <t>000911</t>
  </si>
  <si>
    <t>670</t>
  </si>
  <si>
    <t>673</t>
  </si>
  <si>
    <t>677</t>
  </si>
  <si>
    <t>679</t>
  </si>
  <si>
    <t>683</t>
  </si>
  <si>
    <t>688</t>
  </si>
  <si>
    <t>689</t>
  </si>
  <si>
    <t>691</t>
  </si>
  <si>
    <t>696</t>
  </si>
  <si>
    <t>703</t>
  </si>
  <si>
    <t>708</t>
  </si>
  <si>
    <t>711</t>
  </si>
  <si>
    <t>716</t>
  </si>
  <si>
    <t>000876</t>
  </si>
  <si>
    <t>000856</t>
  </si>
  <si>
    <t>748</t>
  </si>
  <si>
    <t>751</t>
  </si>
  <si>
    <t>754</t>
  </si>
  <si>
    <t>755</t>
  </si>
  <si>
    <t>769</t>
  </si>
  <si>
    <t>770</t>
  </si>
  <si>
    <t>000877</t>
  </si>
  <si>
    <t>66</t>
  </si>
  <si>
    <t>619</t>
  </si>
  <si>
    <t>694</t>
  </si>
  <si>
    <t>1.01.02.05.000200</t>
  </si>
  <si>
    <t>231</t>
  </si>
  <si>
    <t>ADIANTAMENTOS DE SALARIOS</t>
  </si>
  <si>
    <t>1.01.03.01.000100</t>
  </si>
  <si>
    <t>271</t>
  </si>
  <si>
    <t>ESTOQUE DE COMBUSTIVEIS</t>
  </si>
  <si>
    <t>2.01.01.01.000101</t>
  </si>
  <si>
    <t>391</t>
  </si>
  <si>
    <t>FORNECEDOR INTER HOLDING</t>
  </si>
  <si>
    <t>2.01.01.03.000100</t>
  </si>
  <si>
    <t>397</t>
  </si>
  <si>
    <t>SALARIOS A PAGAR</t>
  </si>
  <si>
    <t>2.01.01.03.000200</t>
  </si>
  <si>
    <t>398</t>
  </si>
  <si>
    <t>RESCISOES A PAGAR</t>
  </si>
  <si>
    <t>2.01.01.03.000401</t>
  </si>
  <si>
    <t>401</t>
  </si>
  <si>
    <t>PROVISAO S/ FERIAS</t>
  </si>
  <si>
    <t>2.01.01.03.000402</t>
  </si>
  <si>
    <t>402</t>
  </si>
  <si>
    <t>PROVISAO S/ 13°</t>
  </si>
  <si>
    <t>2.01.01.04.000100</t>
  </si>
  <si>
    <t>404</t>
  </si>
  <si>
    <t>INSS A RECOLHER</t>
  </si>
  <si>
    <t>2.01.01.04.000200</t>
  </si>
  <si>
    <t>405</t>
  </si>
  <si>
    <t>FGTS A RECOLHER</t>
  </si>
  <si>
    <t>2.01.01.04.000300</t>
  </si>
  <si>
    <t>406</t>
  </si>
  <si>
    <t>2.01.01.04.000400</t>
  </si>
  <si>
    <t>407</t>
  </si>
  <si>
    <t>PROVISAO INSS S/13° SALARIO</t>
  </si>
  <si>
    <t>2.01.01.04.000500</t>
  </si>
  <si>
    <t>408</t>
  </si>
  <si>
    <t>2.01.01.04.000600</t>
  </si>
  <si>
    <t>409</t>
  </si>
  <si>
    <t>PROVISAO FGTS S/13° SALARIO</t>
  </si>
  <si>
    <t>2.01.01.05.001200</t>
  </si>
  <si>
    <t>429</t>
  </si>
  <si>
    <t>RETENCOES IRRF COD 0561</t>
  </si>
  <si>
    <t>2.01.01.06.000100</t>
  </si>
  <si>
    <t>439</t>
  </si>
  <si>
    <t>CONTRIBUICAO E MENSALIDADE SINDICAL A RECOLHER</t>
  </si>
  <si>
    <t>4.01.05.02.001503</t>
  </si>
  <si>
    <t>617</t>
  </si>
  <si>
    <t>COMISSÕES</t>
  </si>
  <si>
    <t>4.01.05.03.000400</t>
  </si>
  <si>
    <t>622</t>
  </si>
  <si>
    <t>SEGURO DE VIDA EM GRUPO</t>
  </si>
  <si>
    <t>4.01.05.05.000100</t>
  </si>
  <si>
    <t>642</t>
  </si>
  <si>
    <t>PROVISAO DE FERIAS</t>
  </si>
  <si>
    <t>4.01.05.05.000400</t>
  </si>
  <si>
    <t>645</t>
  </si>
  <si>
    <t>PROVISAO DE 13 SALARIO</t>
  </si>
  <si>
    <t>4.01.05.09.000200</t>
  </si>
  <si>
    <t>684</t>
  </si>
  <si>
    <t>MANUTENCAO DE MAQUINAS E EQUIPAMENTOS</t>
  </si>
  <si>
    <t>4.01.05.10.000500</t>
  </si>
  <si>
    <t>692</t>
  </si>
  <si>
    <t>AGUA E ESGOTO</t>
  </si>
  <si>
    <t>1.01.07.01.000010</t>
  </si>
  <si>
    <t>295</t>
  </si>
  <si>
    <t>TRANSITORIA</t>
  </si>
  <si>
    <t>2.01.01.05.000500</t>
  </si>
  <si>
    <t>422</t>
  </si>
  <si>
    <t>I.R.P.J A RECOLHER</t>
  </si>
  <si>
    <t>2.01.01.05.000600</t>
  </si>
  <si>
    <t>423</t>
  </si>
  <si>
    <t>C.S.L.L A RECOLHER</t>
  </si>
  <si>
    <t>3.01.01.01.000100</t>
  </si>
  <si>
    <t>546</t>
  </si>
  <si>
    <t>RECEITAS VENDAS DE GASOLINA</t>
  </si>
  <si>
    <t>3.01.01.01.000200</t>
  </si>
  <si>
    <t>547</t>
  </si>
  <si>
    <t>RECEITAS VENDAS DE DIESEL</t>
  </si>
  <si>
    <t>4.01.01.01.000100</t>
  </si>
  <si>
    <t>587</t>
  </si>
  <si>
    <t>C.M.V COMBUSTIVEL</t>
  </si>
  <si>
    <t>4.01.05.03.000300</t>
  </si>
  <si>
    <t>621</t>
  </si>
  <si>
    <t>ASSISTENCIA MEDICA</t>
  </si>
  <si>
    <t>4.01.05.03.000800</t>
  </si>
  <si>
    <t>626</t>
  </si>
  <si>
    <t>CONTRIBUICAO E ASSOCIACOES DE CLASSE</t>
  </si>
  <si>
    <t>4.01.05.03.001001</t>
  </si>
  <si>
    <t>628</t>
  </si>
  <si>
    <t>PLANO DE SAUDE</t>
  </si>
  <si>
    <t>4.01.05.06.000500</t>
  </si>
  <si>
    <t>653</t>
  </si>
  <si>
    <t>FRETES E CARRETOS E ARMAZENAGEM</t>
  </si>
  <si>
    <t>4.01.05.07.000608</t>
  </si>
  <si>
    <t>000852</t>
  </si>
  <si>
    <t>IPP - PLANO DE MARKETING</t>
  </si>
  <si>
    <t>4.01.05.08.001300</t>
  </si>
  <si>
    <t>000849</t>
  </si>
  <si>
    <t>SERVIÇO DE VIGILÂNCIA</t>
  </si>
  <si>
    <t>4.01.05.11.000100</t>
  </si>
  <si>
    <t>776</t>
  </si>
  <si>
    <t>DEPRECIACAO</t>
  </si>
  <si>
    <t>4.01.08.01.000700</t>
  </si>
  <si>
    <t>730</t>
  </si>
  <si>
    <t>IMPOSTOS E TAXAS MUNICIPAIS</t>
  </si>
  <si>
    <t>4.01.08.01.001300</t>
  </si>
  <si>
    <t>736</t>
  </si>
  <si>
    <t>DARF - 0561</t>
  </si>
  <si>
    <t>4.01.08.01.001600</t>
  </si>
  <si>
    <t>739</t>
  </si>
  <si>
    <t>TAXA DE ALVARA</t>
  </si>
  <si>
    <t>1.01.01.01.000401</t>
  </si>
  <si>
    <t>9</t>
  </si>
  <si>
    <t>COFRE BRINKS</t>
  </si>
  <si>
    <t>1.01.02.06.001104</t>
  </si>
  <si>
    <t>251</t>
  </si>
  <si>
    <t>IRRF S/APLICAÇÃO FINANCEIRA</t>
  </si>
  <si>
    <t>1.02.03.01.000400</t>
  </si>
  <si>
    <t>347</t>
  </si>
  <si>
    <t>MAQUINAS E EQUIPAMENTOS</t>
  </si>
  <si>
    <t>1.02.03.06.000400</t>
  </si>
  <si>
    <t>361</t>
  </si>
  <si>
    <t>(-) DEPRECIACAO MAQUINAS E EQUIPAMENTOS</t>
  </si>
  <si>
    <t>1.02.04.01.000200</t>
  </si>
  <si>
    <t>372</t>
  </si>
  <si>
    <t>FUNDO DE COMERCIO</t>
  </si>
  <si>
    <t>1.02.04.01.000300</t>
  </si>
  <si>
    <t>373</t>
  </si>
  <si>
    <t>LICENCA USO DE SOFTWARE</t>
  </si>
  <si>
    <t>1.02.04.02.000300</t>
  </si>
  <si>
    <t>378</t>
  </si>
  <si>
    <t>( - ) AMORTIZACAO DE SOFTWARE</t>
  </si>
  <si>
    <t>2.01.01.03.000300</t>
  </si>
  <si>
    <t>399</t>
  </si>
  <si>
    <t>FERIAS A PAGAR</t>
  </si>
  <si>
    <t>3.01.01.01.000300</t>
  </si>
  <si>
    <t>548</t>
  </si>
  <si>
    <t>RECEITAS VENDAS DE ETANOL</t>
  </si>
  <si>
    <t>4.01.05.10.003000</t>
  </si>
  <si>
    <t>717</t>
  </si>
  <si>
    <t>MULTAS DEDUTIVEIS</t>
  </si>
  <si>
    <t>4.01.05.10.003101</t>
  </si>
  <si>
    <t>719</t>
  </si>
  <si>
    <t>DESPESAS NAO DEDUTIVEIS</t>
  </si>
  <si>
    <t>4.01.05.11.000200</t>
  </si>
  <si>
    <t>777</t>
  </si>
  <si>
    <t>AMORTIZAÇÃO</t>
  </si>
  <si>
    <t>4.01.08.01.000900</t>
  </si>
  <si>
    <t>732</t>
  </si>
  <si>
    <t>TAXA IBAMA</t>
  </si>
  <si>
    <t>1.01.02.01.000001</t>
  </si>
  <si>
    <t>53</t>
  </si>
  <si>
    <t>CLIENTES GERAL</t>
  </si>
  <si>
    <t>1.01.07.01.000008</t>
  </si>
  <si>
    <t>293</t>
  </si>
  <si>
    <t>ENTRADA DE COMODATO</t>
  </si>
  <si>
    <t>1.02.03.01.000300</t>
  </si>
  <si>
    <t>346</t>
  </si>
  <si>
    <t>MOVEIS E UTENSILIOS</t>
  </si>
  <si>
    <t>1.02.03.01.000500</t>
  </si>
  <si>
    <t>348</t>
  </si>
  <si>
    <t>COMPUTADORES E PERIFERICOS</t>
  </si>
  <si>
    <t>1.02.03.01.000800</t>
  </si>
  <si>
    <t>351</t>
  </si>
  <si>
    <t>FERRAMENTAS</t>
  </si>
  <si>
    <t>1.02.03.01.000801</t>
  </si>
  <si>
    <t>352</t>
  </si>
  <si>
    <t>BENFEITORIA PREDIO DE TERCEIROS</t>
  </si>
  <si>
    <t>1.02.03.01.000803</t>
  </si>
  <si>
    <t>354</t>
  </si>
  <si>
    <t>CONSTRUCOES EM ANDAMENTO</t>
  </si>
  <si>
    <t>1.02.03.06.000300</t>
  </si>
  <si>
    <t>360</t>
  </si>
  <si>
    <t>(-) DEPRECIACAO MOVEIS E UTENSILIOS</t>
  </si>
  <si>
    <t>1.02.03.06.000500</t>
  </si>
  <si>
    <t>362</t>
  </si>
  <si>
    <t>(-) DEPRECIACAO COMPUTADORES E PERIFERICOS</t>
  </si>
  <si>
    <t>1.02.03.06.000800</t>
  </si>
  <si>
    <t>365</t>
  </si>
  <si>
    <t>(-) DEPRECIACAO FERRAMENTAS</t>
  </si>
  <si>
    <t>1.02.03.06.000802</t>
  </si>
  <si>
    <t>367</t>
  </si>
  <si>
    <t>(-) DEPRECIACAO BENFEITORIA EM PREDIO DE TERCEIRO</t>
  </si>
  <si>
    <t>1.02.04.01.000301</t>
  </si>
  <si>
    <t>374</t>
  </si>
  <si>
    <t>FRANQUIA</t>
  </si>
  <si>
    <t>1.02.04.02.000301</t>
  </si>
  <si>
    <t>000899</t>
  </si>
  <si>
    <t>(-) AMORTIZAÇÃO DE FRANQUIA</t>
  </si>
  <si>
    <t>2.01.01.03.000404</t>
  </si>
  <si>
    <t>000905</t>
  </si>
  <si>
    <t>EMPRESTIMO CONSIGNADO / COOPERATIVA</t>
  </si>
  <si>
    <t>2.01.01.05.000800</t>
  </si>
  <si>
    <t>425</t>
  </si>
  <si>
    <t>INSS TERCEIROS A RECOLHER</t>
  </si>
  <si>
    <t>2.02.06.01.000001</t>
  </si>
  <si>
    <t>509</t>
  </si>
  <si>
    <t>COMODATO</t>
  </si>
  <si>
    <t>4.01.05.08.000300</t>
  </si>
  <si>
    <t>672</t>
  </si>
  <si>
    <t>SERVICOS DE TECONOLOGIA E INFORMATICA</t>
  </si>
  <si>
    <t>1.01.01.02.001015</t>
  </si>
  <si>
    <t>20</t>
  </si>
  <si>
    <t>BANCO BRADESCOS S/A</t>
  </si>
  <si>
    <t>2.01.01.04.000700</t>
  </si>
  <si>
    <t>410</t>
  </si>
  <si>
    <t>PENSAO ALIMENTICIA</t>
  </si>
  <si>
    <t>4.01.05.02.000700</t>
  </si>
  <si>
    <t>602</t>
  </si>
  <si>
    <t>PERICULOSIDADE</t>
  </si>
  <si>
    <t>4.01.05.02.001100</t>
  </si>
  <si>
    <t>606</t>
  </si>
  <si>
    <t>ADICIONAL NOTURNO</t>
  </si>
  <si>
    <t>4.01.05.02.001508</t>
  </si>
  <si>
    <t>000904</t>
  </si>
  <si>
    <t>ADICIONAL DUPLA FUNCAO</t>
  </si>
  <si>
    <t>1.02.03.01.000700</t>
  </si>
  <si>
    <t>350</t>
  </si>
  <si>
    <t>INSTALACOES</t>
  </si>
  <si>
    <t>1.02.03.06.000700</t>
  </si>
  <si>
    <t>364</t>
  </si>
  <si>
    <t>(-) DEPRECIACAO INSTALACOES</t>
  </si>
  <si>
    <t>1.01.02.05.000600</t>
  </si>
  <si>
    <t>235</t>
  </si>
  <si>
    <t>ADIANTAMENTOS A FORNECEDORES</t>
  </si>
  <si>
    <t>4.01.05.04.000702</t>
  </si>
  <si>
    <t>639</t>
  </si>
  <si>
    <t>FRANQUIA POSTO/LOJA</t>
  </si>
  <si>
    <t>4.01.05.02.001500</t>
  </si>
  <si>
    <t>610</t>
  </si>
  <si>
    <t>RESCISOES CONTRATUAIS</t>
  </si>
  <si>
    <t>2.01.01.10.000001</t>
  </si>
  <si>
    <t>469</t>
  </si>
  <si>
    <t>BENS EM COMODATO</t>
  </si>
  <si>
    <t>POSTO DE COMBUSTIVEIS MLN ITANHAEN LTDA</t>
  </si>
  <si>
    <t>1.02.03.02.000100</t>
  </si>
  <si>
    <t>784</t>
  </si>
  <si>
    <t>POSTO CASTELINHO</t>
  </si>
  <si>
    <t>1.01.01.01.000405</t>
  </si>
  <si>
    <t>13</t>
  </si>
  <si>
    <t>CAIXA TRANSITORIO</t>
  </si>
  <si>
    <t>1.01.02.06.001000</t>
  </si>
  <si>
    <t>246</t>
  </si>
  <si>
    <t>IRRF A RECUPERAR</t>
  </si>
  <si>
    <t>1.01.02.06.001106</t>
  </si>
  <si>
    <t>253</t>
  </si>
  <si>
    <t>2.01.01.05.000400</t>
  </si>
  <si>
    <t>421</t>
  </si>
  <si>
    <t>ISS A RECOLHER</t>
  </si>
  <si>
    <t>4.01.05.07.000602</t>
  </si>
  <si>
    <t>668</t>
  </si>
  <si>
    <t>ALUGUEL COFRE ELETRONICO</t>
  </si>
  <si>
    <t>4.01.05.07.000605</t>
  </si>
  <si>
    <t>000848</t>
  </si>
  <si>
    <t>JET OIL - PUBLICIDADE</t>
  </si>
  <si>
    <t>4.01.05.07.000606</t>
  </si>
  <si>
    <t>000850</t>
  </si>
  <si>
    <t>JET OIL - ROYALTIES</t>
  </si>
  <si>
    <t>4.01.05.10.001800</t>
  </si>
  <si>
    <t>705</t>
  </si>
  <si>
    <t>PERDAS E QUEBRAS</t>
  </si>
  <si>
    <t>4.01.05.10.002600</t>
  </si>
  <si>
    <t>713</t>
  </si>
  <si>
    <t>INDENIZAÇÃO POR DANO PATRIMONIAL</t>
  </si>
  <si>
    <t>4.01.08.01.000600</t>
  </si>
  <si>
    <t>729</t>
  </si>
  <si>
    <t>IMPOSTOS E TAXAS ESTADUAIS</t>
  </si>
  <si>
    <t>4.01.08.01.000800</t>
  </si>
  <si>
    <t>731</t>
  </si>
  <si>
    <t>TAXAS CORPO DE BOMBEIROS</t>
  </si>
  <si>
    <t>4.01.08.01.001700</t>
  </si>
  <si>
    <t>740</t>
  </si>
  <si>
    <t>TAXAS MUNICIPAIS</t>
  </si>
  <si>
    <t>POSTO DE COMBUSTÍVEIS MLN BAURU LTDA</t>
  </si>
  <si>
    <t>POSTO DE COMBUSTÍVEIS MLN COTIA LTDA</t>
  </si>
  <si>
    <t>3.01.01.04.000302</t>
  </si>
  <si>
    <t>568</t>
  </si>
  <si>
    <t>RECEITA S/ APLICACAO FINANCEIRA</t>
  </si>
  <si>
    <t>POSTO DE COMBUSTIVEIS MLN LEME LTDA</t>
  </si>
  <si>
    <t>1.01.01.01.000400</t>
  </si>
  <si>
    <t>8</t>
  </si>
  <si>
    <t>FUNDO FIXO DE CAIXA OPERACIONAL</t>
  </si>
  <si>
    <t>1.02.03.06.000801</t>
  </si>
  <si>
    <t>366</t>
  </si>
  <si>
    <t>(-) DEPRECIACAO BENFEITORIA</t>
  </si>
  <si>
    <t>4.01.05.06.000300</t>
  </si>
  <si>
    <t>651</t>
  </si>
  <si>
    <t>COMBUSTIVEL</t>
  </si>
  <si>
    <t>POSTO GUSMAO</t>
  </si>
  <si>
    <t>2.04.03.02.000100</t>
  </si>
  <si>
    <t>524</t>
  </si>
  <si>
    <t>RESERVAS DE LUCROS A REALIZAR</t>
  </si>
  <si>
    <t>4.01.05.07.000609</t>
  </si>
  <si>
    <t>000853</t>
  </si>
  <si>
    <t>IPP - PAINEL DE LED</t>
  </si>
  <si>
    <t>4.01.05.08.001200</t>
  </si>
  <si>
    <t>681</t>
  </si>
  <si>
    <t>CONSULTORIA AMBIENTAL</t>
  </si>
  <si>
    <t>4.01.05.10.002300</t>
  </si>
  <si>
    <t>710</t>
  </si>
  <si>
    <t>PAISAGISMO</t>
  </si>
  <si>
    <t>POSTO PIRATINI</t>
  </si>
  <si>
    <t>2.02.05.01.000001</t>
  </si>
  <si>
    <t>000909</t>
  </si>
  <si>
    <t>PROVISÃO CONTINGENCIA TRABALHISTA</t>
  </si>
  <si>
    <t>4.01.05.08.000500</t>
  </si>
  <si>
    <t>674</t>
  </si>
  <si>
    <t>HONORARIOS ADVOCATICIOS</t>
  </si>
  <si>
    <t>4.01.08.01.001500</t>
  </si>
  <si>
    <t>738</t>
  </si>
  <si>
    <t>TAXA INMETRO</t>
  </si>
  <si>
    <t>4.01.10.01.000300</t>
  </si>
  <si>
    <t>750</t>
  </si>
  <si>
    <t>JUROS DE MORA TRIBUTOS</t>
  </si>
  <si>
    <t>4.05.01.01.005000</t>
  </si>
  <si>
    <t>000890</t>
  </si>
  <si>
    <t>IRPJ/CSLL ANOS ANTERIORES</t>
  </si>
  <si>
    <t>POSTO SAFYR</t>
  </si>
  <si>
    <t>OUTRAS RECEITAS OPERACIONAIS</t>
  </si>
  <si>
    <t>3.01.01.05.000200</t>
  </si>
  <si>
    <t>572</t>
  </si>
  <si>
    <t>4.01.05.06.000100</t>
  </si>
  <si>
    <t>649</t>
  </si>
  <si>
    <t>MANUTENCAO DE VEICULOS - PECAS</t>
  </si>
  <si>
    <t>4.01.10.01.001004</t>
  </si>
  <si>
    <t>000903</t>
  </si>
  <si>
    <t>MULTA SOBRE TRIBUTOS</t>
  </si>
  <si>
    <t>POSTO WESTFALEN</t>
  </si>
  <si>
    <t>2.01.01.01.000102</t>
  </si>
  <si>
    <t>392</t>
  </si>
  <si>
    <t>CONTAS A PAGAR</t>
  </si>
  <si>
    <t>4.01.05.10.000800</t>
  </si>
  <si>
    <t>695</t>
  </si>
  <si>
    <t>CONDUCOES</t>
  </si>
  <si>
    <t>4.01.05.10.001500</t>
  </si>
  <si>
    <t>702</t>
  </si>
  <si>
    <t>SELECAO DE PESSOAL</t>
  </si>
  <si>
    <t>4.01.08.01.000500</t>
  </si>
  <si>
    <t>728</t>
  </si>
  <si>
    <t>IMPOSTOS E TAXAS FEDERAIS</t>
  </si>
  <si>
    <t>AMPM FARRAPOS 4Z</t>
  </si>
  <si>
    <t>4.01.05.04.000703</t>
  </si>
  <si>
    <t>640</t>
  </si>
  <si>
    <t>PRODUTOS BONIFICADOS</t>
  </si>
  <si>
    <t>4.01.05.10.001400</t>
  </si>
  <si>
    <t>701</t>
  </si>
  <si>
    <t>CORREIOS E MALOTES</t>
  </si>
  <si>
    <t>AMPM GARIBALDI  DIAS FAURI</t>
  </si>
  <si>
    <t>AMPM IMPERIAL  PETRODER</t>
  </si>
  <si>
    <t>1.01.02.05.000300</t>
  </si>
  <si>
    <t>232</t>
  </si>
  <si>
    <t>ADIANTAMENTOS DE 13o. SALARIO</t>
  </si>
  <si>
    <t>4.01.01.01.000500</t>
  </si>
  <si>
    <t>000845</t>
  </si>
  <si>
    <t>AJUSTE DE INVENTARIO - LMC</t>
  </si>
  <si>
    <t>4.01.05.02.001502</t>
  </si>
  <si>
    <t>612</t>
  </si>
  <si>
    <t>ESTAGIARIO</t>
  </si>
  <si>
    <t>4.01.05.03.000500</t>
  </si>
  <si>
    <t>623</t>
  </si>
  <si>
    <t>CURSOS E TREINAMENTOS</t>
  </si>
  <si>
    <t>AMPM QUINTANA  LUTHEO</t>
  </si>
  <si>
    <t>AMPM SATURNINO  3Z</t>
  </si>
  <si>
    <t>ESCRITORIO</t>
  </si>
  <si>
    <t>1.01.01.03.000100</t>
  </si>
  <si>
    <t>32</t>
  </si>
  <si>
    <t>APLICACAO ITAU S/A</t>
  </si>
  <si>
    <t>1.01.02.01.000400</t>
  </si>
  <si>
    <t>56</t>
  </si>
  <si>
    <t>CONTAS A RECEBER - VENDAS DOS POSTOS</t>
  </si>
  <si>
    <t>1.01.02.01.100000</t>
  </si>
  <si>
    <t>000907</t>
  </si>
  <si>
    <t>CONTAS A RECEBER COMPRA POSTOS GPA</t>
  </si>
  <si>
    <t>1.01.02.05.000800</t>
  </si>
  <si>
    <t>000868</t>
  </si>
  <si>
    <t>ADIANTAMENTO MALIBU</t>
  </si>
  <si>
    <t>1.01.02.06.001101</t>
  </si>
  <si>
    <t>248</t>
  </si>
  <si>
    <t>ISS A RECUPERAR</t>
  </si>
  <si>
    <t>1.01.04.01.000100</t>
  </si>
  <si>
    <t>278</t>
  </si>
  <si>
    <t>SEGUROS A APROPIAR</t>
  </si>
  <si>
    <t>1.01.04.01.000202</t>
  </si>
  <si>
    <t>281</t>
  </si>
  <si>
    <t>DESPESAS FINANCEIRAS ANTECIPADAS</t>
  </si>
  <si>
    <t>1.02.02.03.000001</t>
  </si>
  <si>
    <t>338</t>
  </si>
  <si>
    <t>35.374.749/0001-83 #PARTIC. COLIGS/CONTROLADAS - VARGAS</t>
  </si>
  <si>
    <t>1.02.02.03.000002</t>
  </si>
  <si>
    <t>339</t>
  </si>
  <si>
    <t>45.276.875/0001-59 #PARTIC. COLIGS/CONTROLADAS - CASSINO</t>
  </si>
  <si>
    <t>1.02.02.03.000003</t>
  </si>
  <si>
    <t>340</t>
  </si>
  <si>
    <t>35.249.156/0001-95 #PARTIC. COLIGS/CONTROLADAS - PIRATINI</t>
  </si>
  <si>
    <t>1.02.02.03.000004</t>
  </si>
  <si>
    <t>341</t>
  </si>
  <si>
    <t>30.247.776/0001-71 #PARTIC. COLIGS/CONTROLADAS - GUSMAO</t>
  </si>
  <si>
    <t>1.02.02.03.000005</t>
  </si>
  <si>
    <t>816</t>
  </si>
  <si>
    <t>47.857.489/0001-86 #PARTIC. COLIGS/CONTROLADAS - SAFYR</t>
  </si>
  <si>
    <t>1.02.02.03.000006</t>
  </si>
  <si>
    <t>817</t>
  </si>
  <si>
    <t>30.623.059/0001-05 #PARTIC. COLIGS/CONTROLADAS - CLARA</t>
  </si>
  <si>
    <t>1.02.02.03.000008</t>
  </si>
  <si>
    <t>000819</t>
  </si>
  <si>
    <t>30.621.787/0001-70 #PARTIC. COLIGS/CONTROLADAS - KAREN</t>
  </si>
  <si>
    <t>1.02.02.03.000009</t>
  </si>
  <si>
    <t>000820</t>
  </si>
  <si>
    <t>45.261.236/0001-10 #PARTIC. COLIGS/CONTROLADAS - GASOMETRO</t>
  </si>
  <si>
    <t>1.02.02.03.000010</t>
  </si>
  <si>
    <t>000821</t>
  </si>
  <si>
    <t>30.649.402/0001-82 #PARTIC. COLIGS/CONTROLADAS - NEIVA</t>
  </si>
  <si>
    <t>1.02.02.03.000011</t>
  </si>
  <si>
    <t>822</t>
  </si>
  <si>
    <t>45.276.925/0001-06 #PARTIC. COLIGS/CONTROLADAS - WESTFALEN</t>
  </si>
  <si>
    <t>1.02.02.03.000013</t>
  </si>
  <si>
    <t>000823</t>
  </si>
  <si>
    <t>1.02.02.03.000014</t>
  </si>
  <si>
    <t>000825</t>
  </si>
  <si>
    <t>45.261.552/0001-91 #PARTIC. COLIGS/CONTROLADAS - FERRARI</t>
  </si>
  <si>
    <t>1.02.02.03.000015</t>
  </si>
  <si>
    <t>000826</t>
  </si>
  <si>
    <t>45.569.436/0001-34 #PARTIC. COLIGS/CONTROLADAS - LUTZ</t>
  </si>
  <si>
    <t>1.02.02.03.000016</t>
  </si>
  <si>
    <t>000827</t>
  </si>
  <si>
    <t>27.908.491/0001-20 #PARTIC. COLIGS/CONTROLADAS - CASTELINHO</t>
  </si>
  <si>
    <t>1.02.02.03.000017</t>
  </si>
  <si>
    <t>000828</t>
  </si>
  <si>
    <t>35.247.621/0001-59 #PARTIC. COLIGS/CONTROLADAS - ITACOLOMI</t>
  </si>
  <si>
    <t>1.02.02.03.000028</t>
  </si>
  <si>
    <t>000861</t>
  </si>
  <si>
    <t>55.288.910/0001-03#PARTIC. COLIGS/CONTROLADAS - FARRAPOS</t>
  </si>
  <si>
    <t>1.02.02.03.000029</t>
  </si>
  <si>
    <t>000862</t>
  </si>
  <si>
    <t>55.432968/0001-89#PARTIC. COLIGS/CONTROLADAS - GARIBALDI</t>
  </si>
  <si>
    <t>1.02.02.03.000030</t>
  </si>
  <si>
    <t>000863</t>
  </si>
  <si>
    <t>55.420.198/0001-54PARTIC. COLIGS/CONTROLADAS -IMPERIAL</t>
  </si>
  <si>
    <t>1.02.02.03.000031</t>
  </si>
  <si>
    <t>000864</t>
  </si>
  <si>
    <t>55.288.910/0001-03PARTIC. COLIGS/CONTROLADAS -PORTO</t>
  </si>
  <si>
    <t>1.02.02.03.000032</t>
  </si>
  <si>
    <t>000865</t>
  </si>
  <si>
    <t>55.401.333/0001-14 PARTIC. COLIGS/CONTROLADAS -QUINTANA</t>
  </si>
  <si>
    <t>1.02.02.03.000033</t>
  </si>
  <si>
    <t>000866</t>
  </si>
  <si>
    <t>55.401.333/0001-14 PARTIC. COLIGS/CONTROLADAS -SATURNINO</t>
  </si>
  <si>
    <t>1.02.02.03.000034</t>
  </si>
  <si>
    <t>000900</t>
  </si>
  <si>
    <t>57.717925/0001-75#PARTIC. COLIGS/CONTROLADAS - LEME</t>
  </si>
  <si>
    <t>1.02.02.03.000035</t>
  </si>
  <si>
    <t>000901</t>
  </si>
  <si>
    <t>57.717925/0001-75#PARTIC. COLIGS/CONTROLADAS - BAURU</t>
  </si>
  <si>
    <t>1.02.02.03.000036</t>
  </si>
  <si>
    <t>000908</t>
  </si>
  <si>
    <t>57.830.807/0001-79#PARTIC. COLIGS/CONTROLADAS - COTIA</t>
  </si>
  <si>
    <t>1.02.02.03.000037</t>
  </si>
  <si>
    <t>000910</t>
  </si>
  <si>
    <t>57.970.928/0001-16#PARTIC. COLIGS/CONTROLADAS - ITANHAEN</t>
  </si>
  <si>
    <t>2.01.01.01.000109</t>
  </si>
  <si>
    <t>000794</t>
  </si>
  <si>
    <t>33.256.439/0001-39 #FORNEC.INTERHOLDING - ULTRAPAR</t>
  </si>
  <si>
    <t>2.01.01.01.000117</t>
  </si>
  <si>
    <t>000802</t>
  </si>
  <si>
    <t>33.337.122/0213-96 #FORNEC.INTERHOLDING - IPIRANGA</t>
  </si>
  <si>
    <t>2.01.01.05.001304</t>
  </si>
  <si>
    <t>434</t>
  </si>
  <si>
    <t>ICMS DIFERENCIAL DE ALIQUOTA A RECOLHER</t>
  </si>
  <si>
    <t>2.02.05.01.000002</t>
  </si>
  <si>
    <t>000881</t>
  </si>
  <si>
    <t>PROVISAO PARA CONTINGENCIA CIVIL</t>
  </si>
  <si>
    <t>2.02.07.01.000001</t>
  </si>
  <si>
    <t>000884</t>
  </si>
  <si>
    <t>PROVISÃO PARTICIPAÇÃO DE LUCROS</t>
  </si>
  <si>
    <t>4.01.05.02.001505</t>
  </si>
  <si>
    <t>780</t>
  </si>
  <si>
    <t>PLR/PPR</t>
  </si>
  <si>
    <t>4.01.05.02.001507</t>
  </si>
  <si>
    <t>000869</t>
  </si>
  <si>
    <t>PLANO DE PREVIDENCIA PRIVADA</t>
  </si>
  <si>
    <t>4.01.05.03.001000</t>
  </si>
  <si>
    <t>627</t>
  </si>
  <si>
    <t>LANCHES E REFEICOES</t>
  </si>
  <si>
    <t>4.01.05.03.001002</t>
  </si>
  <si>
    <t>629</t>
  </si>
  <si>
    <t>PLANO ODONTOLOGICO</t>
  </si>
  <si>
    <t>4.01.05.05.000700</t>
  </si>
  <si>
    <t>000873</t>
  </si>
  <si>
    <t>PROVISAO PARA CONTIGENCIA TRABALHISTA</t>
  </si>
  <si>
    <t>4.01.05.05.000800</t>
  </si>
  <si>
    <t>000874</t>
  </si>
  <si>
    <t>PROVISAO PARA CONTIGENCIA CIVIL</t>
  </si>
  <si>
    <t>4.01.05.06.000700</t>
  </si>
  <si>
    <t>655</t>
  </si>
  <si>
    <t>PEDAGIOS</t>
  </si>
  <si>
    <t>4.01.05.06.000800</t>
  </si>
  <si>
    <t>656</t>
  </si>
  <si>
    <t>ESTACIONAMENTO</t>
  </si>
  <si>
    <t>4.01.05.06.000900</t>
  </si>
  <si>
    <t>657</t>
  </si>
  <si>
    <t>MULTAS DE TRANSITO</t>
  </si>
  <si>
    <t>4.01.05.07.000200</t>
  </si>
  <si>
    <t>662</t>
  </si>
  <si>
    <t>ALUGUEL DE VEICULOS</t>
  </si>
  <si>
    <t>4.01.05.10.000600</t>
  </si>
  <si>
    <t>693</t>
  </si>
  <si>
    <t>VIAGENS E ESTADIAS</t>
  </si>
  <si>
    <t>4.01.05.10.002800</t>
  </si>
  <si>
    <t>715</t>
  </si>
  <si>
    <t>CARTORIOS</t>
  </si>
  <si>
    <t>4.01.05.10.003100</t>
  </si>
  <si>
    <t>718</t>
  </si>
  <si>
    <t>MULTAS INDEDUTIVEIS</t>
  </si>
  <si>
    <t>4.01.05.10.005000</t>
  </si>
  <si>
    <t>000891</t>
  </si>
  <si>
    <t>RATEIO CORPORATIVO - DESPESAS COM PESSOAL</t>
  </si>
  <si>
    <t>4.01.05.10.005001</t>
  </si>
  <si>
    <t>000892</t>
  </si>
  <si>
    <t>RATEIO CORPORATIVO - MATERIAIS E MANUTENÇÃO</t>
  </si>
  <si>
    <t>4.01.05.10.005002</t>
  </si>
  <si>
    <t>000893</t>
  </si>
  <si>
    <t>RATEIO CORPORATIVO - ALUGUEIS</t>
  </si>
  <si>
    <t>4.01.05.10.005003</t>
  </si>
  <si>
    <t>000894</t>
  </si>
  <si>
    <t>RATEIO CORPORATIVO - SERVIÇOS DE TERCEIROS</t>
  </si>
  <si>
    <t>4.01.05.10.005004</t>
  </si>
  <si>
    <t>000895</t>
  </si>
  <si>
    <t>RATEIO CORPORATIVO - IMPOSTOS E TAXAS</t>
  </si>
  <si>
    <t>4.01.05.10.005005</t>
  </si>
  <si>
    <t>000896</t>
  </si>
  <si>
    <t>RATEIO CORPORATIVO - DESPESAS GERAIS</t>
  </si>
  <si>
    <t>4.01.08.01.001800</t>
  </si>
  <si>
    <t>741</t>
  </si>
  <si>
    <t>PARCELAMENTO 1194</t>
  </si>
  <si>
    <t>4.02.01.01.000500</t>
  </si>
  <si>
    <t>840</t>
  </si>
  <si>
    <t>RESULTADO DE EQUIVALENCIA PATRIMONIAL</t>
  </si>
  <si>
    <t>POSTO AMPARO</t>
  </si>
  <si>
    <t>POSTO CASSINO</t>
  </si>
  <si>
    <t>3.01.02.01.000101</t>
  </si>
  <si>
    <t>579</t>
  </si>
  <si>
    <t>RECUPERACAO DE CUSTO/DESPESA</t>
  </si>
  <si>
    <t>POSTO CLARA</t>
  </si>
  <si>
    <t>2.01.01.09.000102</t>
  </si>
  <si>
    <t>451</t>
  </si>
  <si>
    <t>EMPRESTIMO INTERCOMPANY</t>
  </si>
  <si>
    <t>POSTO FERRARI</t>
  </si>
  <si>
    <t>POSTO GASOMETRO</t>
  </si>
  <si>
    <t>4.01.01.01.000300</t>
  </si>
  <si>
    <t>589</t>
  </si>
  <si>
    <t>C.S.V COMBUSTIVEIS E PRODUTOS AUTOMOTIVOS</t>
  </si>
  <si>
    <t>POSTO ITACOLOMI</t>
  </si>
  <si>
    <t>POSTO JOCKEY</t>
  </si>
  <si>
    <t>1.02.03.06.000600</t>
  </si>
  <si>
    <t>363</t>
  </si>
  <si>
    <t>(-) DEPRECIACAO EQUIPAMENTOS DE TELEFONIA</t>
  </si>
  <si>
    <t>POSTO KAREN</t>
  </si>
  <si>
    <t>POSTO LUTZ</t>
  </si>
  <si>
    <t>2.04.05.01.000200</t>
  </si>
  <si>
    <t>537</t>
  </si>
  <si>
    <t>AJUSTES DE EXERCICIO ANTERIOR</t>
  </si>
  <si>
    <t>POSTO MATRIZ</t>
  </si>
  <si>
    <t>1.01.03.01.000301</t>
  </si>
  <si>
    <t>274</t>
  </si>
  <si>
    <t>COMBUSTIVEIS E PRODUTOS AUTOMOTIVOS - TRANSITORIA</t>
  </si>
  <si>
    <t>1.01.03.01.000302</t>
  </si>
  <si>
    <t>275</t>
  </si>
  <si>
    <t>ESTOQUE MATERIAL DE CONSTRUÇAO - DIVERSOS</t>
  </si>
  <si>
    <t>POSTO NEIVA</t>
  </si>
  <si>
    <t>1.01.02.06.001102</t>
  </si>
  <si>
    <t>249</t>
  </si>
  <si>
    <t>PIS/COFINS/CSSL COD 5952</t>
  </si>
  <si>
    <t>4.01.05.07.000607</t>
  </si>
  <si>
    <t>000851</t>
  </si>
  <si>
    <t>JET OIL - FINANCIAMENTO</t>
  </si>
  <si>
    <t>POSTO VARGAS</t>
  </si>
  <si>
    <t>C:\Users\everton.pinto\TesteMLN\Conversão_Balancete_CONSOLIDADO\</t>
  </si>
  <si>
    <t>30.076.676/0001-20 #PARTIC. COLIGS/CONTROLADAS - ELY</t>
  </si>
  <si>
    <t>1.02.02.03.000027</t>
  </si>
  <si>
    <t>000859</t>
  </si>
  <si>
    <t>51.356.738/0001-27#PARTIC. COLIGS/CONTROLADAS - AMPARO</t>
  </si>
  <si>
    <t>2.01.01.01.100000</t>
  </si>
  <si>
    <t>000906</t>
  </si>
  <si>
    <t>CONTAS A PAGAR ESCRITORIO - VENDA GPA</t>
  </si>
  <si>
    <t>COD_EMPRESA</t>
  </si>
  <si>
    <t>COD_CONTA</t>
  </si>
  <si>
    <t>REF.</t>
  </si>
  <si>
    <t>DESCRICAO_ANALITICA</t>
  </si>
  <si>
    <t>SALDO_ANTERIOR</t>
  </si>
  <si>
    <t>VLR_TOT_CRE</t>
  </si>
  <si>
    <t>VLR_TOT_DEB</t>
  </si>
  <si>
    <t>TOTAL_SALDO_FIM</t>
  </si>
  <si>
    <t>Analítica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</si>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</sst>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2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rgb="FF0000FF"/>
      <name val="Aptos Narrow"/>
      <family val="2"/>
    </font>
    <font>
      <b/>
      <sz val="12"/>
      <color rgb="FFFF0000"/>
      <name val="Aptos Narrow"/>
      <family val="2"/>
    </font>
    <font>
      <sz val="12"/>
      <color theme="1"/>
      <name val="Verdana"/>
      <family val="2"/>
    </font>
    <font>
      <sz val="11"/>
      <color rgb="FFC0000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39" fontId="2" fillId="2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1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top"/>
    </xf>
    <xf numFmtId="0" fontId="0" fillId="0" borderId="0" xfId="0" applyAlignment="1">
      <alignment horizontal="left"/>
    </xf>
    <xf numFmtId="0" fontId="0" fillId="5" borderId="0" xfId="0" applyFill="1" applyAlignment="1">
      <alignment horizontal="center"/>
    </xf>
    <xf numFmtId="0" fontId="6" fillId="0" borderId="0" xfId="0" applyFont="1"/>
    <xf numFmtId="0" fontId="0" fillId="2" borderId="0" xfId="0" applyFill="1" applyAlignment="1">
      <alignment horizontal="center"/>
    </xf>
    <xf numFmtId="0" fontId="7" fillId="0" borderId="0" xfId="0" applyFont="1"/>
    <xf numFmtId="164" fontId="8" fillId="0" borderId="0" xfId="0" applyNumberFormat="1" applyFont="1"/>
    <xf numFmtId="0" fontId="2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</cellXfs>
  <cellStyles count="1">
    <cellStyle name="Normal" xfId="0" builtinId="0"/>
  </cellStyles>
  <dxfs count="2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color auto="1"/>
      </font>
      <numFmt numFmtId="7" formatCode="#,##0.00;\-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numFmt numFmtId="7" formatCode="#,##0.00;\-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</xdr:row>
          <xdr:rowOff>28575</xdr:rowOff>
        </xdr:from>
        <xdr:to>
          <xdr:col>5</xdr:col>
          <xdr:colOff>466725</xdr:colOff>
          <xdr:row>3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Processar Contas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323846</xdr:colOff>
      <xdr:row>5</xdr:row>
      <xdr:rowOff>28575</xdr:rowOff>
    </xdr:from>
    <xdr:to>
      <xdr:col>8</xdr:col>
      <xdr:colOff>133349</xdr:colOff>
      <xdr:row>8</xdr:row>
      <xdr:rowOff>0</xdr:rowOff>
    </xdr:to>
    <xdr:sp macro="" textlink="">
      <xdr:nvSpPr>
        <xdr:cNvPr id="2" name="Balão de Fala: 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24471" y="981075"/>
          <a:ext cx="2857503" cy="552450"/>
        </a:xfrm>
        <a:prstGeom prst="wedgeRectCallout">
          <a:avLst>
            <a:gd name="adj1" fmla="val -57412"/>
            <a:gd name="adj2" fmla="val -146168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 i="1" u="none">
              <a:solidFill>
                <a:sysClr val="windowText" lastClr="000000"/>
              </a:solidFill>
              <a:effectLst>
                <a:innerShdw blurRad="63500" dist="50800" dir="15000000">
                  <a:prstClr val="black">
                    <a:alpha val="0"/>
                  </a:prstClr>
                </a:innerShdw>
              </a:effectLst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Alterar</a:t>
          </a:r>
          <a:r>
            <a:rPr lang="pt-BR" sz="1050" b="0" i="1" u="none" baseline="0">
              <a:solidFill>
                <a:sysClr val="windowText" lastClr="000000"/>
              </a:solidFill>
              <a:effectLst>
                <a:innerShdw blurRad="63500" dist="50800" dir="15000000">
                  <a:prstClr val="black">
                    <a:alpha val="0"/>
                  </a:prstClr>
                </a:innerShdw>
              </a:effectLst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caminho na consulta "Fonte Base" do Power Query conforme necessidade do usuário </a:t>
          </a:r>
          <a:endParaRPr lang="pt-BR" sz="1050" b="0" i="1" u="none">
            <a:solidFill>
              <a:sysClr val="windowText" lastClr="000000"/>
            </a:solidFill>
            <a:effectLst>
              <a:innerShdw blurRad="63500" dist="50800" dir="15000000">
                <a:prstClr val="black">
                  <a:alpha val="0"/>
                </a:prstClr>
              </a:innerShdw>
            </a:effectLst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0</xdr:row>
          <xdr:rowOff>66675</xdr:rowOff>
        </xdr:from>
        <xdr:to>
          <xdr:col>1</xdr:col>
          <xdr:colOff>800100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FF"/>
                  </a:solidFill>
                  <a:latin typeface="Aptos Narrow"/>
                </a:rPr>
                <a:t>Atualizar</a:t>
              </a: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0000FF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0</xdr:row>
          <xdr:rowOff>66675</xdr:rowOff>
        </xdr:from>
        <xdr:to>
          <xdr:col>1</xdr:col>
          <xdr:colOff>1552575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Aptos Narrow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Aptos Narrow"/>
                </a:rPr>
                <a:t>mpar</a:t>
              </a: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FF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FF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19049</xdr:colOff>
      <xdr:row>3</xdr:row>
      <xdr:rowOff>19049</xdr:rowOff>
    </xdr:from>
    <xdr:to>
      <xdr:col>10</xdr:col>
      <xdr:colOff>0</xdr:colOff>
      <xdr:row>20</xdr:row>
      <xdr:rowOff>57150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COD_EMPRESA">
              <a:extLst>
                <a:ext uri="{FF2B5EF4-FFF2-40B4-BE49-F238E27FC236}">
                  <a16:creationId xmlns:a16="http://schemas.microsoft.com/office/drawing/2014/main" id="{FE2E93F8-6D18-2B87-FA34-1A5904F324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_EMPRES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4" y="533399"/>
              <a:ext cx="13792201" cy="32766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F543039A-7BBB-4A1B-B911-5A4579553755}" autoFormatId="16" applyNumberFormats="0" applyBorderFormats="0" applyFontFormats="0" applyPatternFormats="0" applyAlignmentFormats="0" applyWidthHeightFormats="0">
  <queryTableRefresh nextId="3">
    <queryTableFields count="2">
      <queryTableField id="1" name="Personalizar" tableColumnId="1"/>
      <queryTableField id="2" name="Folder Path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5" xr16:uid="{83F7968C-1E00-403B-9EE0-A01F7316FF4A}" autoFormatId="16" applyNumberFormats="0" applyBorderFormats="0" applyFontFormats="0" applyPatternFormats="0" applyAlignmentFormats="0" applyWidthHeightFormats="0">
  <queryTableRefresh nextId="29">
    <queryTableFields count="9">
      <queryTableField id="12" name="COD_EMPRESA" tableColumnId="1"/>
      <queryTableField id="13" name="COD_CONTA" tableColumnId="2"/>
      <queryTableField id="27" name="ID" tableColumnId="12"/>
      <queryTableField id="8" name="Ref." tableColumnId="8"/>
      <queryTableField id="14" name="DESCRICAO_ANALITICA" tableColumnId="3"/>
      <queryTableField id="15" name="SALDO_ANTERIOR" tableColumnId="4"/>
      <queryTableField id="16" name="VLR_TOT_CRE" tableColumnId="5"/>
      <queryTableField id="17" name="VLR_TOT_DEB" tableColumnId="6"/>
      <queryTableField id="18" name="TOTAL_SALDO_FIM" tableColumnId="7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D_EMPRESA" xr10:uid="{3537A30B-54A7-4151-8DDA-7F6A90D76CCE}" sourceName="COD_EMPRESA">
  <extLst>
    <x:ext xmlns:x15="http://schemas.microsoft.com/office/spreadsheetml/2010/11/main" uri="{2F2917AC-EB37-4324-AD4E-5DD8C200BD13}">
      <x15:tableSlicerCache tableId="8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D_EMPRESA" xr10:uid="{567D8EBE-E31E-43D1-81CB-BE6DB513542F}" cache="SegmentaçãodeDados_COD_EMPRESA" caption="COD_EMPRESA" columnCount="3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7465A9A-6687-4C5D-810E-F437F28C0A13}" name="Link" displayName="Link" ref="B2:C3" tableType="queryTable" totalsRowShown="0">
  <autoFilter ref="B2:C3" xr:uid="{77465A9A-6687-4C5D-810E-F437F28C0A13}"/>
  <tableColumns count="2">
    <tableColumn id="1" xr3:uid="{3166EF26-BBDF-42EF-A03C-91066A0BD3FE}" uniqueName="1" name="Personalizar" queryTableFieldId="1" dataDxfId="1"/>
    <tableColumn id="2" xr3:uid="{9406993B-133C-492A-AC11-0F1C5907F6C9}" uniqueName="2" name="Folder Path" queryTableFieldId="2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07263C-1E61-4B83-9665-44EC2ED21500}" name="Relatório_Modificado" displayName="Relatório_Modificado" ref="B22:J2839" tableType="queryTable" totalsRowShown="0">
  <autoFilter ref="B22:J2839" xr:uid="{7107263C-1E61-4B83-9665-44EC2ED21500}"/>
  <sortState xmlns:xlrd2="http://schemas.microsoft.com/office/spreadsheetml/2017/richdata2" ref="B23:J2839">
    <sortCondition ref="B22:B2839"/>
  </sortState>
  <tableColumns count="9">
    <tableColumn id="1" xr3:uid="{D2AE2F5B-068D-4468-AE8E-42D76BFAFFC0}" uniqueName="1" name="COD_EMPRESA" queryTableFieldId="12" dataDxfId="26"/>
    <tableColumn id="2" xr3:uid="{D8FDDCEC-B1E5-4548-9B0A-2B84F127C592}" uniqueName="2" name="COD_CONTA" queryTableFieldId="13"/>
    <tableColumn id="12" xr3:uid="{1FC18683-8D11-4CB0-96E4-F22E47B9C985}" uniqueName="12" name="ID" queryTableFieldId="27"/>
    <tableColumn id="8" xr3:uid="{000C2EC4-0005-41A3-ABCB-C516F52663C4}" uniqueName="8" name="REF." queryTableFieldId="8" dataDxfId="25"/>
    <tableColumn id="3" xr3:uid="{44757B75-A76C-4349-9DB0-86D8A94D90E7}" uniqueName="3" name="DESCRICAO_ANALITICA" queryTableFieldId="14" dataDxfId="24"/>
    <tableColumn id="4" xr3:uid="{A66C5F03-B543-4E63-B074-3D2AC6109780}" uniqueName="4" name="SALDO_ANTERIOR" queryTableFieldId="15"/>
    <tableColumn id="5" xr3:uid="{6F86EB4E-30B3-4E35-B8C6-EF134ACFF4AD}" uniqueName="5" name="VLR_TOT_CRE" queryTableFieldId="16"/>
    <tableColumn id="6" xr3:uid="{2DB3ED58-F82F-40CC-B025-797C587C9561}" uniqueName="6" name="VLR_TOT_DEB" queryTableFieldId="17"/>
    <tableColumn id="7" xr3:uid="{C4DCB6E6-B545-4705-9E97-7F2A08F997BE}" uniqueName="7" name="TOTAL_SALDO_FIM" queryTableFieldId="18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49E483-797B-42E9-B04E-767DA464C1F0}" name="Balancete_Oficial" displayName="Balancete_Oficial" ref="A4:U280" totalsRowShown="0" dataDxfId="23">
  <autoFilter ref="A4:U280" xr:uid="{4A49E483-797B-42E9-B04E-767DA464C1F0}"/>
  <tableColumns count="21">
    <tableColumn id="1" xr3:uid="{62D625DC-3298-4E6E-B82D-385DB109C54B}" name="Conta" dataDxfId="22">
      <calculatedColumnFormula>IF(Dados!H2="","",Dados!H2)</calculatedColumnFormula>
    </tableColumn>
    <tableColumn id="2" xr3:uid="{6D8A84B1-7554-4DDD-AF69-359004DFB60C}" name="Descrição da conta" dataDxfId="21">
      <calculatedColumnFormula>VLOOKUP(Balancete_Oficial[[#This Row],[Conta]],'Balancete MLN_WebPosto'!C:E,3,0)</calculatedColumnFormula>
    </tableColumn>
    <tableColumn id="3" xr3:uid="{39F45321-28B0-4767-84BB-70A2365D3AB6}" name="Caracteristica_x000a_(Sintetica/Analitica)" dataDxfId="20">
      <calculatedColumnFormula>IF(LEN(A5)=17,"Analítica","Sintética")</calculatedColumnFormula>
    </tableColumn>
    <tableColumn id="4" xr3:uid="{1BB026A2-C04D-48E2-9862-5CB703656B9B}" name="Grupo_x000a_A/P/R" dataDxfId="19">
      <calculatedColumnFormula>IF(LEFT(A5,1)="1","A",IF(LEFT(A5,1)="2","P","R"))</calculatedColumnFormula>
    </tableColumn>
    <tableColumn id="5" xr3:uid="{0C7150AD-B658-4D48-B48D-37352B04C674}" name="Grupo Conta_x000a_1/2/3/4" dataDxfId="18">
      <calculatedColumnFormula>LEFT(A5,1)</calculatedColumnFormula>
    </tableColumn>
    <tableColumn id="6" xr3:uid="{54CB5141-318C-4441-8B0D-A4AA4BFAE1D2}" name="Referencial RFB" dataDxfId="17"/>
    <tableColumn id="7" xr3:uid="{01316602-7831-4ED1-87A5-F26412DAB6DF}" name="Referencial BPC" dataDxfId="16"/>
    <tableColumn id="8" xr3:uid="{E62E48E9-135C-423B-A0E0-A64290FE7EA3}" name="Observação contas novas" dataDxfId="15"/>
    <tableColumn id="9" xr3:uid="{9BDAFEFA-29C3-4591-8DE8-DF4100C655E8}" name="Impacto de IR/CS" dataDxfId="14"/>
    <tableColumn id="10" xr3:uid="{2612B4EA-C403-498F-8EDC-6890EA4EBEB9}" name="Janeiro" dataDxfId="13">
      <calculatedColumnFormula>IF(Balancete_Oficial[[#Headers],[Janeiro]]='Balancete MLN_WebPosto'!$G$2,
SUMIFS('Balancete MLN_WebPosto'!$J:$J,'Balancete MLN_WebPosto'!$C:$C,$A5,'Balancete MLN_WebPosto'!$B:$B,$B$2),
  "0"
)</calculatedColumnFormula>
    </tableColumn>
    <tableColumn id="11" xr3:uid="{7935EC4F-E918-47D2-993D-D07AA161CB59}" name="Fevereiro" dataDxfId="12">
      <calculatedColumnFormula>IF(Balancete_Oficial[[#Headers],[Fevereiro]]='Balancete MLN_WebPosto'!$G$2,
SUMIFS('Balancete MLN_WebPosto'!$J:$J,'Balancete MLN_WebPosto'!$C:$C,$A5,'Balancete MLN_WebPosto'!$B:$B,$B$2),
  "0"
)</calculatedColumnFormula>
    </tableColumn>
    <tableColumn id="12" xr3:uid="{C9CD9806-F8C2-42E5-B6C1-31D817E5E5E4}" name="Março" dataDxfId="11">
      <calculatedColumnFormula>IF(Balancete_Oficial[[#Headers],[Março]]='Balancete MLN_WebPosto'!$G$2,
SUMIFS('Balancete MLN_WebPosto'!$J:$J,'Balancete MLN_WebPosto'!$C:$C,$A5,'Balancete MLN_WebPosto'!$B:$B,$B$2),
  "0"
)</calculatedColumnFormula>
    </tableColumn>
    <tableColumn id="13" xr3:uid="{C321945C-637C-49D5-A94F-F6B662066731}" name="Abril" dataDxfId="10">
      <calculatedColumnFormula>IF(Balancete_Oficial[[#Headers],[Abril]]='Balancete MLN_WebPosto'!$G$2,
SUMIFS('Balancete MLN_WebPosto'!$J:$J,'Balancete MLN_WebPosto'!$C:$C,$A5,'Balancete MLN_WebPosto'!$B:$B,$B$2),
  "0"
)</calculatedColumnFormula>
    </tableColumn>
    <tableColumn id="14" xr3:uid="{661294B4-C8CE-4AA1-9A15-5113F1854E85}" name="Maio" dataDxfId="9">
      <calculatedColumnFormula>IF(Balancete_Oficial[[#Headers],[Maio]]='Balancete MLN_WebPosto'!$G$2,
SUMIFS('Balancete MLN_WebPosto'!$I:$I,'Balancete MLN_WebPosto'!$C:$C,$A5,'Balancete MLN_WebPosto'!$B:$B,$B$2),
  "0"
)</calculatedColumnFormula>
    </tableColumn>
    <tableColumn id="15" xr3:uid="{57F0863D-F907-4AED-9854-6BD69B7D0BBE}" name="Junho" dataDxfId="8">
      <calculatedColumnFormula>IF(Balancete_Oficial[[#Headers],[Junho]]='Balancete MLN_WebPosto'!$G$2,
SUMIFS('Balancete MLN_WebPosto'!$I:$I,'Balancete MLN_WebPosto'!$C:$C,$A5,'Balancete MLN_WebPosto'!$B:$B,$B$2),
  "0"
)</calculatedColumnFormula>
    </tableColumn>
    <tableColumn id="16" xr3:uid="{A6A9EFC5-7C65-4700-894F-8AA4983E4C75}" name="Julho" dataDxfId="7">
      <calculatedColumnFormula>IF(Balancete_Oficial[[#Headers],[Julho]]='Balancete MLN_WebPosto'!$G$2,
SUMIFS('Balancete MLN_WebPosto'!$I:$I,'Balancete MLN_WebPosto'!$C:$C,$A5,'Balancete MLN_WebPosto'!$B:$B,$B$2),
  "0"
)</calculatedColumnFormula>
    </tableColumn>
    <tableColumn id="17" xr3:uid="{1019DE4D-E7B4-43CE-BC08-7ACC6D5186FB}" name="Agosto" dataDxfId="6">
      <calculatedColumnFormula>IF(Balancete_Oficial[[#Headers],[Agosto]]='Balancete MLN_WebPosto'!$G$2,
SUMIFS('Balancete MLN_WebPosto'!$I:$I,'Balancete MLN_WebPosto'!$C:$C,$A5,'Balancete MLN_WebPosto'!$B:$B,$B$2),
  "0"
)</calculatedColumnFormula>
    </tableColumn>
    <tableColumn id="18" xr3:uid="{7902172A-9301-4D85-B6A6-85479A7B7B56}" name="Setembro" dataDxfId="5">
      <calculatedColumnFormula>IF(Balancete_Oficial[[#Headers],[Setembro]]='Balancete MLN_WebPosto'!$G$2,
SUMIFS('Balancete MLN_WebPosto'!$I:$I,'Balancete MLN_WebPosto'!$C:$C,$A5,'Balancete MLN_WebPosto'!$B:$B,$B$2),
  "0"
)</calculatedColumnFormula>
    </tableColumn>
    <tableColumn id="19" xr3:uid="{9B669564-782C-486C-B987-AF3D51BE33F9}" name="Outubro" dataDxfId="4">
      <calculatedColumnFormula>IF(Balancete_Oficial[[#Headers],[Outubro]]='Balancete MLN_WebPosto'!$G$2,
SUMIFS('Balancete MLN_WebPosto'!$I:$I,'Balancete MLN_WebPosto'!$C:$C,$A5,'Balancete MLN_WebPosto'!$B:$B,$B$2),
  "0"
)</calculatedColumnFormula>
    </tableColumn>
    <tableColumn id="20" xr3:uid="{3C55717E-9970-45D4-9AA7-D6406C285DF6}" name="Novembro" dataDxfId="3">
      <calculatedColumnFormula>IF(Balancete_Oficial[[#Headers],[Novembro]]='Balancete MLN_WebPosto'!$G$2,
SUMIFS('Balancete MLN_WebPosto'!$I:$I,'Balancete MLN_WebPosto'!$C:$C,$A5,'Balancete MLN_WebPosto'!$B:$B,$B$2),
  "0"
)</calculatedColumnFormula>
    </tableColumn>
    <tableColumn id="21" xr3:uid="{241DE770-F55B-4193-A89D-D95DCB940852}" name="Dezembro" dataDxfId="2">
      <calculatedColumnFormula>IF(Balancete_Oficial[[#Headers],[Dezembro]]='Balancete MLN_WebPosto'!$G$2,
SUMIFS('Balancete MLN_WebPosto'!$I:$I,'Balancete MLN_WebPosto'!$C:$C,$A5,'Balancete MLN_WebPosto'!$B:$B,$B$2),
  "0"
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488C4-DDAA-486A-98DC-B1F4EDF468D3}">
  <sheetPr codeName="Planilha1">
    <tabColor rgb="FF00B050"/>
  </sheetPr>
  <dimension ref="B1:H9586"/>
  <sheetViews>
    <sheetView showGridLines="0" workbookViewId="0">
      <selection activeCell="H1" activeCellId="1" sqref="B1:D1048576 H1:H1048576"/>
    </sheetView>
  </sheetViews>
  <sheetFormatPr defaultRowHeight="15" x14ac:dyDescent="0.25"/>
  <cols>
    <col min="2" max="2" width="19.7109375" style="16" bestFit="1" customWidth="1"/>
    <col min="4" max="4" width="44.28515625" style="18" bestFit="1" customWidth="1"/>
    <col min="8" max="8" width="14" style="17" customWidth="1"/>
  </cols>
  <sheetData>
    <row r="1" spans="4:4" x14ac:dyDescent="0.25">
      <c r="D1"/>
    </row>
    <row r="2" spans="4:4" x14ac:dyDescent="0.25">
      <c r="D2"/>
    </row>
    <row r="3" spans="4:4" x14ac:dyDescent="0.25">
      <c r="D3"/>
    </row>
    <row r="4" spans="4:4" x14ac:dyDescent="0.25">
      <c r="D4"/>
    </row>
    <row r="5" spans="4:4" x14ac:dyDescent="0.25">
      <c r="D5"/>
    </row>
    <row r="6" spans="4:4" x14ac:dyDescent="0.25">
      <c r="D6"/>
    </row>
    <row r="7" spans="4:4" x14ac:dyDescent="0.25">
      <c r="D7"/>
    </row>
    <row r="8" spans="4:4" x14ac:dyDescent="0.25">
      <c r="D8"/>
    </row>
    <row r="9" spans="4:4" x14ac:dyDescent="0.25">
      <c r="D9"/>
    </row>
    <row r="10" spans="4:4" x14ac:dyDescent="0.25">
      <c r="D10"/>
    </row>
    <row r="11" spans="4:4" x14ac:dyDescent="0.25">
      <c r="D11"/>
    </row>
    <row r="12" spans="4:4" x14ac:dyDescent="0.25">
      <c r="D12"/>
    </row>
    <row r="13" spans="4:4" x14ac:dyDescent="0.25">
      <c r="D13"/>
    </row>
    <row r="14" spans="4:4" x14ac:dyDescent="0.25">
      <c r="D14"/>
    </row>
    <row r="15" spans="4:4" x14ac:dyDescent="0.25">
      <c r="D15"/>
    </row>
    <row r="16" spans="4:4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  <row r="147" spans="4:4" x14ac:dyDescent="0.25">
      <c r="D147"/>
    </row>
    <row r="148" spans="4:4" x14ac:dyDescent="0.25">
      <c r="D148"/>
    </row>
    <row r="149" spans="4:4" x14ac:dyDescent="0.25">
      <c r="D149"/>
    </row>
    <row r="150" spans="4:4" x14ac:dyDescent="0.25">
      <c r="D150"/>
    </row>
    <row r="151" spans="4:4" x14ac:dyDescent="0.25">
      <c r="D151"/>
    </row>
    <row r="152" spans="4:4" x14ac:dyDescent="0.25">
      <c r="D152"/>
    </row>
    <row r="153" spans="4:4" x14ac:dyDescent="0.25">
      <c r="D153"/>
    </row>
    <row r="154" spans="4:4" x14ac:dyDescent="0.25">
      <c r="D154"/>
    </row>
    <row r="155" spans="4:4" x14ac:dyDescent="0.25">
      <c r="D155"/>
    </row>
    <row r="156" spans="4:4" x14ac:dyDescent="0.25">
      <c r="D156"/>
    </row>
    <row r="157" spans="4:4" x14ac:dyDescent="0.25">
      <c r="D157"/>
    </row>
    <row r="158" spans="4:4" x14ac:dyDescent="0.25">
      <c r="D158"/>
    </row>
    <row r="159" spans="4:4" x14ac:dyDescent="0.25">
      <c r="D159"/>
    </row>
    <row r="160" spans="4:4" x14ac:dyDescent="0.25">
      <c r="D160"/>
    </row>
    <row r="161" spans="4:4" x14ac:dyDescent="0.25">
      <c r="D161"/>
    </row>
    <row r="162" spans="4:4" x14ac:dyDescent="0.25">
      <c r="D162"/>
    </row>
    <row r="163" spans="4:4" x14ac:dyDescent="0.25">
      <c r="D163"/>
    </row>
    <row r="164" spans="4:4" x14ac:dyDescent="0.25">
      <c r="D164"/>
    </row>
    <row r="165" spans="4:4" x14ac:dyDescent="0.25">
      <c r="D165"/>
    </row>
    <row r="166" spans="4:4" x14ac:dyDescent="0.25">
      <c r="D166"/>
    </row>
    <row r="167" spans="4:4" x14ac:dyDescent="0.25">
      <c r="D167"/>
    </row>
    <row r="168" spans="4:4" x14ac:dyDescent="0.25">
      <c r="D168"/>
    </row>
    <row r="169" spans="4:4" x14ac:dyDescent="0.25">
      <c r="D169"/>
    </row>
    <row r="170" spans="4:4" x14ac:dyDescent="0.25">
      <c r="D170"/>
    </row>
    <row r="171" spans="4:4" x14ac:dyDescent="0.25">
      <c r="D171"/>
    </row>
    <row r="172" spans="4:4" x14ac:dyDescent="0.25">
      <c r="D172"/>
    </row>
    <row r="173" spans="4:4" x14ac:dyDescent="0.25">
      <c r="D173"/>
    </row>
    <row r="174" spans="4:4" x14ac:dyDescent="0.25">
      <c r="D174"/>
    </row>
    <row r="175" spans="4:4" x14ac:dyDescent="0.25">
      <c r="D175"/>
    </row>
    <row r="176" spans="4:4" x14ac:dyDescent="0.25">
      <c r="D176"/>
    </row>
    <row r="177" spans="4:4" x14ac:dyDescent="0.25">
      <c r="D177"/>
    </row>
    <row r="178" spans="4:4" x14ac:dyDescent="0.25">
      <c r="D178"/>
    </row>
    <row r="179" spans="4:4" x14ac:dyDescent="0.25">
      <c r="D179"/>
    </row>
    <row r="180" spans="4:4" x14ac:dyDescent="0.25">
      <c r="D180"/>
    </row>
    <row r="181" spans="4:4" x14ac:dyDescent="0.25">
      <c r="D181"/>
    </row>
    <row r="182" spans="4:4" x14ac:dyDescent="0.25">
      <c r="D182"/>
    </row>
    <row r="183" spans="4:4" x14ac:dyDescent="0.25">
      <c r="D183"/>
    </row>
    <row r="184" spans="4:4" x14ac:dyDescent="0.25">
      <c r="D184"/>
    </row>
    <row r="185" spans="4:4" x14ac:dyDescent="0.25">
      <c r="D185"/>
    </row>
    <row r="186" spans="4:4" x14ac:dyDescent="0.25">
      <c r="D186"/>
    </row>
    <row r="187" spans="4:4" x14ac:dyDescent="0.25">
      <c r="D187"/>
    </row>
    <row r="188" spans="4:4" x14ac:dyDescent="0.25">
      <c r="D188"/>
    </row>
    <row r="189" spans="4:4" x14ac:dyDescent="0.25">
      <c r="D189"/>
    </row>
    <row r="190" spans="4:4" x14ac:dyDescent="0.25">
      <c r="D190"/>
    </row>
    <row r="191" spans="4:4" x14ac:dyDescent="0.25">
      <c r="D191"/>
    </row>
    <row r="192" spans="4:4" x14ac:dyDescent="0.25">
      <c r="D192"/>
    </row>
    <row r="193" spans="4:4" x14ac:dyDescent="0.25">
      <c r="D193"/>
    </row>
    <row r="194" spans="4:4" x14ac:dyDescent="0.25">
      <c r="D194"/>
    </row>
    <row r="195" spans="4:4" x14ac:dyDescent="0.25">
      <c r="D195"/>
    </row>
    <row r="196" spans="4:4" x14ac:dyDescent="0.25">
      <c r="D196"/>
    </row>
    <row r="197" spans="4:4" x14ac:dyDescent="0.25">
      <c r="D197"/>
    </row>
    <row r="198" spans="4:4" x14ac:dyDescent="0.25">
      <c r="D198"/>
    </row>
    <row r="199" spans="4:4" x14ac:dyDescent="0.25">
      <c r="D199"/>
    </row>
    <row r="200" spans="4:4" x14ac:dyDescent="0.25">
      <c r="D200"/>
    </row>
    <row r="201" spans="4:4" x14ac:dyDescent="0.25">
      <c r="D201"/>
    </row>
    <row r="202" spans="4:4" x14ac:dyDescent="0.25">
      <c r="D202"/>
    </row>
    <row r="203" spans="4:4" x14ac:dyDescent="0.25">
      <c r="D203"/>
    </row>
    <row r="204" spans="4:4" x14ac:dyDescent="0.25">
      <c r="D204"/>
    </row>
    <row r="205" spans="4:4" x14ac:dyDescent="0.25">
      <c r="D205"/>
    </row>
    <row r="206" spans="4:4" x14ac:dyDescent="0.25">
      <c r="D206"/>
    </row>
    <row r="207" spans="4:4" x14ac:dyDescent="0.25">
      <c r="D207"/>
    </row>
    <row r="208" spans="4:4" x14ac:dyDescent="0.25">
      <c r="D208"/>
    </row>
    <row r="209" spans="4:4" x14ac:dyDescent="0.25">
      <c r="D209"/>
    </row>
    <row r="210" spans="4:4" x14ac:dyDescent="0.25">
      <c r="D210"/>
    </row>
    <row r="211" spans="4:4" x14ac:dyDescent="0.25">
      <c r="D211"/>
    </row>
    <row r="212" spans="4:4" x14ac:dyDescent="0.25">
      <c r="D212"/>
    </row>
    <row r="213" spans="4:4" x14ac:dyDescent="0.25">
      <c r="D213"/>
    </row>
    <row r="214" spans="4:4" x14ac:dyDescent="0.25">
      <c r="D214"/>
    </row>
    <row r="215" spans="4:4" x14ac:dyDescent="0.25">
      <c r="D215"/>
    </row>
    <row r="216" spans="4:4" x14ac:dyDescent="0.25">
      <c r="D216"/>
    </row>
    <row r="217" spans="4:4" x14ac:dyDescent="0.25">
      <c r="D217"/>
    </row>
    <row r="218" spans="4:4" x14ac:dyDescent="0.25">
      <c r="D218"/>
    </row>
    <row r="219" spans="4:4" x14ac:dyDescent="0.25">
      <c r="D219"/>
    </row>
    <row r="220" spans="4:4" x14ac:dyDescent="0.25">
      <c r="D220"/>
    </row>
    <row r="221" spans="4:4" x14ac:dyDescent="0.25">
      <c r="D221"/>
    </row>
    <row r="222" spans="4:4" x14ac:dyDescent="0.25">
      <c r="D222"/>
    </row>
    <row r="223" spans="4:4" x14ac:dyDescent="0.25">
      <c r="D223"/>
    </row>
    <row r="224" spans="4:4" x14ac:dyDescent="0.25">
      <c r="D224"/>
    </row>
    <row r="225" spans="4:4" x14ac:dyDescent="0.25">
      <c r="D225"/>
    </row>
    <row r="226" spans="4:4" x14ac:dyDescent="0.25">
      <c r="D226"/>
    </row>
    <row r="227" spans="4:4" x14ac:dyDescent="0.25">
      <c r="D227"/>
    </row>
    <row r="228" spans="4:4" x14ac:dyDescent="0.25">
      <c r="D228"/>
    </row>
    <row r="229" spans="4:4" x14ac:dyDescent="0.25">
      <c r="D229"/>
    </row>
    <row r="230" spans="4:4" x14ac:dyDescent="0.25">
      <c r="D230"/>
    </row>
    <row r="231" spans="4:4" x14ac:dyDescent="0.25">
      <c r="D231"/>
    </row>
    <row r="232" spans="4:4" x14ac:dyDescent="0.25">
      <c r="D232"/>
    </row>
    <row r="233" spans="4:4" x14ac:dyDescent="0.25">
      <c r="D233"/>
    </row>
    <row r="234" spans="4:4" x14ac:dyDescent="0.25">
      <c r="D234"/>
    </row>
    <row r="235" spans="4:4" x14ac:dyDescent="0.25">
      <c r="D235"/>
    </row>
    <row r="236" spans="4:4" x14ac:dyDescent="0.25">
      <c r="D236"/>
    </row>
    <row r="237" spans="4:4" x14ac:dyDescent="0.25">
      <c r="D237"/>
    </row>
    <row r="238" spans="4:4" x14ac:dyDescent="0.25">
      <c r="D238"/>
    </row>
    <row r="239" spans="4:4" x14ac:dyDescent="0.25">
      <c r="D239"/>
    </row>
    <row r="240" spans="4:4" x14ac:dyDescent="0.25">
      <c r="D240"/>
    </row>
    <row r="241" spans="4:4" x14ac:dyDescent="0.25">
      <c r="D241"/>
    </row>
    <row r="242" spans="4:4" x14ac:dyDescent="0.25">
      <c r="D242"/>
    </row>
    <row r="243" spans="4:4" x14ac:dyDescent="0.25">
      <c r="D243"/>
    </row>
    <row r="244" spans="4:4" x14ac:dyDescent="0.25">
      <c r="D244"/>
    </row>
    <row r="245" spans="4:4" x14ac:dyDescent="0.25">
      <c r="D245"/>
    </row>
    <row r="246" spans="4:4" x14ac:dyDescent="0.25">
      <c r="D246"/>
    </row>
    <row r="247" spans="4:4" x14ac:dyDescent="0.25">
      <c r="D247"/>
    </row>
    <row r="248" spans="4:4" x14ac:dyDescent="0.25">
      <c r="D248"/>
    </row>
    <row r="249" spans="4:4" x14ac:dyDescent="0.25">
      <c r="D249"/>
    </row>
    <row r="250" spans="4:4" x14ac:dyDescent="0.25">
      <c r="D250"/>
    </row>
    <row r="251" spans="4:4" x14ac:dyDescent="0.25">
      <c r="D251"/>
    </row>
    <row r="252" spans="4:4" x14ac:dyDescent="0.25">
      <c r="D252"/>
    </row>
    <row r="253" spans="4:4" x14ac:dyDescent="0.25">
      <c r="D253"/>
    </row>
    <row r="254" spans="4:4" x14ac:dyDescent="0.25">
      <c r="D254"/>
    </row>
    <row r="255" spans="4:4" x14ac:dyDescent="0.25">
      <c r="D255"/>
    </row>
    <row r="256" spans="4:4" x14ac:dyDescent="0.25">
      <c r="D256"/>
    </row>
    <row r="257" spans="4:4" x14ac:dyDescent="0.25">
      <c r="D257"/>
    </row>
    <row r="258" spans="4:4" x14ac:dyDescent="0.25">
      <c r="D258"/>
    </row>
    <row r="259" spans="4:4" x14ac:dyDescent="0.25">
      <c r="D259"/>
    </row>
    <row r="260" spans="4:4" x14ac:dyDescent="0.25">
      <c r="D260"/>
    </row>
    <row r="261" spans="4:4" x14ac:dyDescent="0.25">
      <c r="D261"/>
    </row>
    <row r="262" spans="4:4" x14ac:dyDescent="0.25">
      <c r="D262"/>
    </row>
    <row r="263" spans="4:4" x14ac:dyDescent="0.25">
      <c r="D263"/>
    </row>
    <row r="264" spans="4:4" x14ac:dyDescent="0.25">
      <c r="D264"/>
    </row>
    <row r="265" spans="4:4" x14ac:dyDescent="0.25">
      <c r="D265"/>
    </row>
    <row r="266" spans="4:4" x14ac:dyDescent="0.25">
      <c r="D266"/>
    </row>
    <row r="267" spans="4:4" x14ac:dyDescent="0.25">
      <c r="D267"/>
    </row>
    <row r="268" spans="4:4" x14ac:dyDescent="0.25">
      <c r="D268"/>
    </row>
    <row r="269" spans="4:4" x14ac:dyDescent="0.25">
      <c r="D269"/>
    </row>
    <row r="270" spans="4:4" x14ac:dyDescent="0.25">
      <c r="D270"/>
    </row>
    <row r="271" spans="4:4" x14ac:dyDescent="0.25">
      <c r="D271"/>
    </row>
    <row r="272" spans="4:4" x14ac:dyDescent="0.25">
      <c r="D272"/>
    </row>
    <row r="273" spans="4:4" x14ac:dyDescent="0.25">
      <c r="D273"/>
    </row>
    <row r="274" spans="4:4" x14ac:dyDescent="0.25">
      <c r="D274"/>
    </row>
    <row r="275" spans="4:4" x14ac:dyDescent="0.25">
      <c r="D275"/>
    </row>
    <row r="276" spans="4:4" x14ac:dyDescent="0.25">
      <c r="D276"/>
    </row>
    <row r="277" spans="4:4" x14ac:dyDescent="0.25">
      <c r="D277"/>
    </row>
    <row r="278" spans="4:4" x14ac:dyDescent="0.25">
      <c r="D278"/>
    </row>
    <row r="279" spans="4:4" x14ac:dyDescent="0.25">
      <c r="D279"/>
    </row>
    <row r="280" spans="4:4" x14ac:dyDescent="0.25">
      <c r="D280"/>
    </row>
    <row r="281" spans="4:4" x14ac:dyDescent="0.25">
      <c r="D281"/>
    </row>
    <row r="282" spans="4:4" x14ac:dyDescent="0.25">
      <c r="D282"/>
    </row>
    <row r="283" spans="4:4" x14ac:dyDescent="0.25">
      <c r="D283"/>
    </row>
    <row r="284" spans="4:4" x14ac:dyDescent="0.25">
      <c r="D284"/>
    </row>
    <row r="285" spans="4:4" x14ac:dyDescent="0.25">
      <c r="D285"/>
    </row>
    <row r="286" spans="4:4" x14ac:dyDescent="0.25">
      <c r="D286"/>
    </row>
    <row r="287" spans="4:4" x14ac:dyDescent="0.25">
      <c r="D287"/>
    </row>
    <row r="288" spans="4:4" x14ac:dyDescent="0.25">
      <c r="D288"/>
    </row>
    <row r="289" spans="4:4" x14ac:dyDescent="0.25">
      <c r="D289"/>
    </row>
    <row r="290" spans="4:4" x14ac:dyDescent="0.25">
      <c r="D290"/>
    </row>
    <row r="291" spans="4:4" x14ac:dyDescent="0.25">
      <c r="D291"/>
    </row>
    <row r="292" spans="4:4" x14ac:dyDescent="0.25">
      <c r="D292"/>
    </row>
    <row r="293" spans="4:4" x14ac:dyDescent="0.25">
      <c r="D293"/>
    </row>
    <row r="294" spans="4:4" x14ac:dyDescent="0.25">
      <c r="D294"/>
    </row>
    <row r="295" spans="4:4" x14ac:dyDescent="0.25">
      <c r="D295"/>
    </row>
    <row r="296" spans="4:4" x14ac:dyDescent="0.25">
      <c r="D296"/>
    </row>
    <row r="297" spans="4:4" x14ac:dyDescent="0.25">
      <c r="D297"/>
    </row>
    <row r="298" spans="4:4" x14ac:dyDescent="0.25">
      <c r="D298"/>
    </row>
    <row r="299" spans="4:4" x14ac:dyDescent="0.25">
      <c r="D299"/>
    </row>
    <row r="300" spans="4:4" x14ac:dyDescent="0.25">
      <c r="D300"/>
    </row>
    <row r="301" spans="4:4" x14ac:dyDescent="0.25">
      <c r="D301"/>
    </row>
    <row r="302" spans="4:4" x14ac:dyDescent="0.25">
      <c r="D302"/>
    </row>
    <row r="303" spans="4:4" x14ac:dyDescent="0.25">
      <c r="D303"/>
    </row>
    <row r="304" spans="4:4" x14ac:dyDescent="0.25">
      <c r="D304"/>
    </row>
    <row r="305" spans="4:4" x14ac:dyDescent="0.25">
      <c r="D305"/>
    </row>
    <row r="306" spans="4:4" x14ac:dyDescent="0.25">
      <c r="D306"/>
    </row>
    <row r="307" spans="4:4" x14ac:dyDescent="0.25">
      <c r="D307"/>
    </row>
    <row r="308" spans="4:4" x14ac:dyDescent="0.25">
      <c r="D308"/>
    </row>
    <row r="309" spans="4:4" x14ac:dyDescent="0.25">
      <c r="D309"/>
    </row>
    <row r="310" spans="4:4" x14ac:dyDescent="0.25">
      <c r="D310"/>
    </row>
    <row r="311" spans="4:4" x14ac:dyDescent="0.25">
      <c r="D311"/>
    </row>
    <row r="312" spans="4:4" x14ac:dyDescent="0.25">
      <c r="D312"/>
    </row>
    <row r="313" spans="4:4" x14ac:dyDescent="0.25">
      <c r="D313"/>
    </row>
    <row r="314" spans="4:4" x14ac:dyDescent="0.25">
      <c r="D314"/>
    </row>
    <row r="315" spans="4:4" x14ac:dyDescent="0.25">
      <c r="D315"/>
    </row>
    <row r="316" spans="4:4" x14ac:dyDescent="0.25">
      <c r="D316"/>
    </row>
    <row r="317" spans="4:4" x14ac:dyDescent="0.25">
      <c r="D317"/>
    </row>
    <row r="318" spans="4:4" x14ac:dyDescent="0.25">
      <c r="D318"/>
    </row>
    <row r="319" spans="4:4" x14ac:dyDescent="0.25">
      <c r="D319"/>
    </row>
    <row r="320" spans="4:4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  <row r="990" spans="4:4" x14ac:dyDescent="0.25">
      <c r="D990"/>
    </row>
    <row r="991" spans="4:4" x14ac:dyDescent="0.25">
      <c r="D991"/>
    </row>
    <row r="992" spans="4:4" x14ac:dyDescent="0.25">
      <c r="D992"/>
    </row>
    <row r="993" spans="4:4" x14ac:dyDescent="0.25">
      <c r="D993"/>
    </row>
    <row r="994" spans="4:4" x14ac:dyDescent="0.25">
      <c r="D994"/>
    </row>
    <row r="995" spans="4:4" x14ac:dyDescent="0.25">
      <c r="D995"/>
    </row>
    <row r="996" spans="4:4" x14ac:dyDescent="0.25">
      <c r="D996"/>
    </row>
    <row r="997" spans="4:4" x14ac:dyDescent="0.25">
      <c r="D997"/>
    </row>
    <row r="998" spans="4:4" x14ac:dyDescent="0.25">
      <c r="D998"/>
    </row>
    <row r="999" spans="4:4" x14ac:dyDescent="0.25">
      <c r="D999"/>
    </row>
    <row r="1000" spans="4:4" x14ac:dyDescent="0.25">
      <c r="D1000"/>
    </row>
    <row r="1001" spans="4:4" x14ac:dyDescent="0.25">
      <c r="D1001"/>
    </row>
    <row r="1002" spans="4:4" x14ac:dyDescent="0.25">
      <c r="D1002"/>
    </row>
    <row r="1003" spans="4:4" x14ac:dyDescent="0.25">
      <c r="D1003"/>
    </row>
    <row r="1004" spans="4:4" x14ac:dyDescent="0.25">
      <c r="D1004"/>
    </row>
    <row r="1005" spans="4:4" x14ac:dyDescent="0.25">
      <c r="D1005"/>
    </row>
    <row r="1006" spans="4:4" x14ac:dyDescent="0.25">
      <c r="D1006"/>
    </row>
    <row r="1007" spans="4:4" x14ac:dyDescent="0.25">
      <c r="D1007"/>
    </row>
    <row r="1008" spans="4:4" x14ac:dyDescent="0.25">
      <c r="D1008"/>
    </row>
    <row r="1009" spans="4:4" x14ac:dyDescent="0.25">
      <c r="D1009"/>
    </row>
    <row r="1010" spans="4:4" x14ac:dyDescent="0.25">
      <c r="D1010"/>
    </row>
    <row r="1011" spans="4:4" x14ac:dyDescent="0.25">
      <c r="D1011"/>
    </row>
    <row r="1012" spans="4:4" x14ac:dyDescent="0.25">
      <c r="D1012"/>
    </row>
    <row r="1013" spans="4:4" x14ac:dyDescent="0.25">
      <c r="D1013"/>
    </row>
    <row r="1014" spans="4:4" x14ac:dyDescent="0.25">
      <c r="D1014"/>
    </row>
    <row r="1015" spans="4:4" x14ac:dyDescent="0.25">
      <c r="D1015"/>
    </row>
    <row r="1016" spans="4:4" x14ac:dyDescent="0.25">
      <c r="D1016"/>
    </row>
    <row r="1017" spans="4:4" x14ac:dyDescent="0.25">
      <c r="D1017"/>
    </row>
    <row r="1018" spans="4:4" x14ac:dyDescent="0.25">
      <c r="D1018"/>
    </row>
    <row r="1019" spans="4:4" x14ac:dyDescent="0.25">
      <c r="D1019"/>
    </row>
    <row r="1020" spans="4:4" x14ac:dyDescent="0.25">
      <c r="D1020"/>
    </row>
    <row r="1021" spans="4:4" x14ac:dyDescent="0.25">
      <c r="D1021"/>
    </row>
    <row r="1022" spans="4:4" x14ac:dyDescent="0.25">
      <c r="D1022"/>
    </row>
    <row r="1023" spans="4:4" x14ac:dyDescent="0.25">
      <c r="D1023"/>
    </row>
    <row r="1024" spans="4:4" x14ac:dyDescent="0.25">
      <c r="D1024"/>
    </row>
    <row r="1025" spans="4:4" x14ac:dyDescent="0.25">
      <c r="D1025"/>
    </row>
    <row r="1026" spans="4:4" x14ac:dyDescent="0.25">
      <c r="D1026"/>
    </row>
    <row r="1027" spans="4:4" x14ac:dyDescent="0.25">
      <c r="D1027"/>
    </row>
    <row r="1028" spans="4:4" x14ac:dyDescent="0.25">
      <c r="D1028"/>
    </row>
    <row r="1029" spans="4:4" x14ac:dyDescent="0.25">
      <c r="D1029"/>
    </row>
    <row r="1030" spans="4:4" x14ac:dyDescent="0.25">
      <c r="D1030"/>
    </row>
    <row r="1031" spans="4:4" x14ac:dyDescent="0.25">
      <c r="D1031"/>
    </row>
    <row r="1032" spans="4:4" x14ac:dyDescent="0.25">
      <c r="D1032"/>
    </row>
    <row r="1033" spans="4:4" x14ac:dyDescent="0.25">
      <c r="D1033"/>
    </row>
    <row r="1034" spans="4:4" x14ac:dyDescent="0.25">
      <c r="D1034"/>
    </row>
    <row r="1035" spans="4:4" x14ac:dyDescent="0.25">
      <c r="D1035"/>
    </row>
    <row r="1036" spans="4:4" x14ac:dyDescent="0.25">
      <c r="D1036"/>
    </row>
    <row r="1037" spans="4:4" x14ac:dyDescent="0.25">
      <c r="D1037"/>
    </row>
    <row r="1038" spans="4:4" x14ac:dyDescent="0.25">
      <c r="D1038"/>
    </row>
    <row r="1039" spans="4:4" x14ac:dyDescent="0.25">
      <c r="D1039"/>
    </row>
    <row r="1040" spans="4:4" x14ac:dyDescent="0.25">
      <c r="D1040"/>
    </row>
    <row r="1041" spans="4:4" x14ac:dyDescent="0.25">
      <c r="D1041"/>
    </row>
    <row r="1042" spans="4:4" x14ac:dyDescent="0.25">
      <c r="D1042"/>
    </row>
    <row r="1043" spans="4:4" x14ac:dyDescent="0.25">
      <c r="D1043"/>
    </row>
    <row r="1044" spans="4:4" x14ac:dyDescent="0.25">
      <c r="D1044"/>
    </row>
    <row r="1045" spans="4:4" x14ac:dyDescent="0.25">
      <c r="D1045"/>
    </row>
    <row r="1046" spans="4:4" x14ac:dyDescent="0.25">
      <c r="D1046"/>
    </row>
    <row r="1047" spans="4:4" x14ac:dyDescent="0.25">
      <c r="D1047"/>
    </row>
    <row r="1048" spans="4:4" x14ac:dyDescent="0.25">
      <c r="D1048"/>
    </row>
    <row r="1049" spans="4:4" x14ac:dyDescent="0.25">
      <c r="D1049"/>
    </row>
    <row r="1050" spans="4:4" x14ac:dyDescent="0.25">
      <c r="D1050"/>
    </row>
    <row r="1051" spans="4:4" x14ac:dyDescent="0.25">
      <c r="D1051"/>
    </row>
    <row r="1052" spans="4:4" x14ac:dyDescent="0.25">
      <c r="D1052"/>
    </row>
    <row r="1053" spans="4:4" x14ac:dyDescent="0.25">
      <c r="D1053"/>
    </row>
    <row r="1054" spans="4:4" x14ac:dyDescent="0.25">
      <c r="D1054"/>
    </row>
    <row r="1055" spans="4:4" x14ac:dyDescent="0.25">
      <c r="D1055"/>
    </row>
    <row r="1056" spans="4:4" x14ac:dyDescent="0.25">
      <c r="D1056"/>
    </row>
    <row r="1057" spans="4:4" x14ac:dyDescent="0.25">
      <c r="D1057"/>
    </row>
    <row r="1058" spans="4:4" x14ac:dyDescent="0.25">
      <c r="D1058"/>
    </row>
    <row r="1059" spans="4:4" x14ac:dyDescent="0.25">
      <c r="D1059"/>
    </row>
    <row r="1060" spans="4:4" x14ac:dyDescent="0.25">
      <c r="D1060"/>
    </row>
    <row r="1061" spans="4:4" x14ac:dyDescent="0.25">
      <c r="D1061"/>
    </row>
    <row r="1062" spans="4:4" x14ac:dyDescent="0.25">
      <c r="D1062"/>
    </row>
    <row r="1063" spans="4:4" x14ac:dyDescent="0.25">
      <c r="D1063"/>
    </row>
    <row r="1064" spans="4:4" x14ac:dyDescent="0.25">
      <c r="D1064"/>
    </row>
    <row r="1065" spans="4:4" x14ac:dyDescent="0.25">
      <c r="D1065"/>
    </row>
    <row r="1066" spans="4:4" x14ac:dyDescent="0.25">
      <c r="D1066"/>
    </row>
    <row r="1067" spans="4:4" x14ac:dyDescent="0.25">
      <c r="D1067"/>
    </row>
    <row r="1068" spans="4:4" x14ac:dyDescent="0.25">
      <c r="D1068"/>
    </row>
    <row r="1069" spans="4:4" x14ac:dyDescent="0.25">
      <c r="D1069"/>
    </row>
    <row r="1070" spans="4:4" x14ac:dyDescent="0.25">
      <c r="D1070"/>
    </row>
    <row r="1071" spans="4:4" x14ac:dyDescent="0.25">
      <c r="D1071"/>
    </row>
    <row r="1072" spans="4:4" x14ac:dyDescent="0.25">
      <c r="D1072"/>
    </row>
    <row r="1073" spans="4:4" x14ac:dyDescent="0.25">
      <c r="D1073"/>
    </row>
    <row r="1074" spans="4:4" x14ac:dyDescent="0.25">
      <c r="D1074"/>
    </row>
    <row r="1075" spans="4:4" x14ac:dyDescent="0.25">
      <c r="D1075"/>
    </row>
    <row r="1076" spans="4:4" x14ac:dyDescent="0.25">
      <c r="D1076"/>
    </row>
    <row r="1077" spans="4:4" x14ac:dyDescent="0.25">
      <c r="D1077"/>
    </row>
    <row r="1078" spans="4:4" x14ac:dyDescent="0.25">
      <c r="D1078"/>
    </row>
    <row r="1079" spans="4:4" x14ac:dyDescent="0.25">
      <c r="D1079"/>
    </row>
    <row r="1080" spans="4:4" x14ac:dyDescent="0.25">
      <c r="D1080"/>
    </row>
    <row r="1081" spans="4:4" x14ac:dyDescent="0.25">
      <c r="D1081"/>
    </row>
    <row r="1082" spans="4:4" x14ac:dyDescent="0.25">
      <c r="D1082"/>
    </row>
    <row r="1083" spans="4:4" x14ac:dyDescent="0.25">
      <c r="D1083"/>
    </row>
    <row r="1084" spans="4:4" x14ac:dyDescent="0.25">
      <c r="D1084"/>
    </row>
    <row r="1085" spans="4:4" x14ac:dyDescent="0.25">
      <c r="D1085"/>
    </row>
    <row r="1086" spans="4:4" x14ac:dyDescent="0.25">
      <c r="D1086"/>
    </row>
    <row r="1087" spans="4:4" x14ac:dyDescent="0.25">
      <c r="D1087"/>
    </row>
    <row r="1088" spans="4:4" x14ac:dyDescent="0.25">
      <c r="D1088"/>
    </row>
    <row r="1089" spans="4:4" x14ac:dyDescent="0.25">
      <c r="D1089"/>
    </row>
    <row r="1090" spans="4:4" x14ac:dyDescent="0.25">
      <c r="D1090"/>
    </row>
    <row r="1091" spans="4:4" x14ac:dyDescent="0.25">
      <c r="D1091"/>
    </row>
    <row r="1092" spans="4:4" x14ac:dyDescent="0.25">
      <c r="D1092"/>
    </row>
    <row r="1093" spans="4:4" x14ac:dyDescent="0.25">
      <c r="D1093"/>
    </row>
    <row r="1094" spans="4:4" x14ac:dyDescent="0.25">
      <c r="D1094"/>
    </row>
    <row r="1095" spans="4:4" x14ac:dyDescent="0.25">
      <c r="D1095"/>
    </row>
    <row r="1096" spans="4:4" x14ac:dyDescent="0.25">
      <c r="D1096"/>
    </row>
    <row r="1097" spans="4:4" x14ac:dyDescent="0.25">
      <c r="D1097"/>
    </row>
    <row r="1098" spans="4:4" x14ac:dyDescent="0.25">
      <c r="D1098"/>
    </row>
    <row r="1099" spans="4:4" x14ac:dyDescent="0.25">
      <c r="D1099"/>
    </row>
    <row r="1100" spans="4:4" x14ac:dyDescent="0.25">
      <c r="D1100"/>
    </row>
    <row r="1101" spans="4:4" x14ac:dyDescent="0.25">
      <c r="D1101"/>
    </row>
    <row r="1102" spans="4:4" x14ac:dyDescent="0.25">
      <c r="D1102"/>
    </row>
    <row r="1103" spans="4:4" x14ac:dyDescent="0.25">
      <c r="D1103"/>
    </row>
    <row r="1104" spans="4:4" x14ac:dyDescent="0.25">
      <c r="D1104"/>
    </row>
    <row r="1105" spans="4:4" x14ac:dyDescent="0.25">
      <c r="D1105"/>
    </row>
    <row r="1106" spans="4:4" x14ac:dyDescent="0.25">
      <c r="D1106"/>
    </row>
    <row r="1107" spans="4:4" x14ac:dyDescent="0.25">
      <c r="D1107"/>
    </row>
    <row r="1108" spans="4:4" x14ac:dyDescent="0.25">
      <c r="D1108"/>
    </row>
    <row r="1109" spans="4:4" x14ac:dyDescent="0.25">
      <c r="D1109"/>
    </row>
    <row r="1110" spans="4:4" x14ac:dyDescent="0.25">
      <c r="D1110"/>
    </row>
    <row r="1111" spans="4:4" x14ac:dyDescent="0.25">
      <c r="D1111"/>
    </row>
    <row r="1112" spans="4:4" x14ac:dyDescent="0.25">
      <c r="D1112"/>
    </row>
    <row r="1113" spans="4:4" x14ac:dyDescent="0.25">
      <c r="D1113"/>
    </row>
    <row r="1114" spans="4:4" x14ac:dyDescent="0.25">
      <c r="D1114"/>
    </row>
    <row r="1115" spans="4:4" x14ac:dyDescent="0.25">
      <c r="D1115"/>
    </row>
    <row r="1116" spans="4:4" x14ac:dyDescent="0.25">
      <c r="D1116"/>
    </row>
    <row r="1117" spans="4:4" x14ac:dyDescent="0.25">
      <c r="D1117"/>
    </row>
    <row r="1118" spans="4:4" x14ac:dyDescent="0.25">
      <c r="D1118"/>
    </row>
    <row r="1119" spans="4:4" x14ac:dyDescent="0.25">
      <c r="D1119"/>
    </row>
    <row r="1120" spans="4:4" x14ac:dyDescent="0.25">
      <c r="D1120"/>
    </row>
    <row r="1121" spans="4:4" x14ac:dyDescent="0.25">
      <c r="D1121"/>
    </row>
    <row r="1122" spans="4:4" x14ac:dyDescent="0.25">
      <c r="D1122"/>
    </row>
    <row r="1123" spans="4:4" x14ac:dyDescent="0.25">
      <c r="D1123"/>
    </row>
    <row r="1124" spans="4:4" x14ac:dyDescent="0.25">
      <c r="D1124"/>
    </row>
    <row r="1125" spans="4:4" x14ac:dyDescent="0.25">
      <c r="D1125"/>
    </row>
    <row r="1126" spans="4:4" x14ac:dyDescent="0.25">
      <c r="D1126"/>
    </row>
    <row r="1127" spans="4:4" x14ac:dyDescent="0.25">
      <c r="D1127"/>
    </row>
    <row r="1128" spans="4:4" x14ac:dyDescent="0.25">
      <c r="D1128"/>
    </row>
    <row r="1129" spans="4:4" x14ac:dyDescent="0.25">
      <c r="D1129"/>
    </row>
    <row r="1130" spans="4:4" x14ac:dyDescent="0.25">
      <c r="D1130"/>
    </row>
    <row r="1131" spans="4:4" x14ac:dyDescent="0.25">
      <c r="D1131"/>
    </row>
    <row r="1132" spans="4:4" x14ac:dyDescent="0.25">
      <c r="D1132"/>
    </row>
    <row r="1133" spans="4:4" x14ac:dyDescent="0.25">
      <c r="D1133"/>
    </row>
    <row r="1134" spans="4:4" x14ac:dyDescent="0.25">
      <c r="D1134"/>
    </row>
    <row r="1135" spans="4:4" x14ac:dyDescent="0.25">
      <c r="D1135"/>
    </row>
    <row r="1136" spans="4:4" x14ac:dyDescent="0.25">
      <c r="D1136"/>
    </row>
    <row r="1137" spans="4:4" x14ac:dyDescent="0.25">
      <c r="D1137"/>
    </row>
    <row r="1138" spans="4:4" x14ac:dyDescent="0.25">
      <c r="D1138"/>
    </row>
    <row r="1139" spans="4:4" x14ac:dyDescent="0.25">
      <c r="D1139"/>
    </row>
    <row r="1140" spans="4:4" x14ac:dyDescent="0.25">
      <c r="D1140"/>
    </row>
    <row r="1141" spans="4:4" x14ac:dyDescent="0.25">
      <c r="D1141"/>
    </row>
    <row r="1142" spans="4:4" x14ac:dyDescent="0.25">
      <c r="D1142"/>
    </row>
    <row r="1143" spans="4:4" x14ac:dyDescent="0.25">
      <c r="D1143"/>
    </row>
    <row r="1144" spans="4:4" x14ac:dyDescent="0.25">
      <c r="D1144"/>
    </row>
    <row r="1145" spans="4:4" x14ac:dyDescent="0.25">
      <c r="D1145"/>
    </row>
    <row r="1146" spans="4:4" x14ac:dyDescent="0.25">
      <c r="D1146"/>
    </row>
    <row r="1147" spans="4:4" x14ac:dyDescent="0.25">
      <c r="D1147"/>
    </row>
    <row r="1148" spans="4:4" x14ac:dyDescent="0.25">
      <c r="D1148"/>
    </row>
    <row r="1149" spans="4:4" x14ac:dyDescent="0.25">
      <c r="D1149"/>
    </row>
    <row r="1150" spans="4:4" x14ac:dyDescent="0.25">
      <c r="D1150"/>
    </row>
    <row r="1151" spans="4:4" x14ac:dyDescent="0.25">
      <c r="D1151"/>
    </row>
    <row r="1152" spans="4:4" x14ac:dyDescent="0.25">
      <c r="D1152"/>
    </row>
    <row r="1153" spans="4:4" x14ac:dyDescent="0.25">
      <c r="D1153"/>
    </row>
    <row r="1154" spans="4:4" x14ac:dyDescent="0.25">
      <c r="D1154"/>
    </row>
    <row r="1155" spans="4:4" x14ac:dyDescent="0.25">
      <c r="D1155"/>
    </row>
    <row r="1156" spans="4:4" x14ac:dyDescent="0.25">
      <c r="D1156"/>
    </row>
    <row r="1157" spans="4:4" x14ac:dyDescent="0.25">
      <c r="D1157"/>
    </row>
    <row r="1158" spans="4:4" x14ac:dyDescent="0.25">
      <c r="D1158"/>
    </row>
    <row r="1159" spans="4:4" x14ac:dyDescent="0.25">
      <c r="D1159"/>
    </row>
    <row r="1160" spans="4:4" x14ac:dyDescent="0.25">
      <c r="D1160"/>
    </row>
    <row r="1161" spans="4:4" x14ac:dyDescent="0.25">
      <c r="D1161"/>
    </row>
    <row r="1162" spans="4:4" x14ac:dyDescent="0.25">
      <c r="D1162"/>
    </row>
    <row r="1163" spans="4:4" x14ac:dyDescent="0.25">
      <c r="D1163"/>
    </row>
    <row r="1164" spans="4:4" x14ac:dyDescent="0.25">
      <c r="D1164"/>
    </row>
    <row r="1165" spans="4:4" x14ac:dyDescent="0.25">
      <c r="D1165"/>
    </row>
    <row r="1166" spans="4:4" x14ac:dyDescent="0.25">
      <c r="D1166"/>
    </row>
    <row r="1167" spans="4:4" x14ac:dyDescent="0.25">
      <c r="D1167"/>
    </row>
    <row r="1168" spans="4:4" x14ac:dyDescent="0.25">
      <c r="D1168"/>
    </row>
    <row r="1169" spans="4:4" x14ac:dyDescent="0.25">
      <c r="D1169"/>
    </row>
    <row r="1170" spans="4:4" x14ac:dyDescent="0.25">
      <c r="D1170"/>
    </row>
    <row r="1171" spans="4:4" x14ac:dyDescent="0.25">
      <c r="D1171"/>
    </row>
    <row r="1172" spans="4:4" x14ac:dyDescent="0.25">
      <c r="D1172"/>
    </row>
    <row r="1173" spans="4:4" x14ac:dyDescent="0.25">
      <c r="D1173"/>
    </row>
    <row r="1174" spans="4:4" x14ac:dyDescent="0.25">
      <c r="D1174"/>
    </row>
    <row r="1175" spans="4:4" x14ac:dyDescent="0.25">
      <c r="D1175"/>
    </row>
    <row r="1176" spans="4:4" x14ac:dyDescent="0.25">
      <c r="D1176"/>
    </row>
    <row r="1177" spans="4:4" x14ac:dyDescent="0.25">
      <c r="D1177"/>
    </row>
    <row r="1178" spans="4:4" x14ac:dyDescent="0.25">
      <c r="D1178"/>
    </row>
    <row r="1179" spans="4:4" x14ac:dyDescent="0.25">
      <c r="D1179"/>
    </row>
    <row r="1180" spans="4:4" x14ac:dyDescent="0.25">
      <c r="D1180"/>
    </row>
    <row r="1181" spans="4:4" x14ac:dyDescent="0.25">
      <c r="D1181"/>
    </row>
    <row r="1182" spans="4:4" x14ac:dyDescent="0.25">
      <c r="D1182"/>
    </row>
    <row r="1183" spans="4:4" x14ac:dyDescent="0.25">
      <c r="D1183"/>
    </row>
    <row r="1184" spans="4:4" x14ac:dyDescent="0.25">
      <c r="D1184"/>
    </row>
    <row r="1185" spans="4:4" x14ac:dyDescent="0.25">
      <c r="D1185"/>
    </row>
    <row r="1186" spans="4:4" x14ac:dyDescent="0.25">
      <c r="D1186"/>
    </row>
    <row r="1187" spans="4:4" x14ac:dyDescent="0.25">
      <c r="D1187"/>
    </row>
    <row r="1188" spans="4:4" x14ac:dyDescent="0.25">
      <c r="D1188"/>
    </row>
    <row r="1189" spans="4:4" x14ac:dyDescent="0.25">
      <c r="D1189"/>
    </row>
    <row r="1190" spans="4:4" x14ac:dyDescent="0.25">
      <c r="D1190"/>
    </row>
    <row r="1191" spans="4:4" x14ac:dyDescent="0.25">
      <c r="D1191"/>
    </row>
    <row r="1192" spans="4:4" x14ac:dyDescent="0.25">
      <c r="D1192"/>
    </row>
    <row r="1193" spans="4:4" x14ac:dyDescent="0.25">
      <c r="D1193"/>
    </row>
    <row r="1194" spans="4:4" x14ac:dyDescent="0.25">
      <c r="D1194"/>
    </row>
    <row r="1195" spans="4:4" x14ac:dyDescent="0.25">
      <c r="D1195"/>
    </row>
    <row r="1196" spans="4:4" x14ac:dyDescent="0.25">
      <c r="D1196"/>
    </row>
    <row r="1197" spans="4:4" x14ac:dyDescent="0.25">
      <c r="D1197"/>
    </row>
    <row r="1198" spans="4:4" x14ac:dyDescent="0.25">
      <c r="D1198"/>
    </row>
    <row r="1199" spans="4:4" x14ac:dyDescent="0.25">
      <c r="D1199"/>
    </row>
    <row r="1200" spans="4:4" x14ac:dyDescent="0.25">
      <c r="D1200"/>
    </row>
    <row r="1201" spans="4:4" x14ac:dyDescent="0.25">
      <c r="D1201"/>
    </row>
    <row r="1202" spans="4:4" x14ac:dyDescent="0.25">
      <c r="D1202"/>
    </row>
    <row r="1203" spans="4:4" x14ac:dyDescent="0.25">
      <c r="D1203"/>
    </row>
    <row r="1204" spans="4:4" x14ac:dyDescent="0.25">
      <c r="D1204"/>
    </row>
    <row r="1205" spans="4:4" x14ac:dyDescent="0.25">
      <c r="D1205"/>
    </row>
    <row r="1206" spans="4:4" x14ac:dyDescent="0.25">
      <c r="D1206"/>
    </row>
    <row r="1207" spans="4:4" x14ac:dyDescent="0.25">
      <c r="D1207"/>
    </row>
    <row r="1208" spans="4:4" x14ac:dyDescent="0.25">
      <c r="D1208"/>
    </row>
    <row r="1209" spans="4:4" x14ac:dyDescent="0.25">
      <c r="D1209"/>
    </row>
    <row r="1210" spans="4:4" x14ac:dyDescent="0.25">
      <c r="D1210"/>
    </row>
    <row r="1211" spans="4:4" x14ac:dyDescent="0.25">
      <c r="D1211"/>
    </row>
    <row r="1212" spans="4:4" x14ac:dyDescent="0.25">
      <c r="D1212"/>
    </row>
    <row r="1213" spans="4:4" x14ac:dyDescent="0.25">
      <c r="D1213"/>
    </row>
    <row r="1214" spans="4:4" x14ac:dyDescent="0.25">
      <c r="D1214"/>
    </row>
    <row r="1215" spans="4:4" x14ac:dyDescent="0.25">
      <c r="D1215"/>
    </row>
    <row r="1216" spans="4:4" x14ac:dyDescent="0.25">
      <c r="D1216"/>
    </row>
    <row r="1217" spans="4:4" x14ac:dyDescent="0.25">
      <c r="D1217"/>
    </row>
    <row r="1218" spans="4:4" x14ac:dyDescent="0.25">
      <c r="D1218"/>
    </row>
    <row r="1219" spans="4:4" x14ac:dyDescent="0.25">
      <c r="D1219"/>
    </row>
    <row r="1220" spans="4:4" x14ac:dyDescent="0.25">
      <c r="D1220"/>
    </row>
    <row r="1221" spans="4:4" x14ac:dyDescent="0.25">
      <c r="D1221"/>
    </row>
    <row r="1222" spans="4:4" x14ac:dyDescent="0.25">
      <c r="D1222"/>
    </row>
    <row r="1223" spans="4:4" x14ac:dyDescent="0.25">
      <c r="D1223"/>
    </row>
    <row r="1224" spans="4:4" x14ac:dyDescent="0.25">
      <c r="D1224"/>
    </row>
    <row r="1225" spans="4:4" x14ac:dyDescent="0.25">
      <c r="D1225"/>
    </row>
    <row r="1226" spans="4:4" x14ac:dyDescent="0.25">
      <c r="D1226"/>
    </row>
    <row r="1227" spans="4:4" x14ac:dyDescent="0.25">
      <c r="D1227"/>
    </row>
    <row r="1228" spans="4:4" x14ac:dyDescent="0.25">
      <c r="D1228"/>
    </row>
    <row r="1229" spans="4:4" x14ac:dyDescent="0.25">
      <c r="D1229"/>
    </row>
    <row r="1230" spans="4:4" x14ac:dyDescent="0.25">
      <c r="D1230"/>
    </row>
    <row r="1231" spans="4:4" x14ac:dyDescent="0.25">
      <c r="D1231"/>
    </row>
    <row r="1232" spans="4:4" x14ac:dyDescent="0.25">
      <c r="D1232"/>
    </row>
    <row r="1233" spans="4:4" x14ac:dyDescent="0.25">
      <c r="D1233"/>
    </row>
    <row r="1234" spans="4:4" x14ac:dyDescent="0.25">
      <c r="D1234"/>
    </row>
    <row r="1235" spans="4:4" x14ac:dyDescent="0.25">
      <c r="D1235"/>
    </row>
    <row r="1236" spans="4:4" x14ac:dyDescent="0.25">
      <c r="D1236"/>
    </row>
    <row r="1237" spans="4:4" x14ac:dyDescent="0.25">
      <c r="D1237"/>
    </row>
    <row r="1238" spans="4:4" x14ac:dyDescent="0.25">
      <c r="D1238"/>
    </row>
    <row r="1239" spans="4:4" x14ac:dyDescent="0.25">
      <c r="D1239"/>
    </row>
    <row r="1240" spans="4:4" x14ac:dyDescent="0.25">
      <c r="D1240"/>
    </row>
    <row r="1241" spans="4:4" x14ac:dyDescent="0.25">
      <c r="D1241"/>
    </row>
    <row r="1242" spans="4:4" x14ac:dyDescent="0.25">
      <c r="D1242"/>
    </row>
    <row r="1243" spans="4:4" x14ac:dyDescent="0.25">
      <c r="D1243"/>
    </row>
    <row r="1244" spans="4:4" x14ac:dyDescent="0.25">
      <c r="D1244"/>
    </row>
    <row r="1245" spans="4:4" x14ac:dyDescent="0.25">
      <c r="D1245"/>
    </row>
    <row r="1246" spans="4:4" x14ac:dyDescent="0.25">
      <c r="D1246"/>
    </row>
    <row r="1247" spans="4:4" x14ac:dyDescent="0.25">
      <c r="D1247"/>
    </row>
    <row r="1248" spans="4:4" x14ac:dyDescent="0.25">
      <c r="D1248"/>
    </row>
    <row r="1249" spans="4:4" x14ac:dyDescent="0.25">
      <c r="D1249"/>
    </row>
    <row r="1250" spans="4:4" x14ac:dyDescent="0.25">
      <c r="D1250"/>
    </row>
    <row r="1251" spans="4:4" x14ac:dyDescent="0.25">
      <c r="D1251"/>
    </row>
    <row r="1252" spans="4:4" x14ac:dyDescent="0.25">
      <c r="D1252"/>
    </row>
    <row r="1253" spans="4:4" x14ac:dyDescent="0.25">
      <c r="D1253"/>
    </row>
    <row r="1254" spans="4:4" x14ac:dyDescent="0.25">
      <c r="D1254"/>
    </row>
    <row r="1255" spans="4:4" x14ac:dyDescent="0.25">
      <c r="D1255"/>
    </row>
    <row r="1256" spans="4:4" x14ac:dyDescent="0.25">
      <c r="D1256"/>
    </row>
    <row r="1257" spans="4:4" x14ac:dyDescent="0.25">
      <c r="D1257"/>
    </row>
    <row r="1258" spans="4:4" x14ac:dyDescent="0.25">
      <c r="D1258"/>
    </row>
    <row r="1259" spans="4:4" x14ac:dyDescent="0.25">
      <c r="D1259"/>
    </row>
    <row r="1260" spans="4:4" x14ac:dyDescent="0.25">
      <c r="D1260"/>
    </row>
    <row r="1261" spans="4:4" x14ac:dyDescent="0.25">
      <c r="D1261"/>
    </row>
    <row r="1262" spans="4:4" x14ac:dyDescent="0.25">
      <c r="D1262"/>
    </row>
    <row r="1263" spans="4:4" x14ac:dyDescent="0.25">
      <c r="D1263"/>
    </row>
    <row r="1264" spans="4:4" x14ac:dyDescent="0.25">
      <c r="D1264"/>
    </row>
    <row r="1265" spans="4:4" x14ac:dyDescent="0.25">
      <c r="D1265"/>
    </row>
    <row r="1266" spans="4:4" x14ac:dyDescent="0.25">
      <c r="D1266"/>
    </row>
    <row r="1267" spans="4:4" x14ac:dyDescent="0.25">
      <c r="D1267"/>
    </row>
    <row r="1268" spans="4:4" x14ac:dyDescent="0.25">
      <c r="D1268"/>
    </row>
    <row r="1269" spans="4:4" x14ac:dyDescent="0.25">
      <c r="D1269"/>
    </row>
    <row r="1270" spans="4:4" x14ac:dyDescent="0.25">
      <c r="D1270"/>
    </row>
    <row r="1271" spans="4:4" x14ac:dyDescent="0.25">
      <c r="D1271"/>
    </row>
    <row r="1272" spans="4:4" x14ac:dyDescent="0.25">
      <c r="D1272"/>
    </row>
    <row r="1273" spans="4:4" x14ac:dyDescent="0.25">
      <c r="D1273"/>
    </row>
    <row r="1274" spans="4:4" x14ac:dyDescent="0.25">
      <c r="D1274"/>
    </row>
    <row r="1275" spans="4:4" x14ac:dyDescent="0.25">
      <c r="D1275"/>
    </row>
    <row r="1276" spans="4:4" x14ac:dyDescent="0.25">
      <c r="D1276"/>
    </row>
    <row r="1277" spans="4:4" x14ac:dyDescent="0.25">
      <c r="D1277"/>
    </row>
    <row r="1278" spans="4:4" x14ac:dyDescent="0.25">
      <c r="D1278"/>
    </row>
    <row r="1279" spans="4:4" x14ac:dyDescent="0.25">
      <c r="D1279"/>
    </row>
    <row r="1280" spans="4:4" x14ac:dyDescent="0.25">
      <c r="D1280"/>
    </row>
    <row r="1281" spans="4:4" x14ac:dyDescent="0.25">
      <c r="D1281"/>
    </row>
    <row r="1282" spans="4:4" x14ac:dyDescent="0.25">
      <c r="D1282"/>
    </row>
    <row r="1283" spans="4:4" x14ac:dyDescent="0.25">
      <c r="D1283"/>
    </row>
    <row r="1284" spans="4:4" x14ac:dyDescent="0.25">
      <c r="D1284"/>
    </row>
    <row r="1285" spans="4:4" x14ac:dyDescent="0.25">
      <c r="D1285"/>
    </row>
    <row r="1286" spans="4:4" x14ac:dyDescent="0.25">
      <c r="D1286"/>
    </row>
    <row r="1287" spans="4:4" x14ac:dyDescent="0.25">
      <c r="D1287"/>
    </row>
    <row r="1288" spans="4:4" x14ac:dyDescent="0.25">
      <c r="D1288"/>
    </row>
    <row r="1289" spans="4:4" x14ac:dyDescent="0.25">
      <c r="D1289"/>
    </row>
    <row r="1290" spans="4:4" x14ac:dyDescent="0.25">
      <c r="D1290"/>
    </row>
    <row r="1291" spans="4:4" x14ac:dyDescent="0.25">
      <c r="D1291"/>
    </row>
    <row r="1292" spans="4:4" x14ac:dyDescent="0.25">
      <c r="D1292"/>
    </row>
    <row r="1293" spans="4:4" x14ac:dyDescent="0.25">
      <c r="D1293"/>
    </row>
    <row r="1294" spans="4:4" x14ac:dyDescent="0.25">
      <c r="D1294"/>
    </row>
    <row r="1295" spans="4:4" x14ac:dyDescent="0.25">
      <c r="D1295"/>
    </row>
    <row r="1296" spans="4:4" x14ac:dyDescent="0.25">
      <c r="D1296"/>
    </row>
    <row r="1297" spans="4:4" x14ac:dyDescent="0.25">
      <c r="D1297"/>
    </row>
    <row r="1298" spans="4:4" x14ac:dyDescent="0.25">
      <c r="D1298"/>
    </row>
    <row r="1299" spans="4:4" x14ac:dyDescent="0.25">
      <c r="D1299"/>
    </row>
    <row r="1300" spans="4:4" x14ac:dyDescent="0.25">
      <c r="D1300"/>
    </row>
    <row r="1301" spans="4:4" x14ac:dyDescent="0.25">
      <c r="D1301"/>
    </row>
    <row r="1302" spans="4:4" x14ac:dyDescent="0.25">
      <c r="D1302"/>
    </row>
    <row r="1303" spans="4:4" x14ac:dyDescent="0.25">
      <c r="D1303"/>
    </row>
    <row r="1304" spans="4:4" x14ac:dyDescent="0.25">
      <c r="D1304"/>
    </row>
    <row r="1305" spans="4:4" x14ac:dyDescent="0.25">
      <c r="D1305"/>
    </row>
    <row r="1306" spans="4:4" x14ac:dyDescent="0.25">
      <c r="D1306"/>
    </row>
    <row r="1307" spans="4:4" x14ac:dyDescent="0.25">
      <c r="D1307"/>
    </row>
    <row r="1308" spans="4:4" x14ac:dyDescent="0.25">
      <c r="D1308"/>
    </row>
    <row r="1309" spans="4:4" x14ac:dyDescent="0.25">
      <c r="D1309"/>
    </row>
    <row r="1310" spans="4:4" x14ac:dyDescent="0.25">
      <c r="D1310"/>
    </row>
    <row r="1311" spans="4:4" x14ac:dyDescent="0.25">
      <c r="D1311"/>
    </row>
    <row r="1312" spans="4:4" x14ac:dyDescent="0.25">
      <c r="D1312"/>
    </row>
    <row r="1313" spans="4:4" x14ac:dyDescent="0.25">
      <c r="D1313"/>
    </row>
    <row r="1314" spans="4:4" x14ac:dyDescent="0.25">
      <c r="D1314"/>
    </row>
    <row r="1315" spans="4:4" x14ac:dyDescent="0.25">
      <c r="D1315"/>
    </row>
    <row r="1316" spans="4:4" x14ac:dyDescent="0.25">
      <c r="D1316"/>
    </row>
    <row r="1317" spans="4:4" x14ac:dyDescent="0.25">
      <c r="D1317"/>
    </row>
    <row r="1318" spans="4:4" x14ac:dyDescent="0.25">
      <c r="D1318"/>
    </row>
    <row r="1319" spans="4:4" x14ac:dyDescent="0.25">
      <c r="D1319"/>
    </row>
    <row r="1320" spans="4:4" x14ac:dyDescent="0.25">
      <c r="D1320"/>
    </row>
    <row r="1321" spans="4:4" x14ac:dyDescent="0.25">
      <c r="D1321"/>
    </row>
    <row r="1322" spans="4:4" x14ac:dyDescent="0.25">
      <c r="D1322"/>
    </row>
    <row r="1323" spans="4:4" x14ac:dyDescent="0.25">
      <c r="D1323"/>
    </row>
    <row r="1324" spans="4:4" x14ac:dyDescent="0.25">
      <c r="D1324"/>
    </row>
    <row r="1325" spans="4:4" x14ac:dyDescent="0.25">
      <c r="D1325"/>
    </row>
    <row r="1326" spans="4:4" x14ac:dyDescent="0.25">
      <c r="D1326"/>
    </row>
    <row r="1327" spans="4:4" x14ac:dyDescent="0.25">
      <c r="D1327"/>
    </row>
    <row r="1328" spans="4:4" x14ac:dyDescent="0.25">
      <c r="D1328"/>
    </row>
    <row r="1329" spans="4:4" x14ac:dyDescent="0.25">
      <c r="D1329"/>
    </row>
    <row r="1330" spans="4:4" x14ac:dyDescent="0.25">
      <c r="D1330"/>
    </row>
    <row r="1331" spans="4:4" x14ac:dyDescent="0.25">
      <c r="D1331"/>
    </row>
    <row r="1332" spans="4:4" x14ac:dyDescent="0.25">
      <c r="D1332"/>
    </row>
    <row r="1333" spans="4:4" x14ac:dyDescent="0.25">
      <c r="D1333"/>
    </row>
    <row r="1334" spans="4:4" x14ac:dyDescent="0.25">
      <c r="D1334"/>
    </row>
    <row r="1335" spans="4:4" x14ac:dyDescent="0.25">
      <c r="D1335"/>
    </row>
    <row r="1336" spans="4:4" x14ac:dyDescent="0.25">
      <c r="D1336"/>
    </row>
    <row r="1337" spans="4:4" x14ac:dyDescent="0.25">
      <c r="D1337"/>
    </row>
    <row r="1338" spans="4:4" x14ac:dyDescent="0.25">
      <c r="D1338"/>
    </row>
    <row r="1339" spans="4:4" x14ac:dyDescent="0.25">
      <c r="D1339"/>
    </row>
    <row r="1340" spans="4:4" x14ac:dyDescent="0.25">
      <c r="D1340"/>
    </row>
    <row r="1341" spans="4:4" x14ac:dyDescent="0.25">
      <c r="D1341"/>
    </row>
    <row r="1342" spans="4:4" x14ac:dyDescent="0.25">
      <c r="D1342"/>
    </row>
    <row r="1343" spans="4:4" x14ac:dyDescent="0.25">
      <c r="D1343"/>
    </row>
    <row r="1344" spans="4:4" x14ac:dyDescent="0.25">
      <c r="D1344"/>
    </row>
    <row r="1345" spans="4:4" x14ac:dyDescent="0.25">
      <c r="D1345"/>
    </row>
    <row r="1346" spans="4:4" x14ac:dyDescent="0.25">
      <c r="D1346"/>
    </row>
    <row r="1347" spans="4:4" x14ac:dyDescent="0.25">
      <c r="D1347"/>
    </row>
    <row r="1348" spans="4:4" x14ac:dyDescent="0.25">
      <c r="D1348"/>
    </row>
    <row r="1349" spans="4:4" x14ac:dyDescent="0.25">
      <c r="D1349"/>
    </row>
    <row r="1350" spans="4:4" x14ac:dyDescent="0.25">
      <c r="D1350"/>
    </row>
    <row r="1351" spans="4:4" x14ac:dyDescent="0.25">
      <c r="D1351"/>
    </row>
    <row r="1352" spans="4:4" x14ac:dyDescent="0.25">
      <c r="D1352"/>
    </row>
    <row r="1353" spans="4:4" x14ac:dyDescent="0.25">
      <c r="D1353"/>
    </row>
    <row r="1354" spans="4:4" x14ac:dyDescent="0.25">
      <c r="D1354"/>
    </row>
    <row r="1355" spans="4:4" x14ac:dyDescent="0.25">
      <c r="D1355"/>
    </row>
    <row r="1356" spans="4:4" x14ac:dyDescent="0.25">
      <c r="D1356"/>
    </row>
    <row r="1357" spans="4:4" x14ac:dyDescent="0.25">
      <c r="D1357"/>
    </row>
    <row r="1358" spans="4:4" x14ac:dyDescent="0.25">
      <c r="D1358"/>
    </row>
    <row r="1359" spans="4:4" x14ac:dyDescent="0.25">
      <c r="D1359"/>
    </row>
    <row r="1360" spans="4:4" x14ac:dyDescent="0.25">
      <c r="D1360"/>
    </row>
    <row r="1361" spans="4:4" x14ac:dyDescent="0.25">
      <c r="D1361"/>
    </row>
    <row r="1362" spans="4:4" x14ac:dyDescent="0.25">
      <c r="D1362"/>
    </row>
    <row r="1363" spans="4:4" x14ac:dyDescent="0.25">
      <c r="D1363"/>
    </row>
    <row r="1364" spans="4:4" x14ac:dyDescent="0.25">
      <c r="D1364"/>
    </row>
    <row r="1365" spans="4:4" x14ac:dyDescent="0.25">
      <c r="D1365"/>
    </row>
    <row r="1366" spans="4:4" x14ac:dyDescent="0.25">
      <c r="D1366"/>
    </row>
    <row r="1367" spans="4:4" x14ac:dyDescent="0.25">
      <c r="D1367"/>
    </row>
    <row r="1368" spans="4:4" x14ac:dyDescent="0.25">
      <c r="D1368"/>
    </row>
    <row r="1369" spans="4:4" x14ac:dyDescent="0.25">
      <c r="D1369"/>
    </row>
    <row r="1370" spans="4:4" x14ac:dyDescent="0.25">
      <c r="D1370"/>
    </row>
    <row r="1371" spans="4:4" x14ac:dyDescent="0.25">
      <c r="D1371"/>
    </row>
    <row r="1372" spans="4:4" x14ac:dyDescent="0.25">
      <c r="D1372"/>
    </row>
    <row r="1373" spans="4:4" x14ac:dyDescent="0.25">
      <c r="D1373"/>
    </row>
    <row r="1374" spans="4:4" x14ac:dyDescent="0.25">
      <c r="D1374"/>
    </row>
    <row r="1375" spans="4:4" x14ac:dyDescent="0.25">
      <c r="D1375"/>
    </row>
    <row r="1376" spans="4:4" x14ac:dyDescent="0.25">
      <c r="D1376"/>
    </row>
    <row r="1377" spans="4:4" x14ac:dyDescent="0.25">
      <c r="D1377"/>
    </row>
    <row r="1378" spans="4:4" x14ac:dyDescent="0.25">
      <c r="D1378"/>
    </row>
    <row r="1379" spans="4:4" x14ac:dyDescent="0.25">
      <c r="D1379"/>
    </row>
    <row r="1380" spans="4:4" x14ac:dyDescent="0.25">
      <c r="D1380"/>
    </row>
    <row r="1381" spans="4:4" x14ac:dyDescent="0.25">
      <c r="D1381"/>
    </row>
    <row r="1382" spans="4:4" x14ac:dyDescent="0.25">
      <c r="D1382"/>
    </row>
    <row r="1383" spans="4:4" x14ac:dyDescent="0.25">
      <c r="D1383"/>
    </row>
    <row r="1384" spans="4:4" x14ac:dyDescent="0.25">
      <c r="D1384"/>
    </row>
    <row r="1385" spans="4:4" x14ac:dyDescent="0.25">
      <c r="D1385"/>
    </row>
    <row r="1386" spans="4:4" x14ac:dyDescent="0.25">
      <c r="D1386"/>
    </row>
    <row r="1387" spans="4:4" x14ac:dyDescent="0.25">
      <c r="D1387"/>
    </row>
    <row r="1388" spans="4:4" x14ac:dyDescent="0.25">
      <c r="D1388"/>
    </row>
    <row r="1389" spans="4:4" x14ac:dyDescent="0.25">
      <c r="D1389"/>
    </row>
    <row r="1390" spans="4:4" x14ac:dyDescent="0.25">
      <c r="D1390"/>
    </row>
    <row r="1391" spans="4:4" x14ac:dyDescent="0.25">
      <c r="D1391"/>
    </row>
    <row r="1392" spans="4:4" x14ac:dyDescent="0.25">
      <c r="D1392"/>
    </row>
    <row r="1393" spans="4:4" x14ac:dyDescent="0.25">
      <c r="D1393"/>
    </row>
    <row r="1394" spans="4:4" x14ac:dyDescent="0.25">
      <c r="D1394"/>
    </row>
    <row r="1395" spans="4:4" x14ac:dyDescent="0.25">
      <c r="D1395"/>
    </row>
    <row r="1396" spans="4:4" x14ac:dyDescent="0.25">
      <c r="D1396"/>
    </row>
    <row r="1397" spans="4:4" x14ac:dyDescent="0.25">
      <c r="D1397"/>
    </row>
    <row r="1398" spans="4:4" x14ac:dyDescent="0.25">
      <c r="D1398"/>
    </row>
    <row r="1399" spans="4:4" x14ac:dyDescent="0.25">
      <c r="D1399"/>
    </row>
    <row r="1400" spans="4:4" x14ac:dyDescent="0.25">
      <c r="D1400"/>
    </row>
    <row r="1401" spans="4:4" x14ac:dyDescent="0.25">
      <c r="D1401"/>
    </row>
    <row r="1402" spans="4:4" x14ac:dyDescent="0.25">
      <c r="D1402"/>
    </row>
    <row r="1403" spans="4:4" x14ac:dyDescent="0.25">
      <c r="D1403"/>
    </row>
    <row r="1404" spans="4:4" x14ac:dyDescent="0.25">
      <c r="D1404"/>
    </row>
    <row r="1405" spans="4:4" x14ac:dyDescent="0.25">
      <c r="D1405"/>
    </row>
    <row r="1406" spans="4:4" x14ac:dyDescent="0.25">
      <c r="D1406"/>
    </row>
    <row r="1407" spans="4:4" x14ac:dyDescent="0.25">
      <c r="D1407"/>
    </row>
    <row r="1408" spans="4:4" x14ac:dyDescent="0.25">
      <c r="D1408"/>
    </row>
    <row r="1409" spans="4:4" x14ac:dyDescent="0.25">
      <c r="D1409"/>
    </row>
    <row r="1410" spans="4:4" x14ac:dyDescent="0.25">
      <c r="D1410"/>
    </row>
    <row r="1411" spans="4:4" x14ac:dyDescent="0.25">
      <c r="D1411"/>
    </row>
    <row r="1412" spans="4:4" x14ac:dyDescent="0.25">
      <c r="D1412"/>
    </row>
    <row r="1413" spans="4:4" x14ac:dyDescent="0.25">
      <c r="D1413"/>
    </row>
    <row r="1414" spans="4:4" x14ac:dyDescent="0.25">
      <c r="D1414"/>
    </row>
    <row r="1415" spans="4:4" x14ac:dyDescent="0.25">
      <c r="D1415"/>
    </row>
    <row r="1416" spans="4:4" x14ac:dyDescent="0.25">
      <c r="D1416"/>
    </row>
    <row r="1417" spans="4:4" x14ac:dyDescent="0.25">
      <c r="D1417"/>
    </row>
    <row r="1418" spans="4:4" x14ac:dyDescent="0.25">
      <c r="D1418"/>
    </row>
    <row r="1419" spans="4:4" x14ac:dyDescent="0.25">
      <c r="D1419"/>
    </row>
    <row r="1420" spans="4:4" x14ac:dyDescent="0.25">
      <c r="D1420"/>
    </row>
    <row r="1421" spans="4:4" x14ac:dyDescent="0.25">
      <c r="D1421"/>
    </row>
    <row r="1422" spans="4:4" x14ac:dyDescent="0.25">
      <c r="D1422"/>
    </row>
    <row r="1423" spans="4:4" x14ac:dyDescent="0.25">
      <c r="D1423"/>
    </row>
    <row r="1424" spans="4:4" x14ac:dyDescent="0.25">
      <c r="D1424"/>
    </row>
    <row r="1425" spans="4:4" x14ac:dyDescent="0.25">
      <c r="D1425"/>
    </row>
    <row r="1426" spans="4:4" x14ac:dyDescent="0.25">
      <c r="D1426"/>
    </row>
    <row r="1427" spans="4:4" x14ac:dyDescent="0.25">
      <c r="D1427"/>
    </row>
    <row r="1428" spans="4:4" x14ac:dyDescent="0.25">
      <c r="D1428"/>
    </row>
    <row r="1429" spans="4:4" x14ac:dyDescent="0.25">
      <c r="D1429"/>
    </row>
    <row r="1430" spans="4:4" x14ac:dyDescent="0.25">
      <c r="D1430"/>
    </row>
    <row r="1431" spans="4:4" x14ac:dyDescent="0.25">
      <c r="D1431"/>
    </row>
    <row r="1432" spans="4:4" x14ac:dyDescent="0.25">
      <c r="D1432"/>
    </row>
    <row r="1433" spans="4:4" x14ac:dyDescent="0.25">
      <c r="D1433"/>
    </row>
    <row r="1434" spans="4:4" x14ac:dyDescent="0.25">
      <c r="D1434"/>
    </row>
    <row r="1435" spans="4:4" x14ac:dyDescent="0.25">
      <c r="D1435"/>
    </row>
    <row r="1436" spans="4:4" x14ac:dyDescent="0.25">
      <c r="D1436"/>
    </row>
    <row r="1437" spans="4:4" x14ac:dyDescent="0.25">
      <c r="D1437"/>
    </row>
    <row r="1438" spans="4:4" x14ac:dyDescent="0.25">
      <c r="D1438"/>
    </row>
    <row r="1439" spans="4:4" x14ac:dyDescent="0.25">
      <c r="D1439"/>
    </row>
    <row r="1440" spans="4:4" x14ac:dyDescent="0.25">
      <c r="D1440"/>
    </row>
    <row r="1441" spans="4:4" x14ac:dyDescent="0.25">
      <c r="D1441"/>
    </row>
    <row r="1442" spans="4:4" x14ac:dyDescent="0.25">
      <c r="D1442"/>
    </row>
    <row r="1443" spans="4:4" x14ac:dyDescent="0.25">
      <c r="D1443"/>
    </row>
    <row r="1444" spans="4:4" x14ac:dyDescent="0.25">
      <c r="D1444"/>
    </row>
    <row r="1445" spans="4:4" x14ac:dyDescent="0.25">
      <c r="D1445"/>
    </row>
    <row r="1446" spans="4:4" x14ac:dyDescent="0.25">
      <c r="D1446"/>
    </row>
    <row r="1447" spans="4:4" x14ac:dyDescent="0.25">
      <c r="D1447"/>
    </row>
    <row r="1448" spans="4:4" x14ac:dyDescent="0.25">
      <c r="D1448"/>
    </row>
    <row r="1449" spans="4:4" x14ac:dyDescent="0.25">
      <c r="D1449"/>
    </row>
    <row r="1450" spans="4:4" x14ac:dyDescent="0.25">
      <c r="D1450"/>
    </row>
    <row r="1451" spans="4:4" x14ac:dyDescent="0.25">
      <c r="D1451"/>
    </row>
    <row r="1452" spans="4:4" x14ac:dyDescent="0.25">
      <c r="D1452"/>
    </row>
    <row r="1453" spans="4:4" x14ac:dyDescent="0.25">
      <c r="D1453"/>
    </row>
    <row r="1454" spans="4:4" x14ac:dyDescent="0.25">
      <c r="D1454"/>
    </row>
    <row r="1455" spans="4:4" x14ac:dyDescent="0.25">
      <c r="D1455"/>
    </row>
    <row r="1456" spans="4:4" x14ac:dyDescent="0.25">
      <c r="D1456"/>
    </row>
    <row r="1457" spans="4:4" x14ac:dyDescent="0.25">
      <c r="D1457"/>
    </row>
    <row r="1458" spans="4:4" x14ac:dyDescent="0.25">
      <c r="D1458"/>
    </row>
    <row r="1459" spans="4:4" x14ac:dyDescent="0.25">
      <c r="D1459"/>
    </row>
    <row r="1460" spans="4:4" x14ac:dyDescent="0.25">
      <c r="D1460"/>
    </row>
    <row r="1461" spans="4:4" x14ac:dyDescent="0.25">
      <c r="D1461"/>
    </row>
    <row r="1462" spans="4:4" x14ac:dyDescent="0.25">
      <c r="D1462"/>
    </row>
    <row r="1463" spans="4:4" x14ac:dyDescent="0.25">
      <c r="D1463"/>
    </row>
    <row r="1464" spans="4:4" x14ac:dyDescent="0.25">
      <c r="D1464"/>
    </row>
    <row r="1465" spans="4:4" x14ac:dyDescent="0.25">
      <c r="D1465"/>
    </row>
    <row r="1466" spans="4:4" x14ac:dyDescent="0.25">
      <c r="D1466"/>
    </row>
    <row r="1467" spans="4:4" x14ac:dyDescent="0.25">
      <c r="D1467"/>
    </row>
    <row r="1468" spans="4:4" x14ac:dyDescent="0.25">
      <c r="D1468"/>
    </row>
    <row r="1469" spans="4:4" x14ac:dyDescent="0.25">
      <c r="D1469"/>
    </row>
    <row r="1470" spans="4:4" x14ac:dyDescent="0.25">
      <c r="D1470"/>
    </row>
    <row r="1471" spans="4:4" x14ac:dyDescent="0.25">
      <c r="D1471"/>
    </row>
    <row r="1472" spans="4:4" x14ac:dyDescent="0.25">
      <c r="D1472"/>
    </row>
    <row r="1473" spans="4:4" x14ac:dyDescent="0.25">
      <c r="D1473"/>
    </row>
    <row r="1474" spans="4:4" x14ac:dyDescent="0.25">
      <c r="D1474"/>
    </row>
    <row r="1475" spans="4:4" x14ac:dyDescent="0.25">
      <c r="D1475"/>
    </row>
    <row r="1476" spans="4:4" x14ac:dyDescent="0.25">
      <c r="D1476"/>
    </row>
    <row r="1477" spans="4:4" x14ac:dyDescent="0.25">
      <c r="D1477"/>
    </row>
    <row r="1478" spans="4:4" x14ac:dyDescent="0.25">
      <c r="D1478"/>
    </row>
    <row r="1479" spans="4:4" x14ac:dyDescent="0.25">
      <c r="D1479"/>
    </row>
    <row r="1480" spans="4:4" x14ac:dyDescent="0.25">
      <c r="D1480"/>
    </row>
    <row r="1481" spans="4:4" x14ac:dyDescent="0.25">
      <c r="D1481"/>
    </row>
    <row r="1482" spans="4:4" x14ac:dyDescent="0.25">
      <c r="D1482"/>
    </row>
    <row r="1483" spans="4:4" x14ac:dyDescent="0.25">
      <c r="D1483"/>
    </row>
    <row r="1484" spans="4:4" x14ac:dyDescent="0.25">
      <c r="D1484"/>
    </row>
    <row r="1485" spans="4:4" x14ac:dyDescent="0.25">
      <c r="D1485"/>
    </row>
    <row r="1486" spans="4:4" x14ac:dyDescent="0.25">
      <c r="D1486"/>
    </row>
    <row r="1487" spans="4:4" x14ac:dyDescent="0.25">
      <c r="D1487"/>
    </row>
    <row r="1488" spans="4:4" x14ac:dyDescent="0.25">
      <c r="D1488"/>
    </row>
    <row r="1489" spans="4:4" x14ac:dyDescent="0.25">
      <c r="D1489"/>
    </row>
    <row r="1490" spans="4:4" x14ac:dyDescent="0.25">
      <c r="D1490"/>
    </row>
    <row r="1491" spans="4:4" x14ac:dyDescent="0.25">
      <c r="D1491"/>
    </row>
    <row r="1492" spans="4:4" x14ac:dyDescent="0.25">
      <c r="D1492"/>
    </row>
    <row r="1493" spans="4:4" x14ac:dyDescent="0.25">
      <c r="D1493"/>
    </row>
    <row r="1494" spans="4:4" x14ac:dyDescent="0.25">
      <c r="D1494"/>
    </row>
    <row r="1495" spans="4:4" x14ac:dyDescent="0.25">
      <c r="D1495"/>
    </row>
    <row r="1496" spans="4:4" x14ac:dyDescent="0.25">
      <c r="D1496"/>
    </row>
    <row r="1497" spans="4:4" x14ac:dyDescent="0.25">
      <c r="D1497"/>
    </row>
    <row r="1498" spans="4:4" x14ac:dyDescent="0.25">
      <c r="D1498"/>
    </row>
    <row r="1499" spans="4:4" x14ac:dyDescent="0.25">
      <c r="D1499"/>
    </row>
    <row r="1500" spans="4:4" x14ac:dyDescent="0.25">
      <c r="D1500"/>
    </row>
    <row r="1501" spans="4:4" x14ac:dyDescent="0.25">
      <c r="D1501"/>
    </row>
    <row r="1502" spans="4:4" x14ac:dyDescent="0.25">
      <c r="D1502"/>
    </row>
    <row r="1503" spans="4:4" x14ac:dyDescent="0.25">
      <c r="D1503"/>
    </row>
    <row r="1504" spans="4:4" x14ac:dyDescent="0.25">
      <c r="D1504"/>
    </row>
    <row r="1505" spans="4:4" x14ac:dyDescent="0.25">
      <c r="D1505"/>
    </row>
    <row r="1506" spans="4:4" x14ac:dyDescent="0.25">
      <c r="D1506"/>
    </row>
    <row r="1507" spans="4:4" x14ac:dyDescent="0.25">
      <c r="D1507"/>
    </row>
    <row r="1508" spans="4:4" x14ac:dyDescent="0.25">
      <c r="D1508"/>
    </row>
    <row r="1509" spans="4:4" x14ac:dyDescent="0.25">
      <c r="D1509"/>
    </row>
    <row r="1510" spans="4:4" x14ac:dyDescent="0.25">
      <c r="D1510"/>
    </row>
    <row r="1511" spans="4:4" x14ac:dyDescent="0.25">
      <c r="D1511"/>
    </row>
    <row r="1512" spans="4:4" x14ac:dyDescent="0.25">
      <c r="D1512"/>
    </row>
    <row r="1513" spans="4:4" x14ac:dyDescent="0.25">
      <c r="D1513"/>
    </row>
    <row r="1514" spans="4:4" x14ac:dyDescent="0.25">
      <c r="D1514"/>
    </row>
    <row r="1515" spans="4:4" x14ac:dyDescent="0.25">
      <c r="D1515"/>
    </row>
    <row r="1516" spans="4:4" x14ac:dyDescent="0.25">
      <c r="D1516"/>
    </row>
    <row r="1517" spans="4:4" x14ac:dyDescent="0.25">
      <c r="D1517"/>
    </row>
    <row r="1518" spans="4:4" x14ac:dyDescent="0.25">
      <c r="D1518"/>
    </row>
    <row r="1519" spans="4:4" x14ac:dyDescent="0.25">
      <c r="D1519"/>
    </row>
    <row r="1520" spans="4:4" x14ac:dyDescent="0.25">
      <c r="D1520"/>
    </row>
    <row r="1521" spans="4:4" x14ac:dyDescent="0.25">
      <c r="D1521"/>
    </row>
    <row r="1522" spans="4:4" x14ac:dyDescent="0.25">
      <c r="D1522"/>
    </row>
    <row r="1523" spans="4:4" x14ac:dyDescent="0.25">
      <c r="D1523"/>
    </row>
    <row r="1524" spans="4:4" x14ac:dyDescent="0.25">
      <c r="D1524"/>
    </row>
    <row r="1525" spans="4:4" x14ac:dyDescent="0.25">
      <c r="D1525"/>
    </row>
    <row r="1526" spans="4:4" x14ac:dyDescent="0.25">
      <c r="D1526"/>
    </row>
    <row r="1527" spans="4:4" x14ac:dyDescent="0.25">
      <c r="D1527"/>
    </row>
    <row r="1528" spans="4:4" x14ac:dyDescent="0.25">
      <c r="D1528"/>
    </row>
    <row r="1529" spans="4:4" x14ac:dyDescent="0.25">
      <c r="D1529"/>
    </row>
    <row r="1530" spans="4:4" x14ac:dyDescent="0.25">
      <c r="D1530"/>
    </row>
    <row r="1531" spans="4:4" x14ac:dyDescent="0.25">
      <c r="D1531"/>
    </row>
    <row r="1532" spans="4:4" x14ac:dyDescent="0.25">
      <c r="D1532"/>
    </row>
    <row r="1533" spans="4:4" x14ac:dyDescent="0.25">
      <c r="D1533"/>
    </row>
    <row r="1534" spans="4:4" x14ac:dyDescent="0.25">
      <c r="D1534"/>
    </row>
    <row r="1535" spans="4:4" x14ac:dyDescent="0.25">
      <c r="D1535"/>
    </row>
    <row r="1536" spans="4:4" x14ac:dyDescent="0.25">
      <c r="D1536"/>
    </row>
    <row r="1537" spans="4:4" x14ac:dyDescent="0.25">
      <c r="D1537"/>
    </row>
    <row r="1538" spans="4:4" x14ac:dyDescent="0.25">
      <c r="D1538"/>
    </row>
    <row r="1539" spans="4:4" x14ac:dyDescent="0.25">
      <c r="D1539"/>
    </row>
    <row r="1540" spans="4:4" x14ac:dyDescent="0.25">
      <c r="D1540"/>
    </row>
    <row r="1541" spans="4:4" x14ac:dyDescent="0.25">
      <c r="D1541"/>
    </row>
    <row r="1542" spans="4:4" x14ac:dyDescent="0.25">
      <c r="D1542"/>
    </row>
    <row r="1543" spans="4:4" x14ac:dyDescent="0.25">
      <c r="D1543"/>
    </row>
    <row r="1544" spans="4:4" x14ac:dyDescent="0.25">
      <c r="D1544"/>
    </row>
    <row r="1545" spans="4:4" x14ac:dyDescent="0.25">
      <c r="D1545"/>
    </row>
    <row r="1546" spans="4:4" x14ac:dyDescent="0.25">
      <c r="D1546"/>
    </row>
    <row r="1547" spans="4:4" x14ac:dyDescent="0.25">
      <c r="D1547"/>
    </row>
    <row r="1548" spans="4:4" x14ac:dyDescent="0.25">
      <c r="D1548"/>
    </row>
    <row r="1549" spans="4:4" x14ac:dyDescent="0.25">
      <c r="D1549"/>
    </row>
    <row r="1550" spans="4:4" x14ac:dyDescent="0.25">
      <c r="D1550"/>
    </row>
    <row r="1551" spans="4:4" x14ac:dyDescent="0.25">
      <c r="D1551"/>
    </row>
    <row r="1552" spans="4:4" x14ac:dyDescent="0.25">
      <c r="D1552"/>
    </row>
    <row r="1553" spans="4:4" x14ac:dyDescent="0.25">
      <c r="D1553"/>
    </row>
    <row r="1554" spans="4:4" x14ac:dyDescent="0.25">
      <c r="D1554"/>
    </row>
    <row r="1555" spans="4:4" x14ac:dyDescent="0.25">
      <c r="D1555"/>
    </row>
    <row r="1556" spans="4:4" x14ac:dyDescent="0.25">
      <c r="D1556"/>
    </row>
    <row r="1557" spans="4:4" x14ac:dyDescent="0.25">
      <c r="D1557"/>
    </row>
    <row r="1558" spans="4:4" x14ac:dyDescent="0.25">
      <c r="D1558"/>
    </row>
    <row r="1559" spans="4:4" x14ac:dyDescent="0.25">
      <c r="D1559"/>
    </row>
    <row r="1560" spans="4:4" x14ac:dyDescent="0.25">
      <c r="D1560"/>
    </row>
    <row r="1561" spans="4:4" x14ac:dyDescent="0.25">
      <c r="D1561"/>
    </row>
    <row r="1562" spans="4:4" x14ac:dyDescent="0.25">
      <c r="D1562"/>
    </row>
    <row r="1563" spans="4:4" x14ac:dyDescent="0.25">
      <c r="D1563"/>
    </row>
    <row r="1564" spans="4:4" x14ac:dyDescent="0.25">
      <c r="D1564"/>
    </row>
    <row r="1565" spans="4:4" x14ac:dyDescent="0.25">
      <c r="D1565"/>
    </row>
    <row r="1566" spans="4:4" x14ac:dyDescent="0.25">
      <c r="D1566"/>
    </row>
    <row r="1567" spans="4:4" x14ac:dyDescent="0.25">
      <c r="D1567"/>
    </row>
    <row r="1568" spans="4:4" x14ac:dyDescent="0.25">
      <c r="D1568"/>
    </row>
    <row r="1569" spans="4:4" x14ac:dyDescent="0.25">
      <c r="D1569"/>
    </row>
    <row r="1570" spans="4:4" x14ac:dyDescent="0.25">
      <c r="D1570"/>
    </row>
    <row r="1571" spans="4:4" x14ac:dyDescent="0.25">
      <c r="D1571"/>
    </row>
    <row r="1572" spans="4:4" x14ac:dyDescent="0.25">
      <c r="D1572"/>
    </row>
    <row r="1573" spans="4:4" x14ac:dyDescent="0.25">
      <c r="D1573"/>
    </row>
    <row r="1574" spans="4:4" x14ac:dyDescent="0.25">
      <c r="D1574"/>
    </row>
    <row r="1575" spans="4:4" x14ac:dyDescent="0.25">
      <c r="D1575"/>
    </row>
    <row r="1576" spans="4:4" x14ac:dyDescent="0.25">
      <c r="D1576"/>
    </row>
    <row r="1577" spans="4:4" x14ac:dyDescent="0.25">
      <c r="D1577"/>
    </row>
    <row r="1578" spans="4:4" x14ac:dyDescent="0.25">
      <c r="D1578"/>
    </row>
    <row r="1579" spans="4:4" x14ac:dyDescent="0.25">
      <c r="D1579"/>
    </row>
    <row r="1580" spans="4:4" x14ac:dyDescent="0.25">
      <c r="D1580"/>
    </row>
    <row r="1581" spans="4:4" x14ac:dyDescent="0.25">
      <c r="D1581"/>
    </row>
    <row r="1582" spans="4:4" x14ac:dyDescent="0.25">
      <c r="D1582"/>
    </row>
    <row r="1583" spans="4:4" x14ac:dyDescent="0.25">
      <c r="D1583"/>
    </row>
    <row r="1584" spans="4:4" x14ac:dyDescent="0.25">
      <c r="D1584"/>
    </row>
    <row r="1585" spans="4:4" x14ac:dyDescent="0.25">
      <c r="D1585"/>
    </row>
    <row r="1586" spans="4:4" x14ac:dyDescent="0.25">
      <c r="D1586"/>
    </row>
    <row r="1587" spans="4:4" x14ac:dyDescent="0.25">
      <c r="D1587"/>
    </row>
    <row r="1588" spans="4:4" x14ac:dyDescent="0.25">
      <c r="D1588"/>
    </row>
    <row r="1589" spans="4:4" x14ac:dyDescent="0.25">
      <c r="D1589"/>
    </row>
    <row r="1590" spans="4:4" x14ac:dyDescent="0.25">
      <c r="D1590"/>
    </row>
    <row r="1591" spans="4:4" x14ac:dyDescent="0.25">
      <c r="D1591"/>
    </row>
    <row r="1592" spans="4:4" x14ac:dyDescent="0.25">
      <c r="D1592"/>
    </row>
    <row r="1593" spans="4:4" x14ac:dyDescent="0.25">
      <c r="D1593"/>
    </row>
    <row r="1594" spans="4:4" x14ac:dyDescent="0.25">
      <c r="D1594"/>
    </row>
    <row r="1595" spans="4:4" x14ac:dyDescent="0.25">
      <c r="D1595"/>
    </row>
    <row r="1596" spans="4:4" x14ac:dyDescent="0.25">
      <c r="D1596"/>
    </row>
    <row r="1597" spans="4:4" x14ac:dyDescent="0.25">
      <c r="D1597"/>
    </row>
    <row r="1598" spans="4:4" x14ac:dyDescent="0.25">
      <c r="D1598"/>
    </row>
    <row r="1599" spans="4:4" x14ac:dyDescent="0.25">
      <c r="D1599"/>
    </row>
    <row r="1600" spans="4:4" x14ac:dyDescent="0.25">
      <c r="D1600"/>
    </row>
    <row r="1601" spans="4:4" x14ac:dyDescent="0.25">
      <c r="D1601"/>
    </row>
    <row r="1602" spans="4:4" x14ac:dyDescent="0.25">
      <c r="D1602"/>
    </row>
    <row r="1603" spans="4:4" x14ac:dyDescent="0.25">
      <c r="D1603"/>
    </row>
    <row r="1604" spans="4:4" x14ac:dyDescent="0.25">
      <c r="D1604"/>
    </row>
    <row r="1605" spans="4:4" x14ac:dyDescent="0.25">
      <c r="D1605"/>
    </row>
    <row r="1606" spans="4:4" x14ac:dyDescent="0.25">
      <c r="D1606"/>
    </row>
    <row r="1607" spans="4:4" x14ac:dyDescent="0.25">
      <c r="D1607"/>
    </row>
    <row r="1608" spans="4:4" x14ac:dyDescent="0.25">
      <c r="D1608"/>
    </row>
    <row r="1609" spans="4:4" x14ac:dyDescent="0.25">
      <c r="D1609"/>
    </row>
    <row r="1610" spans="4:4" x14ac:dyDescent="0.25">
      <c r="D1610"/>
    </row>
    <row r="1611" spans="4:4" x14ac:dyDescent="0.25">
      <c r="D1611"/>
    </row>
    <row r="1612" spans="4:4" x14ac:dyDescent="0.25">
      <c r="D1612"/>
    </row>
    <row r="1613" spans="4:4" x14ac:dyDescent="0.25">
      <c r="D1613"/>
    </row>
    <row r="1614" spans="4:4" x14ac:dyDescent="0.25">
      <c r="D1614"/>
    </row>
    <row r="1615" spans="4:4" x14ac:dyDescent="0.25">
      <c r="D1615"/>
    </row>
    <row r="1616" spans="4:4" x14ac:dyDescent="0.25">
      <c r="D1616"/>
    </row>
    <row r="1617" spans="4:4" x14ac:dyDescent="0.25">
      <c r="D1617"/>
    </row>
    <row r="1618" spans="4:4" x14ac:dyDescent="0.25">
      <c r="D1618"/>
    </row>
    <row r="1619" spans="4:4" x14ac:dyDescent="0.25">
      <c r="D1619"/>
    </row>
    <row r="1620" spans="4:4" x14ac:dyDescent="0.25">
      <c r="D1620"/>
    </row>
    <row r="1621" spans="4:4" x14ac:dyDescent="0.25">
      <c r="D1621"/>
    </row>
    <row r="1622" spans="4:4" x14ac:dyDescent="0.25">
      <c r="D1622"/>
    </row>
    <row r="1623" spans="4:4" x14ac:dyDescent="0.25">
      <c r="D1623"/>
    </row>
    <row r="1624" spans="4:4" x14ac:dyDescent="0.25">
      <c r="D1624"/>
    </row>
    <row r="1625" spans="4:4" x14ac:dyDescent="0.25">
      <c r="D1625"/>
    </row>
    <row r="1626" spans="4:4" x14ac:dyDescent="0.25">
      <c r="D1626"/>
    </row>
    <row r="1627" spans="4:4" x14ac:dyDescent="0.25">
      <c r="D1627"/>
    </row>
    <row r="1628" spans="4:4" x14ac:dyDescent="0.25">
      <c r="D1628"/>
    </row>
    <row r="1629" spans="4:4" x14ac:dyDescent="0.25">
      <c r="D1629"/>
    </row>
    <row r="1630" spans="4:4" x14ac:dyDescent="0.25">
      <c r="D1630"/>
    </row>
    <row r="1631" spans="4:4" x14ac:dyDescent="0.25">
      <c r="D1631"/>
    </row>
    <row r="1632" spans="4:4" x14ac:dyDescent="0.25">
      <c r="D1632"/>
    </row>
    <row r="1633" spans="4:4" x14ac:dyDescent="0.25">
      <c r="D1633"/>
    </row>
    <row r="1634" spans="4:4" x14ac:dyDescent="0.25">
      <c r="D1634"/>
    </row>
    <row r="1635" spans="4:4" x14ac:dyDescent="0.25">
      <c r="D1635"/>
    </row>
    <row r="1636" spans="4:4" x14ac:dyDescent="0.25">
      <c r="D1636"/>
    </row>
    <row r="1637" spans="4:4" x14ac:dyDescent="0.25">
      <c r="D1637"/>
    </row>
    <row r="1638" spans="4:4" x14ac:dyDescent="0.25">
      <c r="D1638"/>
    </row>
    <row r="1639" spans="4:4" x14ac:dyDescent="0.25">
      <c r="D1639"/>
    </row>
    <row r="1640" spans="4:4" x14ac:dyDescent="0.25">
      <c r="D1640"/>
    </row>
    <row r="1641" spans="4:4" x14ac:dyDescent="0.25">
      <c r="D1641"/>
    </row>
    <row r="1642" spans="4:4" x14ac:dyDescent="0.25">
      <c r="D1642"/>
    </row>
    <row r="1643" spans="4:4" x14ac:dyDescent="0.25">
      <c r="D1643"/>
    </row>
    <row r="1644" spans="4:4" x14ac:dyDescent="0.25">
      <c r="D1644"/>
    </row>
    <row r="1645" spans="4:4" x14ac:dyDescent="0.25">
      <c r="D1645"/>
    </row>
    <row r="1646" spans="4:4" x14ac:dyDescent="0.25">
      <c r="D1646"/>
    </row>
    <row r="1647" spans="4:4" x14ac:dyDescent="0.25">
      <c r="D1647"/>
    </row>
    <row r="1648" spans="4:4" x14ac:dyDescent="0.25">
      <c r="D1648"/>
    </row>
    <row r="1649" spans="4:4" x14ac:dyDescent="0.25">
      <c r="D1649"/>
    </row>
    <row r="1650" spans="4:4" x14ac:dyDescent="0.25">
      <c r="D1650"/>
    </row>
    <row r="1651" spans="4:4" x14ac:dyDescent="0.25">
      <c r="D1651"/>
    </row>
    <row r="1652" spans="4:4" x14ac:dyDescent="0.25">
      <c r="D1652"/>
    </row>
    <row r="1653" spans="4:4" x14ac:dyDescent="0.25">
      <c r="D1653"/>
    </row>
    <row r="1654" spans="4:4" x14ac:dyDescent="0.25">
      <c r="D1654"/>
    </row>
    <row r="1655" spans="4:4" x14ac:dyDescent="0.25">
      <c r="D1655"/>
    </row>
    <row r="1656" spans="4:4" x14ac:dyDescent="0.25">
      <c r="D1656"/>
    </row>
    <row r="1657" spans="4:4" x14ac:dyDescent="0.25">
      <c r="D1657"/>
    </row>
    <row r="1658" spans="4:4" x14ac:dyDescent="0.25">
      <c r="D1658"/>
    </row>
    <row r="1659" spans="4:4" x14ac:dyDescent="0.25">
      <c r="D1659"/>
    </row>
    <row r="1660" spans="4:4" x14ac:dyDescent="0.25">
      <c r="D1660"/>
    </row>
    <row r="1661" spans="4:4" x14ac:dyDescent="0.25">
      <c r="D1661"/>
    </row>
    <row r="1662" spans="4:4" x14ac:dyDescent="0.25">
      <c r="D1662"/>
    </row>
    <row r="1663" spans="4:4" x14ac:dyDescent="0.25">
      <c r="D1663"/>
    </row>
    <row r="1664" spans="4:4" x14ac:dyDescent="0.25">
      <c r="D1664"/>
    </row>
    <row r="1665" spans="4:4" x14ac:dyDescent="0.25">
      <c r="D1665"/>
    </row>
    <row r="1666" spans="4:4" x14ac:dyDescent="0.25">
      <c r="D1666"/>
    </row>
    <row r="1667" spans="4:4" x14ac:dyDescent="0.25">
      <c r="D1667"/>
    </row>
    <row r="1668" spans="4:4" x14ac:dyDescent="0.25">
      <c r="D1668"/>
    </row>
    <row r="1669" spans="4:4" x14ac:dyDescent="0.25">
      <c r="D1669"/>
    </row>
    <row r="1670" spans="4:4" x14ac:dyDescent="0.25">
      <c r="D1670"/>
    </row>
    <row r="1671" spans="4:4" x14ac:dyDescent="0.25">
      <c r="D1671"/>
    </row>
    <row r="1672" spans="4:4" x14ac:dyDescent="0.25">
      <c r="D1672"/>
    </row>
    <row r="1673" spans="4:4" x14ac:dyDescent="0.25">
      <c r="D1673"/>
    </row>
    <row r="1674" spans="4:4" x14ac:dyDescent="0.25">
      <c r="D1674"/>
    </row>
    <row r="1675" spans="4:4" x14ac:dyDescent="0.25">
      <c r="D1675"/>
    </row>
    <row r="1676" spans="4:4" x14ac:dyDescent="0.25">
      <c r="D1676"/>
    </row>
    <row r="1677" spans="4:4" x14ac:dyDescent="0.25">
      <c r="D1677"/>
    </row>
    <row r="1678" spans="4:4" x14ac:dyDescent="0.25">
      <c r="D1678"/>
    </row>
    <row r="1679" spans="4:4" x14ac:dyDescent="0.25">
      <c r="D1679"/>
    </row>
    <row r="1680" spans="4:4" x14ac:dyDescent="0.25">
      <c r="D1680"/>
    </row>
    <row r="1681" spans="4:4" x14ac:dyDescent="0.25">
      <c r="D1681"/>
    </row>
    <row r="1682" spans="4:4" x14ac:dyDescent="0.25">
      <c r="D1682"/>
    </row>
    <row r="1683" spans="4:4" x14ac:dyDescent="0.25">
      <c r="D1683"/>
    </row>
    <row r="1684" spans="4:4" x14ac:dyDescent="0.25">
      <c r="D1684"/>
    </row>
    <row r="1685" spans="4:4" x14ac:dyDescent="0.25">
      <c r="D1685"/>
    </row>
    <row r="1686" spans="4:4" x14ac:dyDescent="0.25">
      <c r="D1686"/>
    </row>
    <row r="1687" spans="4:4" x14ac:dyDescent="0.25">
      <c r="D1687"/>
    </row>
    <row r="1688" spans="4:4" x14ac:dyDescent="0.25">
      <c r="D1688"/>
    </row>
    <row r="1689" spans="4:4" x14ac:dyDescent="0.25">
      <c r="D1689"/>
    </row>
    <row r="1690" spans="4:4" x14ac:dyDescent="0.25">
      <c r="D1690"/>
    </row>
    <row r="1691" spans="4:4" x14ac:dyDescent="0.25">
      <c r="D1691"/>
    </row>
    <row r="1692" spans="4:4" x14ac:dyDescent="0.25">
      <c r="D1692"/>
    </row>
    <row r="1693" spans="4:4" x14ac:dyDescent="0.25">
      <c r="D1693"/>
    </row>
    <row r="1694" spans="4:4" x14ac:dyDescent="0.25">
      <c r="D1694"/>
    </row>
    <row r="1695" spans="4:4" x14ac:dyDescent="0.25">
      <c r="D1695"/>
    </row>
    <row r="1696" spans="4:4" x14ac:dyDescent="0.25">
      <c r="D1696"/>
    </row>
    <row r="1697" spans="4:4" x14ac:dyDescent="0.25">
      <c r="D1697"/>
    </row>
    <row r="1698" spans="4:4" x14ac:dyDescent="0.25">
      <c r="D1698"/>
    </row>
    <row r="1699" spans="4:4" x14ac:dyDescent="0.25">
      <c r="D1699"/>
    </row>
    <row r="1700" spans="4:4" x14ac:dyDescent="0.25">
      <c r="D1700"/>
    </row>
    <row r="1701" spans="4:4" x14ac:dyDescent="0.25">
      <c r="D1701"/>
    </row>
    <row r="1702" spans="4:4" x14ac:dyDescent="0.25">
      <c r="D1702"/>
    </row>
    <row r="1703" spans="4:4" x14ac:dyDescent="0.25">
      <c r="D1703"/>
    </row>
    <row r="1704" spans="4:4" x14ac:dyDescent="0.25">
      <c r="D1704"/>
    </row>
    <row r="1705" spans="4:4" x14ac:dyDescent="0.25">
      <c r="D1705"/>
    </row>
    <row r="1706" spans="4:4" x14ac:dyDescent="0.25">
      <c r="D1706"/>
    </row>
    <row r="1707" spans="4:4" x14ac:dyDescent="0.25">
      <c r="D1707"/>
    </row>
    <row r="1708" spans="4:4" x14ac:dyDescent="0.25">
      <c r="D1708"/>
    </row>
    <row r="1709" spans="4:4" x14ac:dyDescent="0.25">
      <c r="D1709"/>
    </row>
    <row r="1710" spans="4:4" x14ac:dyDescent="0.25">
      <c r="D1710"/>
    </row>
    <row r="1711" spans="4:4" x14ac:dyDescent="0.25">
      <c r="D1711"/>
    </row>
    <row r="1712" spans="4:4" x14ac:dyDescent="0.25">
      <c r="D1712"/>
    </row>
    <row r="1713" spans="4:4" x14ac:dyDescent="0.25">
      <c r="D1713"/>
    </row>
    <row r="1714" spans="4:4" x14ac:dyDescent="0.25">
      <c r="D1714"/>
    </row>
    <row r="1715" spans="4:4" x14ac:dyDescent="0.25">
      <c r="D1715"/>
    </row>
    <row r="1716" spans="4:4" x14ac:dyDescent="0.25">
      <c r="D1716"/>
    </row>
    <row r="1717" spans="4:4" x14ac:dyDescent="0.25">
      <c r="D1717"/>
    </row>
    <row r="1718" spans="4:4" x14ac:dyDescent="0.25">
      <c r="D1718"/>
    </row>
    <row r="1719" spans="4:4" x14ac:dyDescent="0.25">
      <c r="D1719"/>
    </row>
    <row r="1720" spans="4:4" x14ac:dyDescent="0.25">
      <c r="D1720"/>
    </row>
    <row r="1721" spans="4:4" x14ac:dyDescent="0.25">
      <c r="D1721"/>
    </row>
    <row r="1722" spans="4:4" x14ac:dyDescent="0.25">
      <c r="D1722"/>
    </row>
    <row r="1723" spans="4:4" x14ac:dyDescent="0.25">
      <c r="D1723"/>
    </row>
    <row r="1724" spans="4:4" x14ac:dyDescent="0.25">
      <c r="D1724"/>
    </row>
    <row r="1725" spans="4:4" x14ac:dyDescent="0.25">
      <c r="D1725"/>
    </row>
    <row r="1726" spans="4:4" x14ac:dyDescent="0.25">
      <c r="D1726"/>
    </row>
    <row r="1727" spans="4:4" x14ac:dyDescent="0.25">
      <c r="D1727"/>
    </row>
    <row r="1728" spans="4:4" x14ac:dyDescent="0.25">
      <c r="D1728"/>
    </row>
    <row r="1729" spans="4:4" x14ac:dyDescent="0.25">
      <c r="D1729"/>
    </row>
    <row r="1730" spans="4:4" x14ac:dyDescent="0.25">
      <c r="D1730"/>
    </row>
    <row r="1731" spans="4:4" x14ac:dyDescent="0.25">
      <c r="D1731"/>
    </row>
    <row r="1732" spans="4:4" x14ac:dyDescent="0.25">
      <c r="D1732"/>
    </row>
    <row r="1733" spans="4:4" x14ac:dyDescent="0.25">
      <c r="D1733"/>
    </row>
    <row r="1734" spans="4:4" x14ac:dyDescent="0.25">
      <c r="D1734"/>
    </row>
    <row r="1735" spans="4:4" x14ac:dyDescent="0.25">
      <c r="D1735"/>
    </row>
    <row r="1736" spans="4:4" x14ac:dyDescent="0.25">
      <c r="D1736"/>
    </row>
    <row r="1737" spans="4:4" x14ac:dyDescent="0.25">
      <c r="D1737"/>
    </row>
    <row r="1738" spans="4:4" x14ac:dyDescent="0.25">
      <c r="D1738"/>
    </row>
    <row r="1739" spans="4:4" x14ac:dyDescent="0.25">
      <c r="D1739"/>
    </row>
    <row r="1740" spans="4:4" x14ac:dyDescent="0.25">
      <c r="D1740"/>
    </row>
    <row r="1741" spans="4:4" x14ac:dyDescent="0.25">
      <c r="D1741"/>
    </row>
    <row r="1742" spans="4:4" x14ac:dyDescent="0.25">
      <c r="D1742"/>
    </row>
    <row r="1743" spans="4:4" x14ac:dyDescent="0.25">
      <c r="D1743"/>
    </row>
    <row r="1744" spans="4:4" x14ac:dyDescent="0.25">
      <c r="D1744"/>
    </row>
    <row r="1745" spans="4:4" x14ac:dyDescent="0.25">
      <c r="D1745"/>
    </row>
    <row r="1746" spans="4:4" x14ac:dyDescent="0.25">
      <c r="D1746"/>
    </row>
    <row r="1747" spans="4:4" x14ac:dyDescent="0.25">
      <c r="D1747"/>
    </row>
    <row r="1748" spans="4:4" x14ac:dyDescent="0.25">
      <c r="D1748"/>
    </row>
    <row r="1749" spans="4:4" x14ac:dyDescent="0.25">
      <c r="D1749"/>
    </row>
    <row r="1750" spans="4:4" x14ac:dyDescent="0.25">
      <c r="D1750"/>
    </row>
    <row r="1751" spans="4:4" x14ac:dyDescent="0.25">
      <c r="D1751"/>
    </row>
    <row r="1752" spans="4:4" x14ac:dyDescent="0.25">
      <c r="D1752"/>
    </row>
    <row r="1753" spans="4:4" x14ac:dyDescent="0.25">
      <c r="D1753"/>
    </row>
    <row r="1754" spans="4:4" x14ac:dyDescent="0.25">
      <c r="D1754"/>
    </row>
    <row r="1755" spans="4:4" x14ac:dyDescent="0.25">
      <c r="D1755"/>
    </row>
    <row r="1756" spans="4:4" x14ac:dyDescent="0.25">
      <c r="D1756"/>
    </row>
    <row r="1757" spans="4:4" x14ac:dyDescent="0.25">
      <c r="D1757"/>
    </row>
    <row r="1758" spans="4:4" x14ac:dyDescent="0.25">
      <c r="D1758"/>
    </row>
    <row r="1759" spans="4:4" x14ac:dyDescent="0.25">
      <c r="D1759"/>
    </row>
    <row r="1760" spans="4:4" x14ac:dyDescent="0.25">
      <c r="D1760"/>
    </row>
    <row r="1761" spans="4:4" x14ac:dyDescent="0.25">
      <c r="D1761"/>
    </row>
    <row r="1762" spans="4:4" x14ac:dyDescent="0.25">
      <c r="D1762"/>
    </row>
    <row r="1763" spans="4:4" x14ac:dyDescent="0.25">
      <c r="D1763"/>
    </row>
    <row r="1764" spans="4:4" x14ac:dyDescent="0.25">
      <c r="D1764"/>
    </row>
    <row r="1765" spans="4:4" x14ac:dyDescent="0.25">
      <c r="D1765"/>
    </row>
    <row r="1766" spans="4:4" x14ac:dyDescent="0.25">
      <c r="D1766"/>
    </row>
    <row r="1767" spans="4:4" x14ac:dyDescent="0.25">
      <c r="D1767"/>
    </row>
    <row r="1768" spans="4:4" x14ac:dyDescent="0.25">
      <c r="D1768"/>
    </row>
    <row r="1769" spans="4:4" x14ac:dyDescent="0.25">
      <c r="D1769"/>
    </row>
    <row r="1770" spans="4:4" x14ac:dyDescent="0.25">
      <c r="D1770"/>
    </row>
    <row r="1771" spans="4:4" x14ac:dyDescent="0.25">
      <c r="D1771"/>
    </row>
    <row r="1772" spans="4:4" x14ac:dyDescent="0.25">
      <c r="D1772"/>
    </row>
    <row r="1773" spans="4:4" x14ac:dyDescent="0.25">
      <c r="D1773"/>
    </row>
    <row r="1774" spans="4:4" x14ac:dyDescent="0.25">
      <c r="D1774"/>
    </row>
    <row r="1775" spans="4:4" x14ac:dyDescent="0.25">
      <c r="D1775"/>
    </row>
    <row r="1776" spans="4:4" x14ac:dyDescent="0.25">
      <c r="D1776"/>
    </row>
    <row r="1777" spans="4:4" x14ac:dyDescent="0.25">
      <c r="D1777"/>
    </row>
    <row r="1778" spans="4:4" x14ac:dyDescent="0.25">
      <c r="D1778"/>
    </row>
    <row r="1779" spans="4:4" x14ac:dyDescent="0.25">
      <c r="D1779"/>
    </row>
    <row r="1780" spans="4:4" x14ac:dyDescent="0.25">
      <c r="D1780"/>
    </row>
    <row r="1781" spans="4:4" x14ac:dyDescent="0.25">
      <c r="D1781"/>
    </row>
    <row r="1782" spans="4:4" x14ac:dyDescent="0.25">
      <c r="D1782"/>
    </row>
    <row r="1783" spans="4:4" x14ac:dyDescent="0.25">
      <c r="D1783"/>
    </row>
    <row r="1784" spans="4:4" x14ac:dyDescent="0.25">
      <c r="D1784"/>
    </row>
    <row r="1785" spans="4:4" x14ac:dyDescent="0.25">
      <c r="D1785"/>
    </row>
    <row r="1786" spans="4:4" x14ac:dyDescent="0.25">
      <c r="D1786"/>
    </row>
    <row r="1787" spans="4:4" x14ac:dyDescent="0.25">
      <c r="D1787"/>
    </row>
    <row r="1788" spans="4:4" x14ac:dyDescent="0.25">
      <c r="D1788"/>
    </row>
    <row r="1789" spans="4:4" x14ac:dyDescent="0.25">
      <c r="D1789"/>
    </row>
    <row r="1790" spans="4:4" x14ac:dyDescent="0.25">
      <c r="D1790"/>
    </row>
    <row r="1791" spans="4:4" x14ac:dyDescent="0.25">
      <c r="D1791"/>
    </row>
    <row r="1792" spans="4:4" x14ac:dyDescent="0.25">
      <c r="D1792"/>
    </row>
    <row r="1793" spans="4:4" x14ac:dyDescent="0.25">
      <c r="D1793"/>
    </row>
    <row r="1794" spans="4:4" x14ac:dyDescent="0.25">
      <c r="D1794"/>
    </row>
    <row r="1795" spans="4:4" x14ac:dyDescent="0.25">
      <c r="D1795"/>
    </row>
    <row r="1796" spans="4:4" x14ac:dyDescent="0.25">
      <c r="D1796"/>
    </row>
    <row r="1797" spans="4:4" x14ac:dyDescent="0.25">
      <c r="D1797"/>
    </row>
    <row r="1798" spans="4:4" x14ac:dyDescent="0.25">
      <c r="D1798"/>
    </row>
    <row r="1799" spans="4:4" x14ac:dyDescent="0.25">
      <c r="D1799"/>
    </row>
    <row r="1800" spans="4:4" x14ac:dyDescent="0.25">
      <c r="D1800"/>
    </row>
    <row r="1801" spans="4:4" x14ac:dyDescent="0.25">
      <c r="D1801"/>
    </row>
    <row r="1802" spans="4:4" x14ac:dyDescent="0.25">
      <c r="D1802"/>
    </row>
    <row r="1803" spans="4:4" x14ac:dyDescent="0.25">
      <c r="D1803"/>
    </row>
    <row r="1804" spans="4:4" x14ac:dyDescent="0.25">
      <c r="D1804"/>
    </row>
    <row r="1805" spans="4:4" x14ac:dyDescent="0.25">
      <c r="D1805"/>
    </row>
    <row r="1806" spans="4:4" x14ac:dyDescent="0.25">
      <c r="D1806"/>
    </row>
    <row r="1807" spans="4:4" x14ac:dyDescent="0.25">
      <c r="D1807"/>
    </row>
    <row r="1808" spans="4:4" x14ac:dyDescent="0.25">
      <c r="D1808"/>
    </row>
    <row r="1809" spans="4:4" x14ac:dyDescent="0.25">
      <c r="D1809"/>
    </row>
    <row r="1810" spans="4:4" x14ac:dyDescent="0.25">
      <c r="D1810"/>
    </row>
    <row r="1811" spans="4:4" x14ac:dyDescent="0.25">
      <c r="D1811"/>
    </row>
    <row r="1812" spans="4:4" x14ac:dyDescent="0.25">
      <c r="D1812"/>
    </row>
    <row r="1813" spans="4:4" x14ac:dyDescent="0.25">
      <c r="D1813"/>
    </row>
    <row r="1814" spans="4:4" x14ac:dyDescent="0.25">
      <c r="D1814"/>
    </row>
    <row r="1815" spans="4:4" x14ac:dyDescent="0.25">
      <c r="D1815"/>
    </row>
    <row r="1816" spans="4:4" x14ac:dyDescent="0.25">
      <c r="D1816"/>
    </row>
    <row r="1817" spans="4:4" x14ac:dyDescent="0.25">
      <c r="D1817"/>
    </row>
    <row r="1818" spans="4:4" x14ac:dyDescent="0.25">
      <c r="D1818"/>
    </row>
    <row r="1819" spans="4:4" x14ac:dyDescent="0.25">
      <c r="D1819"/>
    </row>
    <row r="1820" spans="4:4" x14ac:dyDescent="0.25">
      <c r="D1820"/>
    </row>
    <row r="1821" spans="4:4" x14ac:dyDescent="0.25">
      <c r="D1821"/>
    </row>
    <row r="1822" spans="4:4" x14ac:dyDescent="0.25">
      <c r="D1822"/>
    </row>
    <row r="1823" spans="4:4" x14ac:dyDescent="0.25">
      <c r="D1823"/>
    </row>
    <row r="1824" spans="4:4" x14ac:dyDescent="0.25">
      <c r="D1824"/>
    </row>
    <row r="1825" spans="4:4" x14ac:dyDescent="0.25">
      <c r="D1825"/>
    </row>
    <row r="1826" spans="4:4" x14ac:dyDescent="0.25">
      <c r="D1826"/>
    </row>
    <row r="1827" spans="4:4" x14ac:dyDescent="0.25">
      <c r="D1827"/>
    </row>
    <row r="1828" spans="4:4" x14ac:dyDescent="0.25">
      <c r="D1828"/>
    </row>
    <row r="1829" spans="4:4" x14ac:dyDescent="0.25">
      <c r="D1829"/>
    </row>
    <row r="1830" spans="4:4" x14ac:dyDescent="0.25">
      <c r="D1830"/>
    </row>
    <row r="1831" spans="4:4" x14ac:dyDescent="0.25">
      <c r="D1831"/>
    </row>
    <row r="1832" spans="4:4" x14ac:dyDescent="0.25">
      <c r="D1832"/>
    </row>
    <row r="1833" spans="4:4" x14ac:dyDescent="0.25">
      <c r="D1833"/>
    </row>
    <row r="1834" spans="4:4" x14ac:dyDescent="0.25">
      <c r="D1834"/>
    </row>
    <row r="1835" spans="4:4" x14ac:dyDescent="0.25">
      <c r="D1835"/>
    </row>
    <row r="1836" spans="4:4" x14ac:dyDescent="0.25">
      <c r="D1836"/>
    </row>
    <row r="1837" spans="4:4" x14ac:dyDescent="0.25">
      <c r="D1837"/>
    </row>
    <row r="1838" spans="4:4" x14ac:dyDescent="0.25">
      <c r="D1838"/>
    </row>
    <row r="1839" spans="4:4" x14ac:dyDescent="0.25">
      <c r="D1839"/>
    </row>
    <row r="1840" spans="4:4" x14ac:dyDescent="0.25">
      <c r="D1840"/>
    </row>
    <row r="1841" spans="4:4" x14ac:dyDescent="0.25">
      <c r="D1841"/>
    </row>
    <row r="1842" spans="4:4" x14ac:dyDescent="0.25">
      <c r="D1842"/>
    </row>
    <row r="1843" spans="4:4" x14ac:dyDescent="0.25">
      <c r="D1843"/>
    </row>
    <row r="1844" spans="4:4" x14ac:dyDescent="0.25">
      <c r="D1844"/>
    </row>
    <row r="1845" spans="4:4" x14ac:dyDescent="0.25">
      <c r="D1845"/>
    </row>
    <row r="1846" spans="4:4" x14ac:dyDescent="0.25">
      <c r="D1846"/>
    </row>
    <row r="1847" spans="4:4" x14ac:dyDescent="0.25">
      <c r="D1847"/>
    </row>
    <row r="1848" spans="4:4" x14ac:dyDescent="0.25">
      <c r="D1848"/>
    </row>
    <row r="1849" spans="4:4" x14ac:dyDescent="0.25">
      <c r="D1849"/>
    </row>
    <row r="1850" spans="4:4" x14ac:dyDescent="0.25">
      <c r="D1850"/>
    </row>
    <row r="1851" spans="4:4" x14ac:dyDescent="0.25">
      <c r="D1851"/>
    </row>
    <row r="1852" spans="4:4" x14ac:dyDescent="0.25">
      <c r="D1852"/>
    </row>
    <row r="1853" spans="4:4" x14ac:dyDescent="0.25">
      <c r="D1853"/>
    </row>
    <row r="1854" spans="4:4" x14ac:dyDescent="0.25">
      <c r="D1854"/>
    </row>
    <row r="1855" spans="4:4" x14ac:dyDescent="0.25">
      <c r="D1855"/>
    </row>
    <row r="1856" spans="4:4" x14ac:dyDescent="0.25">
      <c r="D1856"/>
    </row>
    <row r="1857" spans="4:4" x14ac:dyDescent="0.25">
      <c r="D1857"/>
    </row>
    <row r="1858" spans="4:4" x14ac:dyDescent="0.25">
      <c r="D1858"/>
    </row>
    <row r="1859" spans="4:4" x14ac:dyDescent="0.25">
      <c r="D1859"/>
    </row>
    <row r="1860" spans="4:4" x14ac:dyDescent="0.25">
      <c r="D1860"/>
    </row>
    <row r="1861" spans="4:4" x14ac:dyDescent="0.25">
      <c r="D1861"/>
    </row>
    <row r="1862" spans="4:4" x14ac:dyDescent="0.25">
      <c r="D1862"/>
    </row>
    <row r="1863" spans="4:4" x14ac:dyDescent="0.25">
      <c r="D1863"/>
    </row>
    <row r="1864" spans="4:4" x14ac:dyDescent="0.25">
      <c r="D1864"/>
    </row>
    <row r="1865" spans="4:4" x14ac:dyDescent="0.25">
      <c r="D1865"/>
    </row>
    <row r="1866" spans="4:4" x14ac:dyDescent="0.25">
      <c r="D1866"/>
    </row>
    <row r="1867" spans="4:4" x14ac:dyDescent="0.25">
      <c r="D1867"/>
    </row>
    <row r="1868" spans="4:4" x14ac:dyDescent="0.25">
      <c r="D1868"/>
    </row>
    <row r="1869" spans="4:4" x14ac:dyDescent="0.25">
      <c r="D1869"/>
    </row>
    <row r="1870" spans="4:4" x14ac:dyDescent="0.25">
      <c r="D1870"/>
    </row>
    <row r="1871" spans="4:4" x14ac:dyDescent="0.25">
      <c r="D1871"/>
    </row>
    <row r="1872" spans="4:4" x14ac:dyDescent="0.25">
      <c r="D1872"/>
    </row>
    <row r="1873" spans="4:4" x14ac:dyDescent="0.25">
      <c r="D1873"/>
    </row>
    <row r="1874" spans="4:4" x14ac:dyDescent="0.25">
      <c r="D1874"/>
    </row>
    <row r="1875" spans="4:4" x14ac:dyDescent="0.25">
      <c r="D1875"/>
    </row>
    <row r="1876" spans="4:4" x14ac:dyDescent="0.25">
      <c r="D1876"/>
    </row>
    <row r="1877" spans="4:4" x14ac:dyDescent="0.25">
      <c r="D1877"/>
    </row>
    <row r="1878" spans="4:4" x14ac:dyDescent="0.25">
      <c r="D1878"/>
    </row>
    <row r="1879" spans="4:4" x14ac:dyDescent="0.25">
      <c r="D1879"/>
    </row>
    <row r="1880" spans="4:4" x14ac:dyDescent="0.25">
      <c r="D1880"/>
    </row>
    <row r="1881" spans="4:4" x14ac:dyDescent="0.25">
      <c r="D1881"/>
    </row>
    <row r="1882" spans="4:4" x14ac:dyDescent="0.25">
      <c r="D1882"/>
    </row>
    <row r="1883" spans="4:4" x14ac:dyDescent="0.25">
      <c r="D1883"/>
    </row>
    <row r="1884" spans="4:4" x14ac:dyDescent="0.25">
      <c r="D1884"/>
    </row>
    <row r="1885" spans="4:4" x14ac:dyDescent="0.25">
      <c r="D1885"/>
    </row>
    <row r="1886" spans="4:4" x14ac:dyDescent="0.25">
      <c r="D1886"/>
    </row>
    <row r="1887" spans="4:4" x14ac:dyDescent="0.25">
      <c r="D1887"/>
    </row>
    <row r="1888" spans="4:4" x14ac:dyDescent="0.25">
      <c r="D1888"/>
    </row>
    <row r="1889" spans="4:4" x14ac:dyDescent="0.25">
      <c r="D1889"/>
    </row>
    <row r="1890" spans="4:4" x14ac:dyDescent="0.25">
      <c r="D1890"/>
    </row>
    <row r="1891" spans="4:4" x14ac:dyDescent="0.25">
      <c r="D1891"/>
    </row>
    <row r="1892" spans="4:4" x14ac:dyDescent="0.25">
      <c r="D1892"/>
    </row>
    <row r="1893" spans="4:4" x14ac:dyDescent="0.25">
      <c r="D1893"/>
    </row>
    <row r="1894" spans="4:4" x14ac:dyDescent="0.25">
      <c r="D1894"/>
    </row>
    <row r="1895" spans="4:4" x14ac:dyDescent="0.25">
      <c r="D1895"/>
    </row>
    <row r="1896" spans="4:4" x14ac:dyDescent="0.25">
      <c r="D1896"/>
    </row>
    <row r="1897" spans="4:4" x14ac:dyDescent="0.25">
      <c r="D1897"/>
    </row>
    <row r="1898" spans="4:4" x14ac:dyDescent="0.25">
      <c r="D1898"/>
    </row>
    <row r="1899" spans="4:4" x14ac:dyDescent="0.25">
      <c r="D1899"/>
    </row>
    <row r="1900" spans="4:4" x14ac:dyDescent="0.25">
      <c r="D1900"/>
    </row>
    <row r="1901" spans="4:4" x14ac:dyDescent="0.25">
      <c r="D1901"/>
    </row>
    <row r="1902" spans="4:4" x14ac:dyDescent="0.25">
      <c r="D1902"/>
    </row>
    <row r="1903" spans="4:4" x14ac:dyDescent="0.25">
      <c r="D1903"/>
    </row>
    <row r="1904" spans="4:4" x14ac:dyDescent="0.25">
      <c r="D1904"/>
    </row>
    <row r="1905" spans="4:4" x14ac:dyDescent="0.25">
      <c r="D1905"/>
    </row>
    <row r="1906" spans="4:4" x14ac:dyDescent="0.25">
      <c r="D1906"/>
    </row>
    <row r="1907" spans="4:4" x14ac:dyDescent="0.25">
      <c r="D1907"/>
    </row>
    <row r="1908" spans="4:4" x14ac:dyDescent="0.25">
      <c r="D1908"/>
    </row>
    <row r="1909" spans="4:4" x14ac:dyDescent="0.25">
      <c r="D1909"/>
    </row>
    <row r="1910" spans="4:4" x14ac:dyDescent="0.25">
      <c r="D1910"/>
    </row>
    <row r="1911" spans="4:4" x14ac:dyDescent="0.25">
      <c r="D1911"/>
    </row>
    <row r="1912" spans="4:4" x14ac:dyDescent="0.25">
      <c r="D1912"/>
    </row>
    <row r="1913" spans="4:4" x14ac:dyDescent="0.25">
      <c r="D1913"/>
    </row>
    <row r="1914" spans="4:4" x14ac:dyDescent="0.25">
      <c r="D1914"/>
    </row>
    <row r="1915" spans="4:4" x14ac:dyDescent="0.25">
      <c r="D1915"/>
    </row>
    <row r="1916" spans="4:4" x14ac:dyDescent="0.25">
      <c r="D1916"/>
    </row>
    <row r="1917" spans="4:4" x14ac:dyDescent="0.25">
      <c r="D1917"/>
    </row>
    <row r="1918" spans="4:4" x14ac:dyDescent="0.25">
      <c r="D1918"/>
    </row>
    <row r="1919" spans="4:4" x14ac:dyDescent="0.25">
      <c r="D1919"/>
    </row>
    <row r="1920" spans="4:4" x14ac:dyDescent="0.25">
      <c r="D1920"/>
    </row>
    <row r="1921" spans="4:4" x14ac:dyDescent="0.25">
      <c r="D1921"/>
    </row>
    <row r="1922" spans="4:4" x14ac:dyDescent="0.25">
      <c r="D1922"/>
    </row>
    <row r="1923" spans="4:4" x14ac:dyDescent="0.25">
      <c r="D1923"/>
    </row>
    <row r="1924" spans="4:4" x14ac:dyDescent="0.25">
      <c r="D1924"/>
    </row>
    <row r="1925" spans="4:4" x14ac:dyDescent="0.25">
      <c r="D1925"/>
    </row>
    <row r="1926" spans="4:4" x14ac:dyDescent="0.25">
      <c r="D1926"/>
    </row>
    <row r="1927" spans="4:4" x14ac:dyDescent="0.25">
      <c r="D1927"/>
    </row>
    <row r="1928" spans="4:4" x14ac:dyDescent="0.25">
      <c r="D1928"/>
    </row>
    <row r="1929" spans="4:4" x14ac:dyDescent="0.25">
      <c r="D1929"/>
    </row>
    <row r="1930" spans="4:4" x14ac:dyDescent="0.25">
      <c r="D1930"/>
    </row>
    <row r="1931" spans="4:4" x14ac:dyDescent="0.25">
      <c r="D1931"/>
    </row>
    <row r="1932" spans="4:4" x14ac:dyDescent="0.25">
      <c r="D1932"/>
    </row>
    <row r="1933" spans="4:4" x14ac:dyDescent="0.25">
      <c r="D1933"/>
    </row>
    <row r="1934" spans="4:4" x14ac:dyDescent="0.25">
      <c r="D1934"/>
    </row>
    <row r="1935" spans="4:4" x14ac:dyDescent="0.25">
      <c r="D1935"/>
    </row>
    <row r="1936" spans="4:4" x14ac:dyDescent="0.25">
      <c r="D1936"/>
    </row>
    <row r="1937" spans="4:4" x14ac:dyDescent="0.25">
      <c r="D1937"/>
    </row>
    <row r="1938" spans="4:4" x14ac:dyDescent="0.25">
      <c r="D1938"/>
    </row>
    <row r="1939" spans="4:4" x14ac:dyDescent="0.25">
      <c r="D1939"/>
    </row>
    <row r="1940" spans="4:4" x14ac:dyDescent="0.25">
      <c r="D1940"/>
    </row>
    <row r="1941" spans="4:4" x14ac:dyDescent="0.25">
      <c r="D1941"/>
    </row>
    <row r="1942" spans="4:4" x14ac:dyDescent="0.25">
      <c r="D1942"/>
    </row>
    <row r="1943" spans="4:4" x14ac:dyDescent="0.25">
      <c r="D1943"/>
    </row>
    <row r="1944" spans="4:4" x14ac:dyDescent="0.25">
      <c r="D1944"/>
    </row>
    <row r="1945" spans="4:4" x14ac:dyDescent="0.25">
      <c r="D1945"/>
    </row>
    <row r="1946" spans="4:4" x14ac:dyDescent="0.25">
      <c r="D1946"/>
    </row>
    <row r="1947" spans="4:4" x14ac:dyDescent="0.25">
      <c r="D1947"/>
    </row>
    <row r="1948" spans="4:4" x14ac:dyDescent="0.25">
      <c r="D1948"/>
    </row>
    <row r="1949" spans="4:4" x14ac:dyDescent="0.25">
      <c r="D1949"/>
    </row>
    <row r="1950" spans="4:4" x14ac:dyDescent="0.25">
      <c r="D1950"/>
    </row>
    <row r="1951" spans="4:4" x14ac:dyDescent="0.25">
      <c r="D1951"/>
    </row>
    <row r="1952" spans="4:4" x14ac:dyDescent="0.25">
      <c r="D1952"/>
    </row>
    <row r="1953" spans="4:4" x14ac:dyDescent="0.25">
      <c r="D1953"/>
    </row>
    <row r="1954" spans="4:4" x14ac:dyDescent="0.25">
      <c r="D1954"/>
    </row>
    <row r="1955" spans="4:4" x14ac:dyDescent="0.25">
      <c r="D1955"/>
    </row>
    <row r="1956" spans="4:4" x14ac:dyDescent="0.25">
      <c r="D1956"/>
    </row>
    <row r="1957" spans="4:4" x14ac:dyDescent="0.25">
      <c r="D1957"/>
    </row>
    <row r="1958" spans="4:4" x14ac:dyDescent="0.25">
      <c r="D1958"/>
    </row>
    <row r="1959" spans="4:4" x14ac:dyDescent="0.25">
      <c r="D1959"/>
    </row>
    <row r="1960" spans="4:4" x14ac:dyDescent="0.25">
      <c r="D1960"/>
    </row>
    <row r="1961" spans="4:4" x14ac:dyDescent="0.25">
      <c r="D1961"/>
    </row>
    <row r="1962" spans="4:4" x14ac:dyDescent="0.25">
      <c r="D1962"/>
    </row>
    <row r="1963" spans="4:4" x14ac:dyDescent="0.25">
      <c r="D1963"/>
    </row>
    <row r="1964" spans="4:4" x14ac:dyDescent="0.25">
      <c r="D1964"/>
    </row>
    <row r="1965" spans="4:4" x14ac:dyDescent="0.25">
      <c r="D1965"/>
    </row>
    <row r="1966" spans="4:4" x14ac:dyDescent="0.25">
      <c r="D1966"/>
    </row>
    <row r="1967" spans="4:4" x14ac:dyDescent="0.25">
      <c r="D1967"/>
    </row>
    <row r="1968" spans="4:4" x14ac:dyDescent="0.25">
      <c r="D1968"/>
    </row>
    <row r="1969" spans="4:4" x14ac:dyDescent="0.25">
      <c r="D1969"/>
    </row>
    <row r="1970" spans="4:4" x14ac:dyDescent="0.25">
      <c r="D1970"/>
    </row>
    <row r="1971" spans="4:4" x14ac:dyDescent="0.25">
      <c r="D1971"/>
    </row>
    <row r="1972" spans="4:4" x14ac:dyDescent="0.25">
      <c r="D1972"/>
    </row>
    <row r="1973" spans="4:4" x14ac:dyDescent="0.25">
      <c r="D1973"/>
    </row>
    <row r="1974" spans="4:4" x14ac:dyDescent="0.25">
      <c r="D1974"/>
    </row>
    <row r="1975" spans="4:4" x14ac:dyDescent="0.25">
      <c r="D1975"/>
    </row>
    <row r="1976" spans="4:4" x14ac:dyDescent="0.25">
      <c r="D1976"/>
    </row>
    <row r="1977" spans="4:4" x14ac:dyDescent="0.25">
      <c r="D1977"/>
    </row>
    <row r="1978" spans="4:4" x14ac:dyDescent="0.25">
      <c r="D1978"/>
    </row>
    <row r="1979" spans="4:4" x14ac:dyDescent="0.25">
      <c r="D1979"/>
    </row>
    <row r="1980" spans="4:4" x14ac:dyDescent="0.25">
      <c r="D1980"/>
    </row>
    <row r="1981" spans="4:4" x14ac:dyDescent="0.25">
      <c r="D1981"/>
    </row>
    <row r="1982" spans="4:4" x14ac:dyDescent="0.25">
      <c r="D1982"/>
    </row>
    <row r="1983" spans="4:4" x14ac:dyDescent="0.25">
      <c r="D1983"/>
    </row>
    <row r="1984" spans="4:4" x14ac:dyDescent="0.25">
      <c r="D1984"/>
    </row>
    <row r="1985" spans="4:4" x14ac:dyDescent="0.25">
      <c r="D1985"/>
    </row>
    <row r="1986" spans="4:4" x14ac:dyDescent="0.25">
      <c r="D1986"/>
    </row>
    <row r="1987" spans="4:4" x14ac:dyDescent="0.25">
      <c r="D1987"/>
    </row>
    <row r="1988" spans="4:4" x14ac:dyDescent="0.25">
      <c r="D1988"/>
    </row>
    <row r="1989" spans="4:4" x14ac:dyDescent="0.25">
      <c r="D1989"/>
    </row>
    <row r="1990" spans="4:4" x14ac:dyDescent="0.25">
      <c r="D1990"/>
    </row>
    <row r="1991" spans="4:4" x14ac:dyDescent="0.25">
      <c r="D1991"/>
    </row>
    <row r="1992" spans="4:4" x14ac:dyDescent="0.25">
      <c r="D1992"/>
    </row>
    <row r="1993" spans="4:4" x14ac:dyDescent="0.25">
      <c r="D1993"/>
    </row>
    <row r="1994" spans="4:4" x14ac:dyDescent="0.25">
      <c r="D1994"/>
    </row>
    <row r="1995" spans="4:4" x14ac:dyDescent="0.25">
      <c r="D1995"/>
    </row>
    <row r="1996" spans="4:4" x14ac:dyDescent="0.25">
      <c r="D1996"/>
    </row>
    <row r="1997" spans="4:4" x14ac:dyDescent="0.25">
      <c r="D1997"/>
    </row>
    <row r="1998" spans="4:4" x14ac:dyDescent="0.25">
      <c r="D1998"/>
    </row>
    <row r="1999" spans="4:4" x14ac:dyDescent="0.25">
      <c r="D1999"/>
    </row>
    <row r="2000" spans="4:4" x14ac:dyDescent="0.25">
      <c r="D2000"/>
    </row>
    <row r="2001" spans="4:4" x14ac:dyDescent="0.25">
      <c r="D2001"/>
    </row>
    <row r="2002" spans="4:4" x14ac:dyDescent="0.25">
      <c r="D2002"/>
    </row>
    <row r="2003" spans="4:4" x14ac:dyDescent="0.25">
      <c r="D2003"/>
    </row>
    <row r="2004" spans="4:4" x14ac:dyDescent="0.25">
      <c r="D2004"/>
    </row>
    <row r="2005" spans="4:4" x14ac:dyDescent="0.25">
      <c r="D2005"/>
    </row>
    <row r="2006" spans="4:4" x14ac:dyDescent="0.25">
      <c r="D2006"/>
    </row>
    <row r="2007" spans="4:4" x14ac:dyDescent="0.25">
      <c r="D2007"/>
    </row>
    <row r="2008" spans="4:4" x14ac:dyDescent="0.25">
      <c r="D2008"/>
    </row>
    <row r="2009" spans="4:4" x14ac:dyDescent="0.25">
      <c r="D2009"/>
    </row>
    <row r="2010" spans="4:4" x14ac:dyDescent="0.25">
      <c r="D2010"/>
    </row>
    <row r="2011" spans="4:4" x14ac:dyDescent="0.25">
      <c r="D2011"/>
    </row>
    <row r="2012" spans="4:4" x14ac:dyDescent="0.25">
      <c r="D2012"/>
    </row>
    <row r="2013" spans="4:4" x14ac:dyDescent="0.25">
      <c r="D2013"/>
    </row>
    <row r="2014" spans="4:4" x14ac:dyDescent="0.25">
      <c r="D2014"/>
    </row>
    <row r="2015" spans="4:4" x14ac:dyDescent="0.25">
      <c r="D2015"/>
    </row>
    <row r="2016" spans="4:4" x14ac:dyDescent="0.25">
      <c r="D2016"/>
    </row>
    <row r="2017" spans="4:4" x14ac:dyDescent="0.25">
      <c r="D2017"/>
    </row>
    <row r="2018" spans="4:4" x14ac:dyDescent="0.25">
      <c r="D2018"/>
    </row>
    <row r="2019" spans="4:4" x14ac:dyDescent="0.25">
      <c r="D2019"/>
    </row>
    <row r="2020" spans="4:4" x14ac:dyDescent="0.25">
      <c r="D2020"/>
    </row>
    <row r="2021" spans="4:4" x14ac:dyDescent="0.25">
      <c r="D2021"/>
    </row>
    <row r="2022" spans="4:4" x14ac:dyDescent="0.25">
      <c r="D2022"/>
    </row>
    <row r="2023" spans="4:4" x14ac:dyDescent="0.25">
      <c r="D2023"/>
    </row>
    <row r="2024" spans="4:4" x14ac:dyDescent="0.25">
      <c r="D2024"/>
    </row>
    <row r="2025" spans="4:4" x14ac:dyDescent="0.25">
      <c r="D2025"/>
    </row>
    <row r="2026" spans="4:4" x14ac:dyDescent="0.25">
      <c r="D2026"/>
    </row>
    <row r="2027" spans="4:4" x14ac:dyDescent="0.25">
      <c r="D2027"/>
    </row>
    <row r="2028" spans="4:4" x14ac:dyDescent="0.25">
      <c r="D2028"/>
    </row>
    <row r="2029" spans="4:4" x14ac:dyDescent="0.25">
      <c r="D2029"/>
    </row>
    <row r="2030" spans="4:4" x14ac:dyDescent="0.25">
      <c r="D2030"/>
    </row>
    <row r="2031" spans="4:4" x14ac:dyDescent="0.25">
      <c r="D2031"/>
    </row>
    <row r="2032" spans="4:4" x14ac:dyDescent="0.25">
      <c r="D2032"/>
    </row>
    <row r="2033" spans="4:4" x14ac:dyDescent="0.25">
      <c r="D2033"/>
    </row>
    <row r="2034" spans="4:4" x14ac:dyDescent="0.25">
      <c r="D2034"/>
    </row>
    <row r="2035" spans="4:4" x14ac:dyDescent="0.25">
      <c r="D2035"/>
    </row>
    <row r="2036" spans="4:4" x14ac:dyDescent="0.25">
      <c r="D2036"/>
    </row>
    <row r="2037" spans="4:4" x14ac:dyDescent="0.25">
      <c r="D2037"/>
    </row>
    <row r="2038" spans="4:4" x14ac:dyDescent="0.25">
      <c r="D2038"/>
    </row>
    <row r="2039" spans="4:4" x14ac:dyDescent="0.25">
      <c r="D2039"/>
    </row>
    <row r="2040" spans="4:4" x14ac:dyDescent="0.25">
      <c r="D2040"/>
    </row>
    <row r="2041" spans="4:4" x14ac:dyDescent="0.25">
      <c r="D2041"/>
    </row>
    <row r="2042" spans="4:4" x14ac:dyDescent="0.25">
      <c r="D2042"/>
    </row>
    <row r="2043" spans="4:4" x14ac:dyDescent="0.25">
      <c r="D2043"/>
    </row>
    <row r="2044" spans="4:4" x14ac:dyDescent="0.25">
      <c r="D2044"/>
    </row>
    <row r="2045" spans="4:4" x14ac:dyDescent="0.25">
      <c r="D2045"/>
    </row>
    <row r="2046" spans="4:4" x14ac:dyDescent="0.25">
      <c r="D2046"/>
    </row>
    <row r="2047" spans="4:4" x14ac:dyDescent="0.25">
      <c r="D2047"/>
    </row>
    <row r="2048" spans="4:4" x14ac:dyDescent="0.25">
      <c r="D2048"/>
    </row>
    <row r="2049" spans="4:4" x14ac:dyDescent="0.25">
      <c r="D2049"/>
    </row>
    <row r="2050" spans="4:4" x14ac:dyDescent="0.25">
      <c r="D2050"/>
    </row>
    <row r="2051" spans="4:4" x14ac:dyDescent="0.25">
      <c r="D2051"/>
    </row>
    <row r="2052" spans="4:4" x14ac:dyDescent="0.25">
      <c r="D2052"/>
    </row>
    <row r="2053" spans="4:4" x14ac:dyDescent="0.25">
      <c r="D2053"/>
    </row>
    <row r="2054" spans="4:4" x14ac:dyDescent="0.25">
      <c r="D2054"/>
    </row>
    <row r="2055" spans="4:4" x14ac:dyDescent="0.25">
      <c r="D2055"/>
    </row>
    <row r="2056" spans="4:4" x14ac:dyDescent="0.25">
      <c r="D2056"/>
    </row>
    <row r="2057" spans="4:4" x14ac:dyDescent="0.25">
      <c r="D2057"/>
    </row>
    <row r="2058" spans="4:4" x14ac:dyDescent="0.25">
      <c r="D2058"/>
    </row>
    <row r="2059" spans="4:4" x14ac:dyDescent="0.25">
      <c r="D2059"/>
    </row>
    <row r="2060" spans="4:4" x14ac:dyDescent="0.25">
      <c r="D2060"/>
    </row>
    <row r="2061" spans="4:4" x14ac:dyDescent="0.25">
      <c r="D2061"/>
    </row>
    <row r="2062" spans="4:4" x14ac:dyDescent="0.25">
      <c r="D2062"/>
    </row>
    <row r="2063" spans="4:4" x14ac:dyDescent="0.25">
      <c r="D2063"/>
    </row>
    <row r="2064" spans="4:4" x14ac:dyDescent="0.25">
      <c r="D2064"/>
    </row>
    <row r="2065" spans="4:4" x14ac:dyDescent="0.25">
      <c r="D2065"/>
    </row>
    <row r="2066" spans="4:4" x14ac:dyDescent="0.25">
      <c r="D2066"/>
    </row>
    <row r="2067" spans="4:4" x14ac:dyDescent="0.25">
      <c r="D2067"/>
    </row>
    <row r="2068" spans="4:4" x14ac:dyDescent="0.25">
      <c r="D2068"/>
    </row>
    <row r="2069" spans="4:4" x14ac:dyDescent="0.25">
      <c r="D2069"/>
    </row>
    <row r="2070" spans="4:4" x14ac:dyDescent="0.25">
      <c r="D2070"/>
    </row>
    <row r="2071" spans="4:4" x14ac:dyDescent="0.25">
      <c r="D2071"/>
    </row>
    <row r="2072" spans="4:4" x14ac:dyDescent="0.25">
      <c r="D2072"/>
    </row>
    <row r="2073" spans="4:4" x14ac:dyDescent="0.25">
      <c r="D2073"/>
    </row>
    <row r="2074" spans="4:4" x14ac:dyDescent="0.25">
      <c r="D2074"/>
    </row>
    <row r="2075" spans="4:4" x14ac:dyDescent="0.25">
      <c r="D2075"/>
    </row>
    <row r="2076" spans="4:4" x14ac:dyDescent="0.25">
      <c r="D2076"/>
    </row>
    <row r="2077" spans="4:4" x14ac:dyDescent="0.25">
      <c r="D2077"/>
    </row>
    <row r="2078" spans="4:4" x14ac:dyDescent="0.25">
      <c r="D2078"/>
    </row>
    <row r="2079" spans="4:4" x14ac:dyDescent="0.25">
      <c r="D2079"/>
    </row>
    <row r="2080" spans="4:4" x14ac:dyDescent="0.25">
      <c r="D2080"/>
    </row>
    <row r="2081" spans="4:4" x14ac:dyDescent="0.25">
      <c r="D2081"/>
    </row>
    <row r="2082" spans="4:4" x14ac:dyDescent="0.25">
      <c r="D2082"/>
    </row>
    <row r="2083" spans="4:4" x14ac:dyDescent="0.25">
      <c r="D2083"/>
    </row>
    <row r="2084" spans="4:4" x14ac:dyDescent="0.25">
      <c r="D2084"/>
    </row>
    <row r="2085" spans="4:4" x14ac:dyDescent="0.25">
      <c r="D2085"/>
    </row>
    <row r="2086" spans="4:4" x14ac:dyDescent="0.25">
      <c r="D2086"/>
    </row>
    <row r="2087" spans="4:4" x14ac:dyDescent="0.25">
      <c r="D2087"/>
    </row>
    <row r="2088" spans="4:4" x14ac:dyDescent="0.25">
      <c r="D2088"/>
    </row>
    <row r="2089" spans="4:4" x14ac:dyDescent="0.25">
      <c r="D2089"/>
    </row>
    <row r="2090" spans="4:4" x14ac:dyDescent="0.25">
      <c r="D2090"/>
    </row>
    <row r="2091" spans="4:4" x14ac:dyDescent="0.25">
      <c r="D2091"/>
    </row>
    <row r="2092" spans="4:4" x14ac:dyDescent="0.25">
      <c r="D2092"/>
    </row>
    <row r="2093" spans="4:4" x14ac:dyDescent="0.25">
      <c r="D2093"/>
    </row>
    <row r="2094" spans="4:4" x14ac:dyDescent="0.25">
      <c r="D2094"/>
    </row>
    <row r="2095" spans="4:4" x14ac:dyDescent="0.25">
      <c r="D2095"/>
    </row>
    <row r="2096" spans="4:4" x14ac:dyDescent="0.25">
      <c r="D2096"/>
    </row>
    <row r="2097" spans="4:4" x14ac:dyDescent="0.25">
      <c r="D2097"/>
    </row>
    <row r="2098" spans="4:4" x14ac:dyDescent="0.25">
      <c r="D2098"/>
    </row>
    <row r="2099" spans="4:4" x14ac:dyDescent="0.25">
      <c r="D2099"/>
    </row>
    <row r="2100" spans="4:4" x14ac:dyDescent="0.25">
      <c r="D2100"/>
    </row>
    <row r="2101" spans="4:4" x14ac:dyDescent="0.25">
      <c r="D2101"/>
    </row>
    <row r="2102" spans="4:4" x14ac:dyDescent="0.25">
      <c r="D2102"/>
    </row>
    <row r="2103" spans="4:4" x14ac:dyDescent="0.25">
      <c r="D2103"/>
    </row>
    <row r="2104" spans="4:4" x14ac:dyDescent="0.25">
      <c r="D2104"/>
    </row>
    <row r="2105" spans="4:4" x14ac:dyDescent="0.25">
      <c r="D2105"/>
    </row>
    <row r="2106" spans="4:4" x14ac:dyDescent="0.25">
      <c r="D2106"/>
    </row>
    <row r="2107" spans="4:4" x14ac:dyDescent="0.25">
      <c r="D2107"/>
    </row>
    <row r="2108" spans="4:4" x14ac:dyDescent="0.25">
      <c r="D2108"/>
    </row>
    <row r="2109" spans="4:4" x14ac:dyDescent="0.25">
      <c r="D2109"/>
    </row>
    <row r="2110" spans="4:4" x14ac:dyDescent="0.25">
      <c r="D2110"/>
    </row>
    <row r="2111" spans="4:4" x14ac:dyDescent="0.25">
      <c r="D2111"/>
    </row>
    <row r="2112" spans="4:4" x14ac:dyDescent="0.25">
      <c r="D2112"/>
    </row>
    <row r="2113" spans="4:4" x14ac:dyDescent="0.25">
      <c r="D2113"/>
    </row>
    <row r="2114" spans="4:4" x14ac:dyDescent="0.25">
      <c r="D2114"/>
    </row>
    <row r="2115" spans="4:4" x14ac:dyDescent="0.25">
      <c r="D2115"/>
    </row>
    <row r="2116" spans="4:4" x14ac:dyDescent="0.25">
      <c r="D2116"/>
    </row>
    <row r="2117" spans="4:4" x14ac:dyDescent="0.25">
      <c r="D2117"/>
    </row>
    <row r="2118" spans="4:4" x14ac:dyDescent="0.25">
      <c r="D2118"/>
    </row>
    <row r="2119" spans="4:4" x14ac:dyDescent="0.25">
      <c r="D2119"/>
    </row>
    <row r="2120" spans="4:4" x14ac:dyDescent="0.25">
      <c r="D2120"/>
    </row>
    <row r="2121" spans="4:4" x14ac:dyDescent="0.25">
      <c r="D2121"/>
    </row>
    <row r="2122" spans="4:4" x14ac:dyDescent="0.25">
      <c r="D2122"/>
    </row>
    <row r="2123" spans="4:4" x14ac:dyDescent="0.25">
      <c r="D2123"/>
    </row>
    <row r="2124" spans="4:4" x14ac:dyDescent="0.25">
      <c r="D2124"/>
    </row>
    <row r="2125" spans="4:4" x14ac:dyDescent="0.25">
      <c r="D2125"/>
    </row>
    <row r="2126" spans="4:4" x14ac:dyDescent="0.25">
      <c r="D2126"/>
    </row>
    <row r="2127" spans="4:4" x14ac:dyDescent="0.25">
      <c r="D2127"/>
    </row>
    <row r="2128" spans="4:4" x14ac:dyDescent="0.25">
      <c r="D2128"/>
    </row>
    <row r="2129" spans="4:4" x14ac:dyDescent="0.25">
      <c r="D2129"/>
    </row>
    <row r="2130" spans="4:4" x14ac:dyDescent="0.25">
      <c r="D2130"/>
    </row>
    <row r="2131" spans="4:4" x14ac:dyDescent="0.25">
      <c r="D2131"/>
    </row>
    <row r="2132" spans="4:4" x14ac:dyDescent="0.25">
      <c r="D2132"/>
    </row>
    <row r="2133" spans="4:4" x14ac:dyDescent="0.25">
      <c r="D2133"/>
    </row>
    <row r="2134" spans="4:4" x14ac:dyDescent="0.25">
      <c r="D2134"/>
    </row>
    <row r="2135" spans="4:4" x14ac:dyDescent="0.25">
      <c r="D2135"/>
    </row>
    <row r="2136" spans="4:4" x14ac:dyDescent="0.25">
      <c r="D2136"/>
    </row>
    <row r="2137" spans="4:4" x14ac:dyDescent="0.25">
      <c r="D2137"/>
    </row>
    <row r="2138" spans="4:4" x14ac:dyDescent="0.25">
      <c r="D2138"/>
    </row>
    <row r="2139" spans="4:4" x14ac:dyDescent="0.25">
      <c r="D2139"/>
    </row>
    <row r="2140" spans="4:4" x14ac:dyDescent="0.25">
      <c r="D2140"/>
    </row>
    <row r="2141" spans="4:4" x14ac:dyDescent="0.25">
      <c r="D2141"/>
    </row>
    <row r="2142" spans="4:4" x14ac:dyDescent="0.25">
      <c r="D2142"/>
    </row>
    <row r="2143" spans="4:4" x14ac:dyDescent="0.25">
      <c r="D2143"/>
    </row>
    <row r="2144" spans="4:4" x14ac:dyDescent="0.25">
      <c r="D2144"/>
    </row>
    <row r="2145" spans="4:4" x14ac:dyDescent="0.25">
      <c r="D2145"/>
    </row>
    <row r="2146" spans="4:4" x14ac:dyDescent="0.25">
      <c r="D2146"/>
    </row>
    <row r="2147" spans="4:4" x14ac:dyDescent="0.25">
      <c r="D2147"/>
    </row>
    <row r="2148" spans="4:4" x14ac:dyDescent="0.25">
      <c r="D2148"/>
    </row>
    <row r="2149" spans="4:4" x14ac:dyDescent="0.25">
      <c r="D2149"/>
    </row>
    <row r="2150" spans="4:4" x14ac:dyDescent="0.25">
      <c r="D2150"/>
    </row>
    <row r="2151" spans="4:4" x14ac:dyDescent="0.25">
      <c r="D2151"/>
    </row>
    <row r="2152" spans="4:4" x14ac:dyDescent="0.25">
      <c r="D2152"/>
    </row>
    <row r="2153" spans="4:4" x14ac:dyDescent="0.25">
      <c r="D2153"/>
    </row>
    <row r="2154" spans="4:4" x14ac:dyDescent="0.25">
      <c r="D2154"/>
    </row>
    <row r="2155" spans="4:4" x14ac:dyDescent="0.25">
      <c r="D2155"/>
    </row>
    <row r="2156" spans="4:4" x14ac:dyDescent="0.25">
      <c r="D2156"/>
    </row>
    <row r="2157" spans="4:4" x14ac:dyDescent="0.25">
      <c r="D2157"/>
    </row>
    <row r="2158" spans="4:4" x14ac:dyDescent="0.25">
      <c r="D2158"/>
    </row>
    <row r="2159" spans="4:4" x14ac:dyDescent="0.25">
      <c r="D2159"/>
    </row>
    <row r="2160" spans="4:4" x14ac:dyDescent="0.25">
      <c r="D2160"/>
    </row>
    <row r="2161" spans="4:4" x14ac:dyDescent="0.25">
      <c r="D2161"/>
    </row>
    <row r="2162" spans="4:4" x14ac:dyDescent="0.25">
      <c r="D2162"/>
    </row>
    <row r="2163" spans="4:4" x14ac:dyDescent="0.25">
      <c r="D2163"/>
    </row>
    <row r="2164" spans="4:4" x14ac:dyDescent="0.25">
      <c r="D2164"/>
    </row>
    <row r="2165" spans="4:4" x14ac:dyDescent="0.25">
      <c r="D2165"/>
    </row>
    <row r="2166" spans="4:4" x14ac:dyDescent="0.25">
      <c r="D2166"/>
    </row>
    <row r="2167" spans="4:4" x14ac:dyDescent="0.25">
      <c r="D2167"/>
    </row>
    <row r="2168" spans="4:4" x14ac:dyDescent="0.25">
      <c r="D2168"/>
    </row>
    <row r="2169" spans="4:4" x14ac:dyDescent="0.25">
      <c r="D2169"/>
    </row>
    <row r="2170" spans="4:4" x14ac:dyDescent="0.25">
      <c r="D2170"/>
    </row>
    <row r="2171" spans="4:4" x14ac:dyDescent="0.25">
      <c r="D2171"/>
    </row>
    <row r="2172" spans="4:4" x14ac:dyDescent="0.25">
      <c r="D2172"/>
    </row>
    <row r="2173" spans="4:4" x14ac:dyDescent="0.25">
      <c r="D2173"/>
    </row>
    <row r="2174" spans="4:4" x14ac:dyDescent="0.25">
      <c r="D2174"/>
    </row>
    <row r="2175" spans="4:4" x14ac:dyDescent="0.25">
      <c r="D2175"/>
    </row>
    <row r="2176" spans="4:4" x14ac:dyDescent="0.25">
      <c r="D2176"/>
    </row>
    <row r="2177" spans="4:4" x14ac:dyDescent="0.25">
      <c r="D2177"/>
    </row>
    <row r="2178" spans="4:4" x14ac:dyDescent="0.25">
      <c r="D2178"/>
    </row>
    <row r="2179" spans="4:4" x14ac:dyDescent="0.25">
      <c r="D2179"/>
    </row>
    <row r="2180" spans="4:4" x14ac:dyDescent="0.25">
      <c r="D2180"/>
    </row>
    <row r="2181" spans="4:4" x14ac:dyDescent="0.25">
      <c r="D2181"/>
    </row>
    <row r="2182" spans="4:4" x14ac:dyDescent="0.25">
      <c r="D2182"/>
    </row>
    <row r="2183" spans="4:4" x14ac:dyDescent="0.25">
      <c r="D2183"/>
    </row>
    <row r="2184" spans="4:4" x14ac:dyDescent="0.25">
      <c r="D2184"/>
    </row>
    <row r="2185" spans="4:4" x14ac:dyDescent="0.25">
      <c r="D2185"/>
    </row>
    <row r="2186" spans="4:4" x14ac:dyDescent="0.25">
      <c r="D2186"/>
    </row>
    <row r="2187" spans="4:4" x14ac:dyDescent="0.25">
      <c r="D2187"/>
    </row>
    <row r="2188" spans="4:4" x14ac:dyDescent="0.25">
      <c r="D2188"/>
    </row>
    <row r="2189" spans="4:4" x14ac:dyDescent="0.25">
      <c r="D2189"/>
    </row>
    <row r="2190" spans="4:4" x14ac:dyDescent="0.25">
      <c r="D2190"/>
    </row>
    <row r="2191" spans="4:4" x14ac:dyDescent="0.25">
      <c r="D2191"/>
    </row>
    <row r="2192" spans="4:4" x14ac:dyDescent="0.25">
      <c r="D2192"/>
    </row>
    <row r="2193" spans="4:4" x14ac:dyDescent="0.25">
      <c r="D2193"/>
    </row>
    <row r="2194" spans="4:4" x14ac:dyDescent="0.25">
      <c r="D2194"/>
    </row>
    <row r="2195" spans="4:4" x14ac:dyDescent="0.25">
      <c r="D2195"/>
    </row>
    <row r="2196" spans="4:4" x14ac:dyDescent="0.25">
      <c r="D2196"/>
    </row>
    <row r="2197" spans="4:4" x14ac:dyDescent="0.25">
      <c r="D2197"/>
    </row>
    <row r="2198" spans="4:4" x14ac:dyDescent="0.25">
      <c r="D2198"/>
    </row>
    <row r="2199" spans="4:4" x14ac:dyDescent="0.25">
      <c r="D2199"/>
    </row>
    <row r="2200" spans="4:4" x14ac:dyDescent="0.25">
      <c r="D2200"/>
    </row>
    <row r="2201" spans="4:4" x14ac:dyDescent="0.25">
      <c r="D2201"/>
    </row>
    <row r="2202" spans="4:4" x14ac:dyDescent="0.25">
      <c r="D2202"/>
    </row>
    <row r="2203" spans="4:4" x14ac:dyDescent="0.25">
      <c r="D2203"/>
    </row>
    <row r="2204" spans="4:4" x14ac:dyDescent="0.25">
      <c r="D2204"/>
    </row>
    <row r="2205" spans="4:4" x14ac:dyDescent="0.25">
      <c r="D2205"/>
    </row>
    <row r="2206" spans="4:4" x14ac:dyDescent="0.25">
      <c r="D2206"/>
    </row>
    <row r="2207" spans="4:4" x14ac:dyDescent="0.25">
      <c r="D2207"/>
    </row>
    <row r="2208" spans="4:4" x14ac:dyDescent="0.25">
      <c r="D2208"/>
    </row>
    <row r="2209" spans="4:4" x14ac:dyDescent="0.25">
      <c r="D2209"/>
    </row>
    <row r="2210" spans="4:4" x14ac:dyDescent="0.25">
      <c r="D2210"/>
    </row>
    <row r="2211" spans="4:4" x14ac:dyDescent="0.25">
      <c r="D2211"/>
    </row>
    <row r="2212" spans="4:4" x14ac:dyDescent="0.25">
      <c r="D2212"/>
    </row>
    <row r="2213" spans="4:4" x14ac:dyDescent="0.25">
      <c r="D2213"/>
    </row>
    <row r="2214" spans="4:4" x14ac:dyDescent="0.25">
      <c r="D2214"/>
    </row>
    <row r="2215" spans="4:4" x14ac:dyDescent="0.25">
      <c r="D2215"/>
    </row>
    <row r="2216" spans="4:4" x14ac:dyDescent="0.25">
      <c r="D2216"/>
    </row>
    <row r="2217" spans="4:4" x14ac:dyDescent="0.25">
      <c r="D2217"/>
    </row>
    <row r="2218" spans="4:4" x14ac:dyDescent="0.25">
      <c r="D2218"/>
    </row>
    <row r="2219" spans="4:4" x14ac:dyDescent="0.25">
      <c r="D2219"/>
    </row>
    <row r="2220" spans="4:4" x14ac:dyDescent="0.25">
      <c r="D2220"/>
    </row>
    <row r="2221" spans="4:4" x14ac:dyDescent="0.25">
      <c r="D2221"/>
    </row>
    <row r="2222" spans="4:4" x14ac:dyDescent="0.25">
      <c r="D2222"/>
    </row>
    <row r="2223" spans="4:4" x14ac:dyDescent="0.25">
      <c r="D2223"/>
    </row>
    <row r="2224" spans="4:4" x14ac:dyDescent="0.25">
      <c r="D2224"/>
    </row>
    <row r="2225" spans="4:4" x14ac:dyDescent="0.25">
      <c r="D2225"/>
    </row>
    <row r="2226" spans="4:4" x14ac:dyDescent="0.25">
      <c r="D2226"/>
    </row>
    <row r="2227" spans="4:4" x14ac:dyDescent="0.25">
      <c r="D2227"/>
    </row>
    <row r="2228" spans="4:4" x14ac:dyDescent="0.25">
      <c r="D2228"/>
    </row>
    <row r="2229" spans="4:4" x14ac:dyDescent="0.25">
      <c r="D2229"/>
    </row>
    <row r="2230" spans="4:4" x14ac:dyDescent="0.25">
      <c r="D2230"/>
    </row>
    <row r="2231" spans="4:4" x14ac:dyDescent="0.25">
      <c r="D2231"/>
    </row>
    <row r="2232" spans="4:4" x14ac:dyDescent="0.25">
      <c r="D2232"/>
    </row>
    <row r="2233" spans="4:4" x14ac:dyDescent="0.25">
      <c r="D2233"/>
    </row>
    <row r="2234" spans="4:4" x14ac:dyDescent="0.25">
      <c r="D2234"/>
    </row>
    <row r="2235" spans="4:4" x14ac:dyDescent="0.25">
      <c r="D2235"/>
    </row>
    <row r="2236" spans="4:4" x14ac:dyDescent="0.25">
      <c r="D2236"/>
    </row>
    <row r="2237" spans="4:4" x14ac:dyDescent="0.25">
      <c r="D2237"/>
    </row>
    <row r="2238" spans="4:4" x14ac:dyDescent="0.25">
      <c r="D2238"/>
    </row>
    <row r="2239" spans="4:4" x14ac:dyDescent="0.25">
      <c r="D2239"/>
    </row>
    <row r="2240" spans="4:4" x14ac:dyDescent="0.25">
      <c r="D2240"/>
    </row>
    <row r="2241" spans="4:4" x14ac:dyDescent="0.25">
      <c r="D2241"/>
    </row>
    <row r="2242" spans="4:4" x14ac:dyDescent="0.25">
      <c r="D2242"/>
    </row>
    <row r="2243" spans="4:4" x14ac:dyDescent="0.25">
      <c r="D2243"/>
    </row>
    <row r="2244" spans="4:4" x14ac:dyDescent="0.25">
      <c r="D2244"/>
    </row>
    <row r="2245" spans="4:4" x14ac:dyDescent="0.25">
      <c r="D2245"/>
    </row>
    <row r="2246" spans="4:4" x14ac:dyDescent="0.25">
      <c r="D2246"/>
    </row>
    <row r="2247" spans="4:4" x14ac:dyDescent="0.25">
      <c r="D2247"/>
    </row>
    <row r="2248" spans="4:4" x14ac:dyDescent="0.25">
      <c r="D2248"/>
    </row>
    <row r="2249" spans="4:4" x14ac:dyDescent="0.25">
      <c r="D2249"/>
    </row>
    <row r="2250" spans="4:4" x14ac:dyDescent="0.25">
      <c r="D2250"/>
    </row>
    <row r="2251" spans="4:4" x14ac:dyDescent="0.25">
      <c r="D2251"/>
    </row>
    <row r="2252" spans="4:4" x14ac:dyDescent="0.25">
      <c r="D2252"/>
    </row>
    <row r="2253" spans="4:4" x14ac:dyDescent="0.25">
      <c r="D2253"/>
    </row>
    <row r="2254" spans="4:4" x14ac:dyDescent="0.25">
      <c r="D2254"/>
    </row>
    <row r="2255" spans="4:4" x14ac:dyDescent="0.25">
      <c r="D2255"/>
    </row>
    <row r="2256" spans="4:4" x14ac:dyDescent="0.25">
      <c r="D2256"/>
    </row>
    <row r="2257" spans="4:4" x14ac:dyDescent="0.25">
      <c r="D2257"/>
    </row>
    <row r="2258" spans="4:4" x14ac:dyDescent="0.25">
      <c r="D2258"/>
    </row>
    <row r="2259" spans="4:4" x14ac:dyDescent="0.25">
      <c r="D2259"/>
    </row>
    <row r="2260" spans="4:4" x14ac:dyDescent="0.25">
      <c r="D2260"/>
    </row>
    <row r="2261" spans="4:4" x14ac:dyDescent="0.25">
      <c r="D2261"/>
    </row>
    <row r="2262" spans="4:4" x14ac:dyDescent="0.25">
      <c r="D2262"/>
    </row>
    <row r="2263" spans="4:4" x14ac:dyDescent="0.25">
      <c r="D2263"/>
    </row>
    <row r="2264" spans="4:4" x14ac:dyDescent="0.25">
      <c r="D2264"/>
    </row>
    <row r="2265" spans="4:4" x14ac:dyDescent="0.25">
      <c r="D2265"/>
    </row>
    <row r="2266" spans="4:4" x14ac:dyDescent="0.25">
      <c r="D2266"/>
    </row>
    <row r="2267" spans="4:4" x14ac:dyDescent="0.25">
      <c r="D2267"/>
    </row>
    <row r="2268" spans="4:4" x14ac:dyDescent="0.25">
      <c r="D2268"/>
    </row>
    <row r="2269" spans="4:4" x14ac:dyDescent="0.25">
      <c r="D2269"/>
    </row>
    <row r="2270" spans="4:4" x14ac:dyDescent="0.25">
      <c r="D2270"/>
    </row>
    <row r="2271" spans="4:4" x14ac:dyDescent="0.25">
      <c r="D2271"/>
    </row>
    <row r="2272" spans="4:4" x14ac:dyDescent="0.25">
      <c r="D2272"/>
    </row>
    <row r="2273" spans="4:4" x14ac:dyDescent="0.25">
      <c r="D2273"/>
    </row>
    <row r="2274" spans="4:4" x14ac:dyDescent="0.25">
      <c r="D2274"/>
    </row>
    <row r="2275" spans="4:4" x14ac:dyDescent="0.25">
      <c r="D2275"/>
    </row>
    <row r="2276" spans="4:4" x14ac:dyDescent="0.25">
      <c r="D2276"/>
    </row>
    <row r="2277" spans="4:4" x14ac:dyDescent="0.25">
      <c r="D2277"/>
    </row>
    <row r="2278" spans="4:4" x14ac:dyDescent="0.25">
      <c r="D2278"/>
    </row>
    <row r="2279" spans="4:4" x14ac:dyDescent="0.25">
      <c r="D2279"/>
    </row>
    <row r="2280" spans="4:4" x14ac:dyDescent="0.25">
      <c r="D2280"/>
    </row>
    <row r="2281" spans="4:4" x14ac:dyDescent="0.25">
      <c r="D2281"/>
    </row>
    <row r="2282" spans="4:4" x14ac:dyDescent="0.25">
      <c r="D2282"/>
    </row>
    <row r="2283" spans="4:4" x14ac:dyDescent="0.25">
      <c r="D2283"/>
    </row>
    <row r="2284" spans="4:4" x14ac:dyDescent="0.25">
      <c r="D2284"/>
    </row>
    <row r="2285" spans="4:4" x14ac:dyDescent="0.25">
      <c r="D2285"/>
    </row>
    <row r="2286" spans="4:4" x14ac:dyDescent="0.25">
      <c r="D2286"/>
    </row>
    <row r="2287" spans="4:4" x14ac:dyDescent="0.25">
      <c r="D2287"/>
    </row>
    <row r="2288" spans="4:4" x14ac:dyDescent="0.25">
      <c r="D2288"/>
    </row>
    <row r="2289" spans="4:4" x14ac:dyDescent="0.25">
      <c r="D2289"/>
    </row>
    <row r="2290" spans="4:4" x14ac:dyDescent="0.25">
      <c r="D2290"/>
    </row>
    <row r="2291" spans="4:4" x14ac:dyDescent="0.25">
      <c r="D2291"/>
    </row>
    <row r="2292" spans="4:4" x14ac:dyDescent="0.25">
      <c r="D2292"/>
    </row>
    <row r="2293" spans="4:4" x14ac:dyDescent="0.25">
      <c r="D2293"/>
    </row>
    <row r="2294" spans="4:4" x14ac:dyDescent="0.25">
      <c r="D2294"/>
    </row>
    <row r="2295" spans="4:4" x14ac:dyDescent="0.25">
      <c r="D2295"/>
    </row>
    <row r="2296" spans="4:4" x14ac:dyDescent="0.25">
      <c r="D2296"/>
    </row>
    <row r="2297" spans="4:4" x14ac:dyDescent="0.25">
      <c r="D2297"/>
    </row>
    <row r="2298" spans="4:4" x14ac:dyDescent="0.25">
      <c r="D2298"/>
    </row>
    <row r="2299" spans="4:4" x14ac:dyDescent="0.25">
      <c r="D2299"/>
    </row>
    <row r="2300" spans="4:4" x14ac:dyDescent="0.25">
      <c r="D2300"/>
    </row>
    <row r="2301" spans="4:4" x14ac:dyDescent="0.25">
      <c r="D2301"/>
    </row>
    <row r="2302" spans="4:4" x14ac:dyDescent="0.25">
      <c r="D2302"/>
    </row>
    <row r="2303" spans="4:4" x14ac:dyDescent="0.25">
      <c r="D2303"/>
    </row>
    <row r="2304" spans="4:4" x14ac:dyDescent="0.25">
      <c r="D2304"/>
    </row>
    <row r="2305" spans="4:4" x14ac:dyDescent="0.25">
      <c r="D2305"/>
    </row>
    <row r="2306" spans="4:4" x14ac:dyDescent="0.25">
      <c r="D2306"/>
    </row>
    <row r="2307" spans="4:4" x14ac:dyDescent="0.25">
      <c r="D2307"/>
    </row>
    <row r="2308" spans="4:4" x14ac:dyDescent="0.25">
      <c r="D2308"/>
    </row>
    <row r="2309" spans="4:4" x14ac:dyDescent="0.25">
      <c r="D2309"/>
    </row>
    <row r="2310" spans="4:4" x14ac:dyDescent="0.25">
      <c r="D2310"/>
    </row>
    <row r="2311" spans="4:4" x14ac:dyDescent="0.25">
      <c r="D2311"/>
    </row>
    <row r="2312" spans="4:4" x14ac:dyDescent="0.25">
      <c r="D2312"/>
    </row>
    <row r="2313" spans="4:4" x14ac:dyDescent="0.25">
      <c r="D2313"/>
    </row>
    <row r="2314" spans="4:4" x14ac:dyDescent="0.25">
      <c r="D2314"/>
    </row>
    <row r="2315" spans="4:4" x14ac:dyDescent="0.25">
      <c r="D2315"/>
    </row>
    <row r="2316" spans="4:4" x14ac:dyDescent="0.25">
      <c r="D2316"/>
    </row>
    <row r="2317" spans="4:4" x14ac:dyDescent="0.25">
      <c r="D2317"/>
    </row>
    <row r="2318" spans="4:4" x14ac:dyDescent="0.25">
      <c r="D2318"/>
    </row>
    <row r="2319" spans="4:4" x14ac:dyDescent="0.25">
      <c r="D2319"/>
    </row>
    <row r="2320" spans="4:4" x14ac:dyDescent="0.25">
      <c r="D2320"/>
    </row>
    <row r="2321" spans="4:4" x14ac:dyDescent="0.25">
      <c r="D2321"/>
    </row>
    <row r="2322" spans="4:4" x14ac:dyDescent="0.25">
      <c r="D2322"/>
    </row>
    <row r="2323" spans="4:4" x14ac:dyDescent="0.25">
      <c r="D2323"/>
    </row>
    <row r="2324" spans="4:4" x14ac:dyDescent="0.25">
      <c r="D2324"/>
    </row>
    <row r="2325" spans="4:4" x14ac:dyDescent="0.25">
      <c r="D2325"/>
    </row>
    <row r="2326" spans="4:4" x14ac:dyDescent="0.25">
      <c r="D2326"/>
    </row>
    <row r="2327" spans="4:4" x14ac:dyDescent="0.25">
      <c r="D2327"/>
    </row>
    <row r="2328" spans="4:4" x14ac:dyDescent="0.25">
      <c r="D2328"/>
    </row>
    <row r="2329" spans="4:4" x14ac:dyDescent="0.25">
      <c r="D2329"/>
    </row>
    <row r="2330" spans="4:4" x14ac:dyDescent="0.25">
      <c r="D2330"/>
    </row>
    <row r="2331" spans="4:4" x14ac:dyDescent="0.25">
      <c r="D2331"/>
    </row>
    <row r="2332" spans="4:4" x14ac:dyDescent="0.25">
      <c r="D2332"/>
    </row>
    <row r="2333" spans="4:4" x14ac:dyDescent="0.25">
      <c r="D2333"/>
    </row>
    <row r="2334" spans="4:4" x14ac:dyDescent="0.25">
      <c r="D2334"/>
    </row>
    <row r="2335" spans="4:4" x14ac:dyDescent="0.25">
      <c r="D2335"/>
    </row>
    <row r="2336" spans="4:4" x14ac:dyDescent="0.25">
      <c r="D2336"/>
    </row>
    <row r="2337" spans="4:4" x14ac:dyDescent="0.25">
      <c r="D2337"/>
    </row>
    <row r="2338" spans="4:4" x14ac:dyDescent="0.25">
      <c r="D2338"/>
    </row>
    <row r="2339" spans="4:4" x14ac:dyDescent="0.25">
      <c r="D2339"/>
    </row>
    <row r="2340" spans="4:4" x14ac:dyDescent="0.25">
      <c r="D2340"/>
    </row>
    <row r="2341" spans="4:4" x14ac:dyDescent="0.25">
      <c r="D2341"/>
    </row>
    <row r="2342" spans="4:4" x14ac:dyDescent="0.25">
      <c r="D2342"/>
    </row>
    <row r="2343" spans="4:4" x14ac:dyDescent="0.25">
      <c r="D2343"/>
    </row>
    <row r="2344" spans="4:4" x14ac:dyDescent="0.25">
      <c r="D2344"/>
    </row>
    <row r="2345" spans="4:4" x14ac:dyDescent="0.25">
      <c r="D2345"/>
    </row>
    <row r="2346" spans="4:4" x14ac:dyDescent="0.25">
      <c r="D2346"/>
    </row>
    <row r="2347" spans="4:4" x14ac:dyDescent="0.25">
      <c r="D2347"/>
    </row>
    <row r="2348" spans="4:4" x14ac:dyDescent="0.25">
      <c r="D2348"/>
    </row>
    <row r="2349" spans="4:4" x14ac:dyDescent="0.25">
      <c r="D2349"/>
    </row>
    <row r="2350" spans="4:4" x14ac:dyDescent="0.25">
      <c r="D2350"/>
    </row>
    <row r="2351" spans="4:4" x14ac:dyDescent="0.25">
      <c r="D2351"/>
    </row>
    <row r="2352" spans="4:4" x14ac:dyDescent="0.25">
      <c r="D2352"/>
    </row>
    <row r="2353" spans="4:4" x14ac:dyDescent="0.25">
      <c r="D2353"/>
    </row>
    <row r="2354" spans="4:4" x14ac:dyDescent="0.25">
      <c r="D2354"/>
    </row>
    <row r="2355" spans="4:4" x14ac:dyDescent="0.25">
      <c r="D2355"/>
    </row>
    <row r="2356" spans="4:4" x14ac:dyDescent="0.25">
      <c r="D2356"/>
    </row>
    <row r="2357" spans="4:4" x14ac:dyDescent="0.25">
      <c r="D2357"/>
    </row>
    <row r="2358" spans="4:4" x14ac:dyDescent="0.25">
      <c r="D2358"/>
    </row>
    <row r="2359" spans="4:4" x14ac:dyDescent="0.25">
      <c r="D2359"/>
    </row>
    <row r="2360" spans="4:4" x14ac:dyDescent="0.25">
      <c r="D2360"/>
    </row>
    <row r="2361" spans="4:4" x14ac:dyDescent="0.25">
      <c r="D2361"/>
    </row>
    <row r="2362" spans="4:4" x14ac:dyDescent="0.25">
      <c r="D2362"/>
    </row>
    <row r="2363" spans="4:4" x14ac:dyDescent="0.25">
      <c r="D2363"/>
    </row>
    <row r="2364" spans="4:4" x14ac:dyDescent="0.25">
      <c r="D2364"/>
    </row>
    <row r="2365" spans="4:4" x14ac:dyDescent="0.25">
      <c r="D2365"/>
    </row>
    <row r="2366" spans="4:4" x14ac:dyDescent="0.25">
      <c r="D2366"/>
    </row>
    <row r="2367" spans="4:4" x14ac:dyDescent="0.25">
      <c r="D2367"/>
    </row>
    <row r="2368" spans="4:4" x14ac:dyDescent="0.25">
      <c r="D2368"/>
    </row>
    <row r="2369" spans="4:4" x14ac:dyDescent="0.25">
      <c r="D2369"/>
    </row>
    <row r="2370" spans="4:4" x14ac:dyDescent="0.25">
      <c r="D2370"/>
    </row>
    <row r="2371" spans="4:4" x14ac:dyDescent="0.25">
      <c r="D2371"/>
    </row>
    <row r="2372" spans="4:4" x14ac:dyDescent="0.25">
      <c r="D2372"/>
    </row>
    <row r="2373" spans="4:4" x14ac:dyDescent="0.25">
      <c r="D2373"/>
    </row>
    <row r="2374" spans="4:4" x14ac:dyDescent="0.25">
      <c r="D2374"/>
    </row>
    <row r="2375" spans="4:4" x14ac:dyDescent="0.25">
      <c r="D2375"/>
    </row>
    <row r="2376" spans="4:4" x14ac:dyDescent="0.25">
      <c r="D2376"/>
    </row>
    <row r="2377" spans="4:4" x14ac:dyDescent="0.25">
      <c r="D2377"/>
    </row>
    <row r="2378" spans="4:4" x14ac:dyDescent="0.25">
      <c r="D2378"/>
    </row>
    <row r="2379" spans="4:4" x14ac:dyDescent="0.25">
      <c r="D2379"/>
    </row>
    <row r="2380" spans="4:4" x14ac:dyDescent="0.25">
      <c r="D2380"/>
    </row>
    <row r="2381" spans="4:4" x14ac:dyDescent="0.25">
      <c r="D2381"/>
    </row>
    <row r="2382" spans="4:4" x14ac:dyDescent="0.25">
      <c r="D2382"/>
    </row>
    <row r="2383" spans="4:4" x14ac:dyDescent="0.25">
      <c r="D2383"/>
    </row>
    <row r="2384" spans="4:4" x14ac:dyDescent="0.25">
      <c r="D2384"/>
    </row>
    <row r="2385" spans="4:4" x14ac:dyDescent="0.25">
      <c r="D2385"/>
    </row>
    <row r="2386" spans="4:4" x14ac:dyDescent="0.25">
      <c r="D2386"/>
    </row>
    <row r="2387" spans="4:4" x14ac:dyDescent="0.25">
      <c r="D2387"/>
    </row>
    <row r="2388" spans="4:4" x14ac:dyDescent="0.25">
      <c r="D2388"/>
    </row>
    <row r="2389" spans="4:4" x14ac:dyDescent="0.25">
      <c r="D2389"/>
    </row>
    <row r="2390" spans="4:4" x14ac:dyDescent="0.25">
      <c r="D2390"/>
    </row>
    <row r="2391" spans="4:4" x14ac:dyDescent="0.25">
      <c r="D2391"/>
    </row>
    <row r="2392" spans="4:4" x14ac:dyDescent="0.25">
      <c r="D2392"/>
    </row>
    <row r="2393" spans="4:4" x14ac:dyDescent="0.25">
      <c r="D2393"/>
    </row>
    <row r="2394" spans="4:4" x14ac:dyDescent="0.25">
      <c r="D2394"/>
    </row>
    <row r="2395" spans="4:4" x14ac:dyDescent="0.25">
      <c r="D2395"/>
    </row>
    <row r="2396" spans="4:4" x14ac:dyDescent="0.25">
      <c r="D2396"/>
    </row>
    <row r="2397" spans="4:4" x14ac:dyDescent="0.25">
      <c r="D2397"/>
    </row>
    <row r="2398" spans="4:4" x14ac:dyDescent="0.25">
      <c r="D2398"/>
    </row>
    <row r="2399" spans="4:4" x14ac:dyDescent="0.25">
      <c r="D2399"/>
    </row>
    <row r="2400" spans="4:4" x14ac:dyDescent="0.25">
      <c r="D2400"/>
    </row>
    <row r="2401" spans="4:4" x14ac:dyDescent="0.25">
      <c r="D2401"/>
    </row>
    <row r="2402" spans="4:4" x14ac:dyDescent="0.25">
      <c r="D2402"/>
    </row>
    <row r="2403" spans="4:4" x14ac:dyDescent="0.25">
      <c r="D2403"/>
    </row>
    <row r="2404" spans="4:4" x14ac:dyDescent="0.25">
      <c r="D2404"/>
    </row>
    <row r="2405" spans="4:4" x14ac:dyDescent="0.25">
      <c r="D2405"/>
    </row>
    <row r="2406" spans="4:4" x14ac:dyDescent="0.25">
      <c r="D2406"/>
    </row>
    <row r="2407" spans="4:4" x14ac:dyDescent="0.25">
      <c r="D2407"/>
    </row>
    <row r="2408" spans="4:4" x14ac:dyDescent="0.25">
      <c r="D2408"/>
    </row>
    <row r="2409" spans="4:4" x14ac:dyDescent="0.25">
      <c r="D2409"/>
    </row>
    <row r="2410" spans="4:4" x14ac:dyDescent="0.25">
      <c r="D2410"/>
    </row>
    <row r="2411" spans="4:4" x14ac:dyDescent="0.25">
      <c r="D2411"/>
    </row>
    <row r="2412" spans="4:4" x14ac:dyDescent="0.25">
      <c r="D2412"/>
    </row>
    <row r="2413" spans="4:4" x14ac:dyDescent="0.25">
      <c r="D2413"/>
    </row>
    <row r="2414" spans="4:4" x14ac:dyDescent="0.25">
      <c r="D2414"/>
    </row>
    <row r="2415" spans="4:4" x14ac:dyDescent="0.25">
      <c r="D2415"/>
    </row>
    <row r="2416" spans="4:4" x14ac:dyDescent="0.25">
      <c r="D2416"/>
    </row>
    <row r="2417" spans="4:4" x14ac:dyDescent="0.25">
      <c r="D2417"/>
    </row>
    <row r="2418" spans="4:4" x14ac:dyDescent="0.25">
      <c r="D2418"/>
    </row>
    <row r="2419" spans="4:4" x14ac:dyDescent="0.25">
      <c r="D2419"/>
    </row>
    <row r="2420" spans="4:4" x14ac:dyDescent="0.25">
      <c r="D2420"/>
    </row>
    <row r="2421" spans="4:4" x14ac:dyDescent="0.25">
      <c r="D2421"/>
    </row>
    <row r="2422" spans="4:4" x14ac:dyDescent="0.25">
      <c r="D2422"/>
    </row>
    <row r="2423" spans="4:4" x14ac:dyDescent="0.25">
      <c r="D2423"/>
    </row>
    <row r="2424" spans="4:4" x14ac:dyDescent="0.25">
      <c r="D2424"/>
    </row>
    <row r="2425" spans="4:4" x14ac:dyDescent="0.25">
      <c r="D2425"/>
    </row>
    <row r="2426" spans="4:4" x14ac:dyDescent="0.25">
      <c r="D2426"/>
    </row>
    <row r="2427" spans="4:4" x14ac:dyDescent="0.25">
      <c r="D2427"/>
    </row>
    <row r="2428" spans="4:4" x14ac:dyDescent="0.25">
      <c r="D2428"/>
    </row>
    <row r="2429" spans="4:4" x14ac:dyDescent="0.25">
      <c r="D2429"/>
    </row>
    <row r="2430" spans="4:4" x14ac:dyDescent="0.25">
      <c r="D2430"/>
    </row>
    <row r="2431" spans="4:4" x14ac:dyDescent="0.25">
      <c r="D2431"/>
    </row>
    <row r="2432" spans="4:4" x14ac:dyDescent="0.25">
      <c r="D2432"/>
    </row>
    <row r="2433" spans="4:4" x14ac:dyDescent="0.25">
      <c r="D2433"/>
    </row>
    <row r="2434" spans="4:4" x14ac:dyDescent="0.25">
      <c r="D2434"/>
    </row>
    <row r="2435" spans="4:4" x14ac:dyDescent="0.25">
      <c r="D2435"/>
    </row>
    <row r="2436" spans="4:4" x14ac:dyDescent="0.25">
      <c r="D2436"/>
    </row>
    <row r="2437" spans="4:4" x14ac:dyDescent="0.25">
      <c r="D2437"/>
    </row>
    <row r="2438" spans="4:4" x14ac:dyDescent="0.25">
      <c r="D2438"/>
    </row>
    <row r="2439" spans="4:4" x14ac:dyDescent="0.25">
      <c r="D2439"/>
    </row>
    <row r="2440" spans="4:4" x14ac:dyDescent="0.25">
      <c r="D2440"/>
    </row>
    <row r="2441" spans="4:4" x14ac:dyDescent="0.25">
      <c r="D2441"/>
    </row>
    <row r="2442" spans="4:4" x14ac:dyDescent="0.25">
      <c r="D2442"/>
    </row>
    <row r="2443" spans="4:4" x14ac:dyDescent="0.25">
      <c r="D2443"/>
    </row>
    <row r="2444" spans="4:4" x14ac:dyDescent="0.25">
      <c r="D2444"/>
    </row>
    <row r="2445" spans="4:4" x14ac:dyDescent="0.25">
      <c r="D2445"/>
    </row>
    <row r="2446" spans="4:4" x14ac:dyDescent="0.25">
      <c r="D2446"/>
    </row>
    <row r="2447" spans="4:4" x14ac:dyDescent="0.25">
      <c r="D2447"/>
    </row>
    <row r="2448" spans="4:4" x14ac:dyDescent="0.25">
      <c r="D2448"/>
    </row>
    <row r="2449" spans="4:4" x14ac:dyDescent="0.25">
      <c r="D2449"/>
    </row>
    <row r="2450" spans="4:4" x14ac:dyDescent="0.25">
      <c r="D2450"/>
    </row>
    <row r="2451" spans="4:4" x14ac:dyDescent="0.25">
      <c r="D2451"/>
    </row>
    <row r="2452" spans="4:4" x14ac:dyDescent="0.25">
      <c r="D2452"/>
    </row>
    <row r="2453" spans="4:4" x14ac:dyDescent="0.25">
      <c r="D2453"/>
    </row>
    <row r="2454" spans="4:4" x14ac:dyDescent="0.25">
      <c r="D2454"/>
    </row>
    <row r="2455" spans="4:4" x14ac:dyDescent="0.25">
      <c r="D2455"/>
    </row>
    <row r="2456" spans="4:4" x14ac:dyDescent="0.25">
      <c r="D2456"/>
    </row>
    <row r="2457" spans="4:4" x14ac:dyDescent="0.25">
      <c r="D2457"/>
    </row>
    <row r="2458" spans="4:4" x14ac:dyDescent="0.25">
      <c r="D2458"/>
    </row>
    <row r="2459" spans="4:4" x14ac:dyDescent="0.25">
      <c r="D2459"/>
    </row>
    <row r="2460" spans="4:4" x14ac:dyDescent="0.25">
      <c r="D2460"/>
    </row>
    <row r="2461" spans="4:4" x14ac:dyDescent="0.25">
      <c r="D2461"/>
    </row>
    <row r="2462" spans="4:4" x14ac:dyDescent="0.25">
      <c r="D2462"/>
    </row>
    <row r="2463" spans="4:4" x14ac:dyDescent="0.25">
      <c r="D2463"/>
    </row>
    <row r="2464" spans="4:4" x14ac:dyDescent="0.25">
      <c r="D2464"/>
    </row>
    <row r="2465" spans="4:4" x14ac:dyDescent="0.25">
      <c r="D2465"/>
    </row>
    <row r="2466" spans="4:4" x14ac:dyDescent="0.25">
      <c r="D2466"/>
    </row>
    <row r="2467" spans="4:4" x14ac:dyDescent="0.25">
      <c r="D2467"/>
    </row>
    <row r="2468" spans="4:4" x14ac:dyDescent="0.25">
      <c r="D2468"/>
    </row>
    <row r="2469" spans="4:4" x14ac:dyDescent="0.25">
      <c r="D2469"/>
    </row>
    <row r="2470" spans="4:4" x14ac:dyDescent="0.25">
      <c r="D2470"/>
    </row>
    <row r="2471" spans="4:4" x14ac:dyDescent="0.25">
      <c r="D2471"/>
    </row>
    <row r="2472" spans="4:4" x14ac:dyDescent="0.25">
      <c r="D2472"/>
    </row>
    <row r="2473" spans="4:4" x14ac:dyDescent="0.25">
      <c r="D2473"/>
    </row>
    <row r="2474" spans="4:4" x14ac:dyDescent="0.25">
      <c r="D2474"/>
    </row>
    <row r="2475" spans="4:4" x14ac:dyDescent="0.25">
      <c r="D2475"/>
    </row>
    <row r="2476" spans="4:4" x14ac:dyDescent="0.25">
      <c r="D2476"/>
    </row>
    <row r="2477" spans="4:4" x14ac:dyDescent="0.25">
      <c r="D2477"/>
    </row>
    <row r="2478" spans="4:4" x14ac:dyDescent="0.25">
      <c r="D2478"/>
    </row>
    <row r="2479" spans="4:4" x14ac:dyDescent="0.25">
      <c r="D2479"/>
    </row>
    <row r="2480" spans="4:4" x14ac:dyDescent="0.25">
      <c r="D2480"/>
    </row>
    <row r="2481" spans="4:4" x14ac:dyDescent="0.25">
      <c r="D2481"/>
    </row>
    <row r="2482" spans="4:4" x14ac:dyDescent="0.25">
      <c r="D2482"/>
    </row>
    <row r="2483" spans="4:4" x14ac:dyDescent="0.25">
      <c r="D2483"/>
    </row>
    <row r="2484" spans="4:4" x14ac:dyDescent="0.25">
      <c r="D2484"/>
    </row>
    <row r="2485" spans="4:4" x14ac:dyDescent="0.25">
      <c r="D2485"/>
    </row>
    <row r="2486" spans="4:4" x14ac:dyDescent="0.25">
      <c r="D2486"/>
    </row>
    <row r="2487" spans="4:4" x14ac:dyDescent="0.25">
      <c r="D2487"/>
    </row>
    <row r="2488" spans="4:4" x14ac:dyDescent="0.25">
      <c r="D2488"/>
    </row>
    <row r="2489" spans="4:4" x14ac:dyDescent="0.25">
      <c r="D2489"/>
    </row>
    <row r="2490" spans="4:4" x14ac:dyDescent="0.25">
      <c r="D2490"/>
    </row>
    <row r="2491" spans="4:4" x14ac:dyDescent="0.25">
      <c r="D2491"/>
    </row>
    <row r="2492" spans="4:4" x14ac:dyDescent="0.25">
      <c r="D2492"/>
    </row>
    <row r="2493" spans="4:4" x14ac:dyDescent="0.25">
      <c r="D2493"/>
    </row>
    <row r="2494" spans="4:4" x14ac:dyDescent="0.25">
      <c r="D2494"/>
    </row>
    <row r="2495" spans="4:4" x14ac:dyDescent="0.25">
      <c r="D2495"/>
    </row>
    <row r="2496" spans="4:4" x14ac:dyDescent="0.25">
      <c r="D2496"/>
    </row>
    <row r="2497" spans="4:4" x14ac:dyDescent="0.25">
      <c r="D2497"/>
    </row>
    <row r="2498" spans="4:4" x14ac:dyDescent="0.25">
      <c r="D2498"/>
    </row>
    <row r="2499" spans="4:4" x14ac:dyDescent="0.25">
      <c r="D2499"/>
    </row>
    <row r="2500" spans="4:4" x14ac:dyDescent="0.25">
      <c r="D2500"/>
    </row>
    <row r="2501" spans="4:4" x14ac:dyDescent="0.25">
      <c r="D2501"/>
    </row>
    <row r="2502" spans="4:4" x14ac:dyDescent="0.25">
      <c r="D2502"/>
    </row>
    <row r="2503" spans="4:4" x14ac:dyDescent="0.25">
      <c r="D2503"/>
    </row>
    <row r="2504" spans="4:4" x14ac:dyDescent="0.25">
      <c r="D2504"/>
    </row>
    <row r="2505" spans="4:4" x14ac:dyDescent="0.25">
      <c r="D2505"/>
    </row>
    <row r="2506" spans="4:4" x14ac:dyDescent="0.25">
      <c r="D2506"/>
    </row>
    <row r="2507" spans="4:4" x14ac:dyDescent="0.25">
      <c r="D2507"/>
    </row>
    <row r="2508" spans="4:4" x14ac:dyDescent="0.25">
      <c r="D2508"/>
    </row>
    <row r="2509" spans="4:4" x14ac:dyDescent="0.25">
      <c r="D2509"/>
    </row>
    <row r="2510" spans="4:4" x14ac:dyDescent="0.25">
      <c r="D2510"/>
    </row>
    <row r="2511" spans="4:4" x14ac:dyDescent="0.25">
      <c r="D2511"/>
    </row>
    <row r="2512" spans="4:4" x14ac:dyDescent="0.25">
      <c r="D2512"/>
    </row>
    <row r="2513" spans="4:4" x14ac:dyDescent="0.25">
      <c r="D2513"/>
    </row>
    <row r="2514" spans="4:4" x14ac:dyDescent="0.25">
      <c r="D2514"/>
    </row>
    <row r="2515" spans="4:4" x14ac:dyDescent="0.25">
      <c r="D2515"/>
    </row>
    <row r="2516" spans="4:4" x14ac:dyDescent="0.25">
      <c r="D2516"/>
    </row>
    <row r="2517" spans="4:4" x14ac:dyDescent="0.25">
      <c r="D2517"/>
    </row>
    <row r="2518" spans="4:4" x14ac:dyDescent="0.25">
      <c r="D2518"/>
    </row>
    <row r="2519" spans="4:4" x14ac:dyDescent="0.25">
      <c r="D2519"/>
    </row>
    <row r="2520" spans="4:4" x14ac:dyDescent="0.25">
      <c r="D2520"/>
    </row>
    <row r="2521" spans="4:4" x14ac:dyDescent="0.25">
      <c r="D2521"/>
    </row>
    <row r="2522" spans="4:4" x14ac:dyDescent="0.25">
      <c r="D2522"/>
    </row>
    <row r="2523" spans="4:4" x14ac:dyDescent="0.25">
      <c r="D2523"/>
    </row>
    <row r="2524" spans="4:4" x14ac:dyDescent="0.25">
      <c r="D2524"/>
    </row>
    <row r="2525" spans="4:4" x14ac:dyDescent="0.25">
      <c r="D2525"/>
    </row>
    <row r="2526" spans="4:4" x14ac:dyDescent="0.25">
      <c r="D2526"/>
    </row>
    <row r="2527" spans="4:4" x14ac:dyDescent="0.25">
      <c r="D2527"/>
    </row>
    <row r="2528" spans="4:4" x14ac:dyDescent="0.25">
      <c r="D2528"/>
    </row>
    <row r="2529" spans="4:4" x14ac:dyDescent="0.25">
      <c r="D2529"/>
    </row>
    <row r="2530" spans="4:4" x14ac:dyDescent="0.25">
      <c r="D2530"/>
    </row>
    <row r="2531" spans="4:4" x14ac:dyDescent="0.25">
      <c r="D2531"/>
    </row>
    <row r="2532" spans="4:4" x14ac:dyDescent="0.25">
      <c r="D2532"/>
    </row>
    <row r="2533" spans="4:4" x14ac:dyDescent="0.25">
      <c r="D2533"/>
    </row>
    <row r="2534" spans="4:4" x14ac:dyDescent="0.25">
      <c r="D2534"/>
    </row>
    <row r="2535" spans="4:4" x14ac:dyDescent="0.25">
      <c r="D2535"/>
    </row>
    <row r="2536" spans="4:4" x14ac:dyDescent="0.25">
      <c r="D2536"/>
    </row>
    <row r="2537" spans="4:4" x14ac:dyDescent="0.25">
      <c r="D2537"/>
    </row>
    <row r="2538" spans="4:4" x14ac:dyDescent="0.25">
      <c r="D2538"/>
    </row>
    <row r="2539" spans="4:4" x14ac:dyDescent="0.25">
      <c r="D2539"/>
    </row>
    <row r="2540" spans="4:4" x14ac:dyDescent="0.25">
      <c r="D2540"/>
    </row>
    <row r="2541" spans="4:4" x14ac:dyDescent="0.25">
      <c r="D2541"/>
    </row>
    <row r="2542" spans="4:4" x14ac:dyDescent="0.25">
      <c r="D2542"/>
    </row>
    <row r="2543" spans="4:4" x14ac:dyDescent="0.25">
      <c r="D2543"/>
    </row>
    <row r="2544" spans="4:4" x14ac:dyDescent="0.25">
      <c r="D2544"/>
    </row>
    <row r="2545" spans="4:4" x14ac:dyDescent="0.25">
      <c r="D2545"/>
    </row>
    <row r="2546" spans="4:4" x14ac:dyDescent="0.25">
      <c r="D2546"/>
    </row>
    <row r="2547" spans="4:4" x14ac:dyDescent="0.25">
      <c r="D2547"/>
    </row>
    <row r="2548" spans="4:4" x14ac:dyDescent="0.25">
      <c r="D2548"/>
    </row>
    <row r="2549" spans="4:4" x14ac:dyDescent="0.25">
      <c r="D2549"/>
    </row>
    <row r="2550" spans="4:4" x14ac:dyDescent="0.25">
      <c r="D2550"/>
    </row>
    <row r="2551" spans="4:4" x14ac:dyDescent="0.25">
      <c r="D2551"/>
    </row>
    <row r="2552" spans="4:4" x14ac:dyDescent="0.25">
      <c r="D2552"/>
    </row>
    <row r="2553" spans="4:4" x14ac:dyDescent="0.25">
      <c r="D2553"/>
    </row>
    <row r="2554" spans="4:4" x14ac:dyDescent="0.25">
      <c r="D2554"/>
    </row>
    <row r="2555" spans="4:4" x14ac:dyDescent="0.25">
      <c r="D2555"/>
    </row>
    <row r="2556" spans="4:4" x14ac:dyDescent="0.25">
      <c r="D2556"/>
    </row>
    <row r="2557" spans="4:4" x14ac:dyDescent="0.25">
      <c r="D2557"/>
    </row>
    <row r="2558" spans="4:4" x14ac:dyDescent="0.25">
      <c r="D2558"/>
    </row>
    <row r="2559" spans="4:4" x14ac:dyDescent="0.25">
      <c r="D2559"/>
    </row>
    <row r="2560" spans="4:4" x14ac:dyDescent="0.25">
      <c r="D2560"/>
    </row>
    <row r="2561" spans="4:4" x14ac:dyDescent="0.25">
      <c r="D2561"/>
    </row>
    <row r="2562" spans="4:4" x14ac:dyDescent="0.25">
      <c r="D2562"/>
    </row>
    <row r="2563" spans="4:4" x14ac:dyDescent="0.25">
      <c r="D2563"/>
    </row>
    <row r="2564" spans="4:4" x14ac:dyDescent="0.25">
      <c r="D2564"/>
    </row>
    <row r="2565" spans="4:4" x14ac:dyDescent="0.25">
      <c r="D2565"/>
    </row>
    <row r="2566" spans="4:4" x14ac:dyDescent="0.25">
      <c r="D2566"/>
    </row>
    <row r="2567" spans="4:4" x14ac:dyDescent="0.25">
      <c r="D2567"/>
    </row>
    <row r="2568" spans="4:4" x14ac:dyDescent="0.25">
      <c r="D2568"/>
    </row>
    <row r="2569" spans="4:4" x14ac:dyDescent="0.25">
      <c r="D2569"/>
    </row>
    <row r="2570" spans="4:4" x14ac:dyDescent="0.25">
      <c r="D2570"/>
    </row>
    <row r="2571" spans="4:4" x14ac:dyDescent="0.25">
      <c r="D2571"/>
    </row>
    <row r="2572" spans="4:4" x14ac:dyDescent="0.25">
      <c r="D2572"/>
    </row>
    <row r="2573" spans="4:4" x14ac:dyDescent="0.25">
      <c r="D2573"/>
    </row>
    <row r="2574" spans="4:4" x14ac:dyDescent="0.25">
      <c r="D2574"/>
    </row>
    <row r="2575" spans="4:4" x14ac:dyDescent="0.25">
      <c r="D2575"/>
    </row>
    <row r="2576" spans="4:4" x14ac:dyDescent="0.25">
      <c r="D2576"/>
    </row>
    <row r="2577" spans="4:4" x14ac:dyDescent="0.25">
      <c r="D2577"/>
    </row>
    <row r="2578" spans="4:4" x14ac:dyDescent="0.25">
      <c r="D2578"/>
    </row>
    <row r="2579" spans="4:4" x14ac:dyDescent="0.25">
      <c r="D2579"/>
    </row>
    <row r="2580" spans="4:4" x14ac:dyDescent="0.25">
      <c r="D2580"/>
    </row>
    <row r="2581" spans="4:4" x14ac:dyDescent="0.25">
      <c r="D2581"/>
    </row>
    <row r="2582" spans="4:4" x14ac:dyDescent="0.25">
      <c r="D2582"/>
    </row>
    <row r="2583" spans="4:4" x14ac:dyDescent="0.25">
      <c r="D2583"/>
    </row>
    <row r="2584" spans="4:4" x14ac:dyDescent="0.25">
      <c r="D2584"/>
    </row>
    <row r="2585" spans="4:4" x14ac:dyDescent="0.25">
      <c r="D2585"/>
    </row>
    <row r="2586" spans="4:4" x14ac:dyDescent="0.25">
      <c r="D2586"/>
    </row>
    <row r="2587" spans="4:4" x14ac:dyDescent="0.25">
      <c r="D2587"/>
    </row>
    <row r="2588" spans="4:4" x14ac:dyDescent="0.25">
      <c r="D2588"/>
    </row>
    <row r="2589" spans="4:4" x14ac:dyDescent="0.25">
      <c r="D2589"/>
    </row>
    <row r="2590" spans="4:4" x14ac:dyDescent="0.25">
      <c r="D2590"/>
    </row>
    <row r="2591" spans="4:4" x14ac:dyDescent="0.25">
      <c r="D2591"/>
    </row>
    <row r="2592" spans="4:4" x14ac:dyDescent="0.25">
      <c r="D2592"/>
    </row>
    <row r="2593" spans="4:4" x14ac:dyDescent="0.25">
      <c r="D2593"/>
    </row>
    <row r="2594" spans="4:4" x14ac:dyDescent="0.25">
      <c r="D2594"/>
    </row>
    <row r="2595" spans="4:4" x14ac:dyDescent="0.25">
      <c r="D2595"/>
    </row>
    <row r="2596" spans="4:4" x14ac:dyDescent="0.25">
      <c r="D2596"/>
    </row>
    <row r="2597" spans="4:4" x14ac:dyDescent="0.25">
      <c r="D2597"/>
    </row>
    <row r="2598" spans="4:4" x14ac:dyDescent="0.25">
      <c r="D2598"/>
    </row>
    <row r="2599" spans="4:4" x14ac:dyDescent="0.25">
      <c r="D2599"/>
    </row>
    <row r="2600" spans="4:4" x14ac:dyDescent="0.25">
      <c r="D2600"/>
    </row>
    <row r="2601" spans="4:4" x14ac:dyDescent="0.25">
      <c r="D2601"/>
    </row>
    <row r="2602" spans="4:4" x14ac:dyDescent="0.25">
      <c r="D2602"/>
    </row>
    <row r="2603" spans="4:4" x14ac:dyDescent="0.25">
      <c r="D2603"/>
    </row>
    <row r="2604" spans="4:4" x14ac:dyDescent="0.25">
      <c r="D2604"/>
    </row>
    <row r="2605" spans="4:4" x14ac:dyDescent="0.25">
      <c r="D2605"/>
    </row>
    <row r="2606" spans="4:4" x14ac:dyDescent="0.25">
      <c r="D2606"/>
    </row>
    <row r="2607" spans="4:4" x14ac:dyDescent="0.25">
      <c r="D2607"/>
    </row>
    <row r="2608" spans="4:4" x14ac:dyDescent="0.25">
      <c r="D2608"/>
    </row>
    <row r="2609" spans="4:4" x14ac:dyDescent="0.25">
      <c r="D2609"/>
    </row>
    <row r="2610" spans="4:4" x14ac:dyDescent="0.25">
      <c r="D2610"/>
    </row>
    <row r="2611" spans="4:4" x14ac:dyDescent="0.25">
      <c r="D2611"/>
    </row>
    <row r="2612" spans="4:4" x14ac:dyDescent="0.25">
      <c r="D2612"/>
    </row>
    <row r="2613" spans="4:4" x14ac:dyDescent="0.25">
      <c r="D2613"/>
    </row>
    <row r="2614" spans="4:4" x14ac:dyDescent="0.25">
      <c r="D2614"/>
    </row>
    <row r="2615" spans="4:4" x14ac:dyDescent="0.25">
      <c r="D2615"/>
    </row>
    <row r="2616" spans="4:4" x14ac:dyDescent="0.25">
      <c r="D2616"/>
    </row>
    <row r="2617" spans="4:4" x14ac:dyDescent="0.25">
      <c r="D2617"/>
    </row>
    <row r="2618" spans="4:4" x14ac:dyDescent="0.25">
      <c r="D2618"/>
    </row>
    <row r="2619" spans="4:4" x14ac:dyDescent="0.25">
      <c r="D2619"/>
    </row>
    <row r="2620" spans="4:4" x14ac:dyDescent="0.25">
      <c r="D2620"/>
    </row>
    <row r="2621" spans="4:4" x14ac:dyDescent="0.25">
      <c r="D2621"/>
    </row>
    <row r="2622" spans="4:4" x14ac:dyDescent="0.25">
      <c r="D2622"/>
    </row>
    <row r="2623" spans="4:4" x14ac:dyDescent="0.25">
      <c r="D2623"/>
    </row>
    <row r="2624" spans="4:4" x14ac:dyDescent="0.25">
      <c r="D2624"/>
    </row>
    <row r="2625" spans="4:4" x14ac:dyDescent="0.25">
      <c r="D2625"/>
    </row>
    <row r="2626" spans="4:4" x14ac:dyDescent="0.25">
      <c r="D2626"/>
    </row>
    <row r="2627" spans="4:4" x14ac:dyDescent="0.25">
      <c r="D2627"/>
    </row>
    <row r="2628" spans="4:4" x14ac:dyDescent="0.25">
      <c r="D2628"/>
    </row>
    <row r="2629" spans="4:4" x14ac:dyDescent="0.25">
      <c r="D2629"/>
    </row>
    <row r="2630" spans="4:4" x14ac:dyDescent="0.25">
      <c r="D2630"/>
    </row>
    <row r="2631" spans="4:4" x14ac:dyDescent="0.25">
      <c r="D2631"/>
    </row>
    <row r="2632" spans="4:4" x14ac:dyDescent="0.25">
      <c r="D2632"/>
    </row>
    <row r="2633" spans="4:4" x14ac:dyDescent="0.25">
      <c r="D2633"/>
    </row>
    <row r="2634" spans="4:4" x14ac:dyDescent="0.25">
      <c r="D2634"/>
    </row>
    <row r="2635" spans="4:4" x14ac:dyDescent="0.25">
      <c r="D2635"/>
    </row>
    <row r="2636" spans="4:4" x14ac:dyDescent="0.25">
      <c r="D2636"/>
    </row>
    <row r="2637" spans="4:4" x14ac:dyDescent="0.25">
      <c r="D2637"/>
    </row>
    <row r="2638" spans="4:4" x14ac:dyDescent="0.25">
      <c r="D2638"/>
    </row>
    <row r="2639" spans="4:4" x14ac:dyDescent="0.25">
      <c r="D2639"/>
    </row>
    <row r="2640" spans="4:4" x14ac:dyDescent="0.25">
      <c r="D2640"/>
    </row>
    <row r="2641" spans="4:4" x14ac:dyDescent="0.25">
      <c r="D2641"/>
    </row>
    <row r="2642" spans="4:4" x14ac:dyDescent="0.25">
      <c r="D2642"/>
    </row>
    <row r="2643" spans="4:4" x14ac:dyDescent="0.25">
      <c r="D2643"/>
    </row>
    <row r="2644" spans="4:4" x14ac:dyDescent="0.25">
      <c r="D2644"/>
    </row>
    <row r="2645" spans="4:4" x14ac:dyDescent="0.25">
      <c r="D2645"/>
    </row>
    <row r="2646" spans="4:4" x14ac:dyDescent="0.25">
      <c r="D2646"/>
    </row>
    <row r="2647" spans="4:4" x14ac:dyDescent="0.25">
      <c r="D2647"/>
    </row>
    <row r="2648" spans="4:4" x14ac:dyDescent="0.25">
      <c r="D2648"/>
    </row>
    <row r="2649" spans="4:4" x14ac:dyDescent="0.25">
      <c r="D2649"/>
    </row>
    <row r="2650" spans="4:4" x14ac:dyDescent="0.25">
      <c r="D2650"/>
    </row>
    <row r="2651" spans="4:4" x14ac:dyDescent="0.25">
      <c r="D2651"/>
    </row>
    <row r="2652" spans="4:4" x14ac:dyDescent="0.25">
      <c r="D2652"/>
    </row>
    <row r="2653" spans="4:4" x14ac:dyDescent="0.25">
      <c r="D2653"/>
    </row>
    <row r="2654" spans="4:4" x14ac:dyDescent="0.25">
      <c r="D2654"/>
    </row>
    <row r="2655" spans="4:4" x14ac:dyDescent="0.25">
      <c r="D2655"/>
    </row>
    <row r="2656" spans="4:4" x14ac:dyDescent="0.25">
      <c r="D2656"/>
    </row>
    <row r="2657" spans="4:4" x14ac:dyDescent="0.25">
      <c r="D2657"/>
    </row>
    <row r="2658" spans="4:4" x14ac:dyDescent="0.25">
      <c r="D2658"/>
    </row>
    <row r="2659" spans="4:4" x14ac:dyDescent="0.25">
      <c r="D2659"/>
    </row>
    <row r="2660" spans="4:4" x14ac:dyDescent="0.25">
      <c r="D2660"/>
    </row>
    <row r="2661" spans="4:4" x14ac:dyDescent="0.25">
      <c r="D2661"/>
    </row>
    <row r="2662" spans="4:4" x14ac:dyDescent="0.25">
      <c r="D2662"/>
    </row>
    <row r="2663" spans="4:4" x14ac:dyDescent="0.25">
      <c r="D2663"/>
    </row>
    <row r="2664" spans="4:4" x14ac:dyDescent="0.25">
      <c r="D2664"/>
    </row>
    <row r="2665" spans="4:4" x14ac:dyDescent="0.25">
      <c r="D2665"/>
    </row>
    <row r="2666" spans="4:4" x14ac:dyDescent="0.25">
      <c r="D2666"/>
    </row>
    <row r="2667" spans="4:4" x14ac:dyDescent="0.25">
      <c r="D2667"/>
    </row>
    <row r="2668" spans="4:4" x14ac:dyDescent="0.25">
      <c r="D2668"/>
    </row>
    <row r="2669" spans="4:4" x14ac:dyDescent="0.25">
      <c r="D2669"/>
    </row>
    <row r="2670" spans="4:4" x14ac:dyDescent="0.25">
      <c r="D2670"/>
    </row>
    <row r="2671" spans="4:4" x14ac:dyDescent="0.25">
      <c r="D2671"/>
    </row>
    <row r="2672" spans="4:4" x14ac:dyDescent="0.25">
      <c r="D2672"/>
    </row>
    <row r="2673" spans="4:4" x14ac:dyDescent="0.25">
      <c r="D2673"/>
    </row>
    <row r="2674" spans="4:4" x14ac:dyDescent="0.25">
      <c r="D2674"/>
    </row>
    <row r="2675" spans="4:4" x14ac:dyDescent="0.25">
      <c r="D2675"/>
    </row>
    <row r="2676" spans="4:4" x14ac:dyDescent="0.25">
      <c r="D2676"/>
    </row>
    <row r="2677" spans="4:4" x14ac:dyDescent="0.25">
      <c r="D2677"/>
    </row>
    <row r="2678" spans="4:4" x14ac:dyDescent="0.25">
      <c r="D2678"/>
    </row>
    <row r="2679" spans="4:4" x14ac:dyDescent="0.25">
      <c r="D2679"/>
    </row>
    <row r="2680" spans="4:4" x14ac:dyDescent="0.25">
      <c r="D2680"/>
    </row>
    <row r="2681" spans="4:4" x14ac:dyDescent="0.25">
      <c r="D2681"/>
    </row>
    <row r="2682" spans="4:4" x14ac:dyDescent="0.25">
      <c r="D2682"/>
    </row>
    <row r="2683" spans="4:4" x14ac:dyDescent="0.25">
      <c r="D2683"/>
    </row>
    <row r="2684" spans="4:4" x14ac:dyDescent="0.25">
      <c r="D2684"/>
    </row>
    <row r="2685" spans="4:4" x14ac:dyDescent="0.25">
      <c r="D2685"/>
    </row>
    <row r="2686" spans="4:4" x14ac:dyDescent="0.25">
      <c r="D2686"/>
    </row>
    <row r="2687" spans="4:4" x14ac:dyDescent="0.25">
      <c r="D2687"/>
    </row>
    <row r="2688" spans="4:4" x14ac:dyDescent="0.25">
      <c r="D2688"/>
    </row>
    <row r="2689" spans="4:4" x14ac:dyDescent="0.25">
      <c r="D2689"/>
    </row>
    <row r="2690" spans="4:4" x14ac:dyDescent="0.25">
      <c r="D2690"/>
    </row>
    <row r="2691" spans="4:4" x14ac:dyDescent="0.25">
      <c r="D2691"/>
    </row>
    <row r="2692" spans="4:4" x14ac:dyDescent="0.25">
      <c r="D2692"/>
    </row>
    <row r="2693" spans="4:4" x14ac:dyDescent="0.25">
      <c r="D2693"/>
    </row>
    <row r="2694" spans="4:4" x14ac:dyDescent="0.25">
      <c r="D2694"/>
    </row>
    <row r="2695" spans="4:4" x14ac:dyDescent="0.25">
      <c r="D2695"/>
    </row>
    <row r="2696" spans="4:4" x14ac:dyDescent="0.25">
      <c r="D2696"/>
    </row>
    <row r="2697" spans="4:4" x14ac:dyDescent="0.25">
      <c r="D2697"/>
    </row>
    <row r="2698" spans="4:4" x14ac:dyDescent="0.25">
      <c r="D2698"/>
    </row>
    <row r="2699" spans="4:4" x14ac:dyDescent="0.25">
      <c r="D2699"/>
    </row>
    <row r="2700" spans="4:4" x14ac:dyDescent="0.25">
      <c r="D2700"/>
    </row>
    <row r="2701" spans="4:4" x14ac:dyDescent="0.25">
      <c r="D2701"/>
    </row>
    <row r="2702" spans="4:4" x14ac:dyDescent="0.25">
      <c r="D2702"/>
    </row>
    <row r="2703" spans="4:4" x14ac:dyDescent="0.25">
      <c r="D2703"/>
    </row>
    <row r="2704" spans="4:4" x14ac:dyDescent="0.25">
      <c r="D2704"/>
    </row>
    <row r="2705" spans="4:4" x14ac:dyDescent="0.25">
      <c r="D2705"/>
    </row>
    <row r="2706" spans="4:4" x14ac:dyDescent="0.25">
      <c r="D2706"/>
    </row>
    <row r="2707" spans="4:4" x14ac:dyDescent="0.25">
      <c r="D2707"/>
    </row>
    <row r="2708" spans="4:4" x14ac:dyDescent="0.25">
      <c r="D2708"/>
    </row>
    <row r="2709" spans="4:4" x14ac:dyDescent="0.25">
      <c r="D2709"/>
    </row>
    <row r="2710" spans="4:4" x14ac:dyDescent="0.25">
      <c r="D2710"/>
    </row>
    <row r="2711" spans="4:4" x14ac:dyDescent="0.25">
      <c r="D2711"/>
    </row>
    <row r="2712" spans="4:4" x14ac:dyDescent="0.25">
      <c r="D2712"/>
    </row>
    <row r="2713" spans="4:4" x14ac:dyDescent="0.25">
      <c r="D2713"/>
    </row>
    <row r="2714" spans="4:4" x14ac:dyDescent="0.25">
      <c r="D2714"/>
    </row>
    <row r="2715" spans="4:4" x14ac:dyDescent="0.25">
      <c r="D2715"/>
    </row>
    <row r="2716" spans="4:4" x14ac:dyDescent="0.25">
      <c r="D2716"/>
    </row>
    <row r="2717" spans="4:4" x14ac:dyDescent="0.25">
      <c r="D2717"/>
    </row>
    <row r="2718" spans="4:4" x14ac:dyDescent="0.25">
      <c r="D2718"/>
    </row>
    <row r="2719" spans="4:4" x14ac:dyDescent="0.25">
      <c r="D2719"/>
    </row>
    <row r="2720" spans="4:4" x14ac:dyDescent="0.25">
      <c r="D2720"/>
    </row>
    <row r="2721" spans="4:4" x14ac:dyDescent="0.25">
      <c r="D2721"/>
    </row>
    <row r="2722" spans="4:4" x14ac:dyDescent="0.25">
      <c r="D2722"/>
    </row>
    <row r="2723" spans="4:4" x14ac:dyDescent="0.25">
      <c r="D2723"/>
    </row>
    <row r="2724" spans="4:4" x14ac:dyDescent="0.25">
      <c r="D2724"/>
    </row>
    <row r="2725" spans="4:4" x14ac:dyDescent="0.25">
      <c r="D2725"/>
    </row>
    <row r="2726" spans="4:4" x14ac:dyDescent="0.25">
      <c r="D2726"/>
    </row>
    <row r="2727" spans="4:4" x14ac:dyDescent="0.25">
      <c r="D2727"/>
    </row>
    <row r="2728" spans="4:4" x14ac:dyDescent="0.25">
      <c r="D2728"/>
    </row>
    <row r="2729" spans="4:4" x14ac:dyDescent="0.25">
      <c r="D2729"/>
    </row>
    <row r="2730" spans="4:4" x14ac:dyDescent="0.25">
      <c r="D2730"/>
    </row>
    <row r="2731" spans="4:4" x14ac:dyDescent="0.25">
      <c r="D2731"/>
    </row>
    <row r="2732" spans="4:4" x14ac:dyDescent="0.25">
      <c r="D2732"/>
    </row>
    <row r="2733" spans="4:4" x14ac:dyDescent="0.25">
      <c r="D2733"/>
    </row>
    <row r="2734" spans="4:4" x14ac:dyDescent="0.25">
      <c r="D2734"/>
    </row>
    <row r="2735" spans="4:4" x14ac:dyDescent="0.25">
      <c r="D2735"/>
    </row>
    <row r="2736" spans="4:4" x14ac:dyDescent="0.25">
      <c r="D2736"/>
    </row>
    <row r="2737" spans="4:4" x14ac:dyDescent="0.25">
      <c r="D2737"/>
    </row>
    <row r="2738" spans="4:4" x14ac:dyDescent="0.25">
      <c r="D2738"/>
    </row>
    <row r="2739" spans="4:4" x14ac:dyDescent="0.25">
      <c r="D2739"/>
    </row>
    <row r="2740" spans="4:4" x14ac:dyDescent="0.25">
      <c r="D2740"/>
    </row>
    <row r="2741" spans="4:4" x14ac:dyDescent="0.25">
      <c r="D2741"/>
    </row>
    <row r="2742" spans="4:4" x14ac:dyDescent="0.25">
      <c r="D2742"/>
    </row>
    <row r="2743" spans="4:4" x14ac:dyDescent="0.25">
      <c r="D2743"/>
    </row>
    <row r="2744" spans="4:4" x14ac:dyDescent="0.25">
      <c r="D2744"/>
    </row>
    <row r="2745" spans="4:4" x14ac:dyDescent="0.25">
      <c r="D2745"/>
    </row>
    <row r="2746" spans="4:4" x14ac:dyDescent="0.25">
      <c r="D2746"/>
    </row>
    <row r="2747" spans="4:4" x14ac:dyDescent="0.25">
      <c r="D2747"/>
    </row>
    <row r="2748" spans="4:4" x14ac:dyDescent="0.25">
      <c r="D2748"/>
    </row>
    <row r="2749" spans="4:4" x14ac:dyDescent="0.25">
      <c r="D2749"/>
    </row>
    <row r="2750" spans="4:4" x14ac:dyDescent="0.25">
      <c r="D2750"/>
    </row>
    <row r="2751" spans="4:4" x14ac:dyDescent="0.25">
      <c r="D2751"/>
    </row>
    <row r="2752" spans="4:4" x14ac:dyDescent="0.25">
      <c r="D2752"/>
    </row>
    <row r="2753" spans="4:4" x14ac:dyDescent="0.25">
      <c r="D2753"/>
    </row>
    <row r="2754" spans="4:4" x14ac:dyDescent="0.25">
      <c r="D2754"/>
    </row>
    <row r="2755" spans="4:4" x14ac:dyDescent="0.25">
      <c r="D2755"/>
    </row>
    <row r="2756" spans="4:4" x14ac:dyDescent="0.25">
      <c r="D2756"/>
    </row>
    <row r="2757" spans="4:4" x14ac:dyDescent="0.25">
      <c r="D2757"/>
    </row>
    <row r="2758" spans="4:4" x14ac:dyDescent="0.25">
      <c r="D2758"/>
    </row>
    <row r="2759" spans="4:4" x14ac:dyDescent="0.25">
      <c r="D2759"/>
    </row>
    <row r="2760" spans="4:4" x14ac:dyDescent="0.25">
      <c r="D2760"/>
    </row>
    <row r="2761" spans="4:4" x14ac:dyDescent="0.25">
      <c r="D2761"/>
    </row>
    <row r="2762" spans="4:4" x14ac:dyDescent="0.25">
      <c r="D2762"/>
    </row>
    <row r="2763" spans="4:4" x14ac:dyDescent="0.25">
      <c r="D2763"/>
    </row>
    <row r="2764" spans="4:4" x14ac:dyDescent="0.25">
      <c r="D2764"/>
    </row>
    <row r="2765" spans="4:4" x14ac:dyDescent="0.25">
      <c r="D2765"/>
    </row>
    <row r="2766" spans="4:4" x14ac:dyDescent="0.25">
      <c r="D2766"/>
    </row>
    <row r="2767" spans="4:4" x14ac:dyDescent="0.25">
      <c r="D2767"/>
    </row>
    <row r="2768" spans="4:4" x14ac:dyDescent="0.25">
      <c r="D2768"/>
    </row>
    <row r="2769" spans="4:4" x14ac:dyDescent="0.25">
      <c r="D2769"/>
    </row>
    <row r="2770" spans="4:4" x14ac:dyDescent="0.25">
      <c r="D2770"/>
    </row>
    <row r="2771" spans="4:4" x14ac:dyDescent="0.25">
      <c r="D2771"/>
    </row>
    <row r="2772" spans="4:4" x14ac:dyDescent="0.25">
      <c r="D2772"/>
    </row>
    <row r="2773" spans="4:4" x14ac:dyDescent="0.25">
      <c r="D2773"/>
    </row>
    <row r="2774" spans="4:4" x14ac:dyDescent="0.25">
      <c r="D2774"/>
    </row>
    <row r="2775" spans="4:4" x14ac:dyDescent="0.25">
      <c r="D2775"/>
    </row>
    <row r="2776" spans="4:4" x14ac:dyDescent="0.25">
      <c r="D2776"/>
    </row>
    <row r="2777" spans="4:4" x14ac:dyDescent="0.25">
      <c r="D2777"/>
    </row>
    <row r="2778" spans="4:4" x14ac:dyDescent="0.25">
      <c r="D2778"/>
    </row>
    <row r="2779" spans="4:4" x14ac:dyDescent="0.25">
      <c r="D2779"/>
    </row>
    <row r="2780" spans="4:4" x14ac:dyDescent="0.25">
      <c r="D2780"/>
    </row>
    <row r="2781" spans="4:4" x14ac:dyDescent="0.25">
      <c r="D2781"/>
    </row>
    <row r="2782" spans="4:4" x14ac:dyDescent="0.25">
      <c r="D2782"/>
    </row>
    <row r="2783" spans="4:4" x14ac:dyDescent="0.25">
      <c r="D2783"/>
    </row>
    <row r="2784" spans="4:4" x14ac:dyDescent="0.25">
      <c r="D2784"/>
    </row>
    <row r="2785" spans="4:4" x14ac:dyDescent="0.25">
      <c r="D2785"/>
    </row>
    <row r="2786" spans="4:4" x14ac:dyDescent="0.25">
      <c r="D2786"/>
    </row>
    <row r="2787" spans="4:4" x14ac:dyDescent="0.25">
      <c r="D2787"/>
    </row>
    <row r="2788" spans="4:4" x14ac:dyDescent="0.25">
      <c r="D2788"/>
    </row>
    <row r="2789" spans="4:4" x14ac:dyDescent="0.25">
      <c r="D2789"/>
    </row>
    <row r="2790" spans="4:4" x14ac:dyDescent="0.25">
      <c r="D2790"/>
    </row>
    <row r="2791" spans="4:4" x14ac:dyDescent="0.25">
      <c r="D2791"/>
    </row>
    <row r="2792" spans="4:4" x14ac:dyDescent="0.25">
      <c r="D2792"/>
    </row>
    <row r="2793" spans="4:4" x14ac:dyDescent="0.25">
      <c r="D2793"/>
    </row>
    <row r="2794" spans="4:4" x14ac:dyDescent="0.25">
      <c r="D2794"/>
    </row>
    <row r="2795" spans="4:4" x14ac:dyDescent="0.25">
      <c r="D2795"/>
    </row>
    <row r="2796" spans="4:4" x14ac:dyDescent="0.25">
      <c r="D2796"/>
    </row>
    <row r="2797" spans="4:4" x14ac:dyDescent="0.25">
      <c r="D2797"/>
    </row>
    <row r="2798" spans="4:4" x14ac:dyDescent="0.25">
      <c r="D2798"/>
    </row>
    <row r="2799" spans="4:4" x14ac:dyDescent="0.25">
      <c r="D2799"/>
    </row>
    <row r="2800" spans="4:4" x14ac:dyDescent="0.25">
      <c r="D2800"/>
    </row>
    <row r="2801" spans="4:4" x14ac:dyDescent="0.25">
      <c r="D2801"/>
    </row>
    <row r="2802" spans="4:4" x14ac:dyDescent="0.25">
      <c r="D2802"/>
    </row>
    <row r="2803" spans="4:4" x14ac:dyDescent="0.25">
      <c r="D2803"/>
    </row>
    <row r="2804" spans="4:4" x14ac:dyDescent="0.25">
      <c r="D2804"/>
    </row>
    <row r="2805" spans="4:4" x14ac:dyDescent="0.25">
      <c r="D2805"/>
    </row>
    <row r="2806" spans="4:4" x14ac:dyDescent="0.25">
      <c r="D2806"/>
    </row>
    <row r="2807" spans="4:4" x14ac:dyDescent="0.25">
      <c r="D2807"/>
    </row>
    <row r="2808" spans="4:4" x14ac:dyDescent="0.25">
      <c r="D2808"/>
    </row>
    <row r="2809" spans="4:4" x14ac:dyDescent="0.25">
      <c r="D2809"/>
    </row>
    <row r="2810" spans="4:4" x14ac:dyDescent="0.25">
      <c r="D2810"/>
    </row>
    <row r="2811" spans="4:4" x14ac:dyDescent="0.25">
      <c r="D2811"/>
    </row>
    <row r="2812" spans="4:4" x14ac:dyDescent="0.25">
      <c r="D2812"/>
    </row>
    <row r="2813" spans="4:4" x14ac:dyDescent="0.25">
      <c r="D2813"/>
    </row>
    <row r="2814" spans="4:4" x14ac:dyDescent="0.25">
      <c r="D2814"/>
    </row>
    <row r="2815" spans="4:4" x14ac:dyDescent="0.25">
      <c r="D2815"/>
    </row>
    <row r="2816" spans="4:4" x14ac:dyDescent="0.25">
      <c r="D2816"/>
    </row>
    <row r="2817" spans="4:4" x14ac:dyDescent="0.25">
      <c r="D2817"/>
    </row>
    <row r="2818" spans="4:4" x14ac:dyDescent="0.25">
      <c r="D2818"/>
    </row>
    <row r="2819" spans="4:4" x14ac:dyDescent="0.25">
      <c r="D2819"/>
    </row>
    <row r="2820" spans="4:4" x14ac:dyDescent="0.25">
      <c r="D2820"/>
    </row>
    <row r="2821" spans="4:4" x14ac:dyDescent="0.25">
      <c r="D2821"/>
    </row>
    <row r="2822" spans="4:4" x14ac:dyDescent="0.25">
      <c r="D2822"/>
    </row>
    <row r="2823" spans="4:4" x14ac:dyDescent="0.25">
      <c r="D2823"/>
    </row>
    <row r="2824" spans="4:4" x14ac:dyDescent="0.25">
      <c r="D2824"/>
    </row>
    <row r="2825" spans="4:4" x14ac:dyDescent="0.25">
      <c r="D2825"/>
    </row>
    <row r="2826" spans="4:4" x14ac:dyDescent="0.25">
      <c r="D2826"/>
    </row>
    <row r="2827" spans="4:4" x14ac:dyDescent="0.25">
      <c r="D2827"/>
    </row>
    <row r="2828" spans="4:4" x14ac:dyDescent="0.25">
      <c r="D2828"/>
    </row>
    <row r="2829" spans="4:4" x14ac:dyDescent="0.25">
      <c r="D2829"/>
    </row>
    <row r="2830" spans="4:4" x14ac:dyDescent="0.25">
      <c r="D2830"/>
    </row>
    <row r="2831" spans="4:4" x14ac:dyDescent="0.25">
      <c r="D2831"/>
    </row>
    <row r="2832" spans="4:4" x14ac:dyDescent="0.25">
      <c r="D2832"/>
    </row>
    <row r="2833" spans="4:4" x14ac:dyDescent="0.25">
      <c r="D2833"/>
    </row>
    <row r="2834" spans="4:4" x14ac:dyDescent="0.25">
      <c r="D2834"/>
    </row>
    <row r="2835" spans="4:4" x14ac:dyDescent="0.25">
      <c r="D2835"/>
    </row>
    <row r="2836" spans="4:4" x14ac:dyDescent="0.25">
      <c r="D2836"/>
    </row>
    <row r="2837" spans="4:4" x14ac:dyDescent="0.25">
      <c r="D2837"/>
    </row>
    <row r="2838" spans="4:4" x14ac:dyDescent="0.25">
      <c r="D2838"/>
    </row>
    <row r="2839" spans="4:4" x14ac:dyDescent="0.25">
      <c r="D2839"/>
    </row>
    <row r="2840" spans="4:4" x14ac:dyDescent="0.25">
      <c r="D2840"/>
    </row>
    <row r="2841" spans="4:4" x14ac:dyDescent="0.25">
      <c r="D2841"/>
    </row>
    <row r="2842" spans="4:4" x14ac:dyDescent="0.25">
      <c r="D2842"/>
    </row>
    <row r="2843" spans="4:4" x14ac:dyDescent="0.25">
      <c r="D2843"/>
    </row>
    <row r="2844" spans="4:4" x14ac:dyDescent="0.25">
      <c r="D2844"/>
    </row>
    <row r="2845" spans="4:4" x14ac:dyDescent="0.25">
      <c r="D2845"/>
    </row>
    <row r="2846" spans="4:4" x14ac:dyDescent="0.25">
      <c r="D2846"/>
    </row>
    <row r="2847" spans="4:4" x14ac:dyDescent="0.25">
      <c r="D2847"/>
    </row>
    <row r="2848" spans="4:4" x14ac:dyDescent="0.25">
      <c r="D2848"/>
    </row>
    <row r="2849" spans="4:4" x14ac:dyDescent="0.25">
      <c r="D2849"/>
    </row>
    <row r="2850" spans="4:4" x14ac:dyDescent="0.25">
      <c r="D2850"/>
    </row>
    <row r="2851" spans="4:4" x14ac:dyDescent="0.25">
      <c r="D2851"/>
    </row>
    <row r="2852" spans="4:4" x14ac:dyDescent="0.25">
      <c r="D2852"/>
    </row>
    <row r="2853" spans="4:4" x14ac:dyDescent="0.25">
      <c r="D2853"/>
    </row>
    <row r="2854" spans="4:4" x14ac:dyDescent="0.25">
      <c r="D2854"/>
    </row>
    <row r="2855" spans="4:4" x14ac:dyDescent="0.25">
      <c r="D2855"/>
    </row>
    <row r="2856" spans="4:4" x14ac:dyDescent="0.25">
      <c r="D2856"/>
    </row>
    <row r="2857" spans="4:4" x14ac:dyDescent="0.25">
      <c r="D2857"/>
    </row>
    <row r="2858" spans="4:4" x14ac:dyDescent="0.25">
      <c r="D2858"/>
    </row>
    <row r="2859" spans="4:4" x14ac:dyDescent="0.25">
      <c r="D2859"/>
    </row>
    <row r="2860" spans="4:4" x14ac:dyDescent="0.25">
      <c r="D2860"/>
    </row>
    <row r="2861" spans="4:4" x14ac:dyDescent="0.25">
      <c r="D2861"/>
    </row>
    <row r="2862" spans="4:4" x14ac:dyDescent="0.25">
      <c r="D2862"/>
    </row>
    <row r="2863" spans="4:4" x14ac:dyDescent="0.25">
      <c r="D2863"/>
    </row>
    <row r="2864" spans="4:4" x14ac:dyDescent="0.25">
      <c r="D2864"/>
    </row>
    <row r="2865" spans="4:4" x14ac:dyDescent="0.25">
      <c r="D2865"/>
    </row>
    <row r="2866" spans="4:4" x14ac:dyDescent="0.25">
      <c r="D2866"/>
    </row>
    <row r="2867" spans="4:4" x14ac:dyDescent="0.25">
      <c r="D2867"/>
    </row>
    <row r="2868" spans="4:4" x14ac:dyDescent="0.25">
      <c r="D2868"/>
    </row>
    <row r="2869" spans="4:4" x14ac:dyDescent="0.25">
      <c r="D2869"/>
    </row>
    <row r="2870" spans="4:4" x14ac:dyDescent="0.25">
      <c r="D2870"/>
    </row>
    <row r="2871" spans="4:4" x14ac:dyDescent="0.25">
      <c r="D2871"/>
    </row>
    <row r="2872" spans="4:4" x14ac:dyDescent="0.25">
      <c r="D2872"/>
    </row>
    <row r="2873" spans="4:4" x14ac:dyDescent="0.25">
      <c r="D2873"/>
    </row>
    <row r="2874" spans="4:4" x14ac:dyDescent="0.25">
      <c r="D2874"/>
    </row>
    <row r="2875" spans="4:4" x14ac:dyDescent="0.25">
      <c r="D2875"/>
    </row>
    <row r="2876" spans="4:4" x14ac:dyDescent="0.25">
      <c r="D2876"/>
    </row>
    <row r="2877" spans="4:4" x14ac:dyDescent="0.25">
      <c r="D2877"/>
    </row>
    <row r="2878" spans="4:4" x14ac:dyDescent="0.25">
      <c r="D2878"/>
    </row>
    <row r="2879" spans="4:4" x14ac:dyDescent="0.25">
      <c r="D2879"/>
    </row>
    <row r="2880" spans="4:4" x14ac:dyDescent="0.25">
      <c r="D2880"/>
    </row>
    <row r="2881" spans="4:4" x14ac:dyDescent="0.25">
      <c r="D2881"/>
    </row>
    <row r="2882" spans="4:4" x14ac:dyDescent="0.25">
      <c r="D2882"/>
    </row>
    <row r="2883" spans="4:4" x14ac:dyDescent="0.25">
      <c r="D2883"/>
    </row>
    <row r="2884" spans="4:4" x14ac:dyDescent="0.25">
      <c r="D2884"/>
    </row>
    <row r="2885" spans="4:4" x14ac:dyDescent="0.25">
      <c r="D2885"/>
    </row>
    <row r="2886" spans="4:4" x14ac:dyDescent="0.25">
      <c r="D2886"/>
    </row>
    <row r="2887" spans="4:4" x14ac:dyDescent="0.25">
      <c r="D2887"/>
    </row>
    <row r="2888" spans="4:4" x14ac:dyDescent="0.25">
      <c r="D2888"/>
    </row>
    <row r="2889" spans="4:4" x14ac:dyDescent="0.25">
      <c r="D2889"/>
    </row>
    <row r="2890" spans="4:4" x14ac:dyDescent="0.25">
      <c r="D2890"/>
    </row>
    <row r="2891" spans="4:4" x14ac:dyDescent="0.25">
      <c r="D2891"/>
    </row>
    <row r="2892" spans="4:4" x14ac:dyDescent="0.25">
      <c r="D2892"/>
    </row>
    <row r="2893" spans="4:4" x14ac:dyDescent="0.25">
      <c r="D2893"/>
    </row>
    <row r="2894" spans="4:4" x14ac:dyDescent="0.25">
      <c r="D2894"/>
    </row>
    <row r="2895" spans="4:4" x14ac:dyDescent="0.25">
      <c r="D2895"/>
    </row>
    <row r="2896" spans="4:4" x14ac:dyDescent="0.25">
      <c r="D2896"/>
    </row>
    <row r="2897" spans="4:4" x14ac:dyDescent="0.25">
      <c r="D2897"/>
    </row>
    <row r="2898" spans="4:4" x14ac:dyDescent="0.25">
      <c r="D2898"/>
    </row>
    <row r="2899" spans="4:4" x14ac:dyDescent="0.25">
      <c r="D2899"/>
    </row>
    <row r="2900" spans="4:4" x14ac:dyDescent="0.25">
      <c r="D2900"/>
    </row>
    <row r="2901" spans="4:4" x14ac:dyDescent="0.25">
      <c r="D2901"/>
    </row>
    <row r="2902" spans="4:4" x14ac:dyDescent="0.25">
      <c r="D2902"/>
    </row>
    <row r="2903" spans="4:4" x14ac:dyDescent="0.25">
      <c r="D2903"/>
    </row>
    <row r="2904" spans="4:4" x14ac:dyDescent="0.25">
      <c r="D2904"/>
    </row>
    <row r="2905" spans="4:4" x14ac:dyDescent="0.25">
      <c r="D2905"/>
    </row>
    <row r="2906" spans="4:4" x14ac:dyDescent="0.25">
      <c r="D2906"/>
    </row>
    <row r="2907" spans="4:4" x14ac:dyDescent="0.25">
      <c r="D2907"/>
    </row>
    <row r="2908" spans="4:4" x14ac:dyDescent="0.25">
      <c r="D2908"/>
    </row>
    <row r="2909" spans="4:4" x14ac:dyDescent="0.25">
      <c r="D2909"/>
    </row>
    <row r="2910" spans="4:4" x14ac:dyDescent="0.25">
      <c r="D2910"/>
    </row>
    <row r="2911" spans="4:4" x14ac:dyDescent="0.25">
      <c r="D2911"/>
    </row>
    <row r="2912" spans="4:4" x14ac:dyDescent="0.25">
      <c r="D2912"/>
    </row>
    <row r="2913" spans="4:4" x14ac:dyDescent="0.25">
      <c r="D2913"/>
    </row>
    <row r="2914" spans="4:4" x14ac:dyDescent="0.25">
      <c r="D2914"/>
    </row>
    <row r="2915" spans="4:4" x14ac:dyDescent="0.25">
      <c r="D2915"/>
    </row>
    <row r="2916" spans="4:4" x14ac:dyDescent="0.25">
      <c r="D2916"/>
    </row>
    <row r="2917" spans="4:4" x14ac:dyDescent="0.25">
      <c r="D2917"/>
    </row>
    <row r="2918" spans="4:4" x14ac:dyDescent="0.25">
      <c r="D2918"/>
    </row>
    <row r="2919" spans="4:4" x14ac:dyDescent="0.25">
      <c r="D2919"/>
    </row>
    <row r="2920" spans="4:4" x14ac:dyDescent="0.25">
      <c r="D2920"/>
    </row>
    <row r="2921" spans="4:4" x14ac:dyDescent="0.25">
      <c r="D2921"/>
    </row>
    <row r="2922" spans="4:4" x14ac:dyDescent="0.25">
      <c r="D2922"/>
    </row>
    <row r="2923" spans="4:4" x14ac:dyDescent="0.25">
      <c r="D2923"/>
    </row>
    <row r="2924" spans="4:4" x14ac:dyDescent="0.25">
      <c r="D2924"/>
    </row>
    <row r="2925" spans="4:4" x14ac:dyDescent="0.25">
      <c r="D2925"/>
    </row>
    <row r="2926" spans="4:4" x14ac:dyDescent="0.25">
      <c r="D2926"/>
    </row>
    <row r="2927" spans="4:4" x14ac:dyDescent="0.25">
      <c r="D2927"/>
    </row>
    <row r="2928" spans="4:4" x14ac:dyDescent="0.25">
      <c r="D2928"/>
    </row>
    <row r="2929" spans="4:4" x14ac:dyDescent="0.25">
      <c r="D2929"/>
    </row>
    <row r="2930" spans="4:4" x14ac:dyDescent="0.25">
      <c r="D2930"/>
    </row>
    <row r="2931" spans="4:4" x14ac:dyDescent="0.25">
      <c r="D2931"/>
    </row>
    <row r="2932" spans="4:4" x14ac:dyDescent="0.25">
      <c r="D2932"/>
    </row>
    <row r="2933" spans="4:4" x14ac:dyDescent="0.25">
      <c r="D2933"/>
    </row>
    <row r="2934" spans="4:4" x14ac:dyDescent="0.25">
      <c r="D2934"/>
    </row>
    <row r="2935" spans="4:4" x14ac:dyDescent="0.25">
      <c r="D2935"/>
    </row>
    <row r="2936" spans="4:4" x14ac:dyDescent="0.25">
      <c r="D2936"/>
    </row>
    <row r="2937" spans="4:4" x14ac:dyDescent="0.25">
      <c r="D2937"/>
    </row>
    <row r="2938" spans="4:4" x14ac:dyDescent="0.25">
      <c r="D2938"/>
    </row>
    <row r="2939" spans="4:4" x14ac:dyDescent="0.25">
      <c r="D2939"/>
    </row>
    <row r="2940" spans="4:4" x14ac:dyDescent="0.25">
      <c r="D2940"/>
    </row>
    <row r="2941" spans="4:4" x14ac:dyDescent="0.25">
      <c r="D2941"/>
    </row>
    <row r="2942" spans="4:4" x14ac:dyDescent="0.25">
      <c r="D2942"/>
    </row>
    <row r="2943" spans="4:4" x14ac:dyDescent="0.25">
      <c r="D2943"/>
    </row>
    <row r="2944" spans="4:4" x14ac:dyDescent="0.25">
      <c r="D2944"/>
    </row>
    <row r="2945" spans="4:4" x14ac:dyDescent="0.25">
      <c r="D2945"/>
    </row>
    <row r="2946" spans="4:4" x14ac:dyDescent="0.25">
      <c r="D2946"/>
    </row>
    <row r="2947" spans="4:4" x14ac:dyDescent="0.25">
      <c r="D2947"/>
    </row>
    <row r="2948" spans="4:4" x14ac:dyDescent="0.25">
      <c r="D2948"/>
    </row>
    <row r="2949" spans="4:4" x14ac:dyDescent="0.25">
      <c r="D2949"/>
    </row>
    <row r="2950" spans="4:4" x14ac:dyDescent="0.25">
      <c r="D2950"/>
    </row>
    <row r="2951" spans="4:4" x14ac:dyDescent="0.25">
      <c r="D2951"/>
    </row>
    <row r="2952" spans="4:4" x14ac:dyDescent="0.25">
      <c r="D2952"/>
    </row>
    <row r="2953" spans="4:4" x14ac:dyDescent="0.25">
      <c r="D2953"/>
    </row>
    <row r="2954" spans="4:4" x14ac:dyDescent="0.25">
      <c r="D2954"/>
    </row>
    <row r="2955" spans="4:4" x14ac:dyDescent="0.25">
      <c r="D2955"/>
    </row>
    <row r="2956" spans="4:4" x14ac:dyDescent="0.25">
      <c r="D2956"/>
    </row>
    <row r="2957" spans="4:4" x14ac:dyDescent="0.25">
      <c r="D2957"/>
    </row>
    <row r="2958" spans="4:4" x14ac:dyDescent="0.25">
      <c r="D2958"/>
    </row>
    <row r="2959" spans="4:4" x14ac:dyDescent="0.25">
      <c r="D2959"/>
    </row>
    <row r="2960" spans="4:4" x14ac:dyDescent="0.25">
      <c r="D2960"/>
    </row>
    <row r="2961" spans="4:4" x14ac:dyDescent="0.25">
      <c r="D2961"/>
    </row>
    <row r="2962" spans="4:4" x14ac:dyDescent="0.25">
      <c r="D2962"/>
    </row>
    <row r="2963" spans="4:4" x14ac:dyDescent="0.25">
      <c r="D2963"/>
    </row>
    <row r="2964" spans="4:4" x14ac:dyDescent="0.25">
      <c r="D2964"/>
    </row>
    <row r="2965" spans="4:4" x14ac:dyDescent="0.25">
      <c r="D2965"/>
    </row>
    <row r="2966" spans="4:4" x14ac:dyDescent="0.25">
      <c r="D2966"/>
    </row>
    <row r="2967" spans="4:4" x14ac:dyDescent="0.25">
      <c r="D2967"/>
    </row>
    <row r="2968" spans="4:4" x14ac:dyDescent="0.25">
      <c r="D2968"/>
    </row>
    <row r="2969" spans="4:4" x14ac:dyDescent="0.25">
      <c r="D2969"/>
    </row>
    <row r="2970" spans="4:4" x14ac:dyDescent="0.25">
      <c r="D2970"/>
    </row>
    <row r="2971" spans="4:4" x14ac:dyDescent="0.25">
      <c r="D2971"/>
    </row>
    <row r="2972" spans="4:4" x14ac:dyDescent="0.25">
      <c r="D2972"/>
    </row>
    <row r="2973" spans="4:4" x14ac:dyDescent="0.25">
      <c r="D2973"/>
    </row>
    <row r="2974" spans="4:4" x14ac:dyDescent="0.25">
      <c r="D2974"/>
    </row>
    <row r="2975" spans="4:4" x14ac:dyDescent="0.25">
      <c r="D2975"/>
    </row>
    <row r="2976" spans="4:4" x14ac:dyDescent="0.25">
      <c r="D2976"/>
    </row>
    <row r="2977" spans="4:4" x14ac:dyDescent="0.25">
      <c r="D2977"/>
    </row>
    <row r="2978" spans="4:4" x14ac:dyDescent="0.25">
      <c r="D2978"/>
    </row>
    <row r="2979" spans="4:4" x14ac:dyDescent="0.25">
      <c r="D2979"/>
    </row>
    <row r="2980" spans="4:4" x14ac:dyDescent="0.25">
      <c r="D2980"/>
    </row>
    <row r="2981" spans="4:4" x14ac:dyDescent="0.25">
      <c r="D2981"/>
    </row>
    <row r="2982" spans="4:4" x14ac:dyDescent="0.25">
      <c r="D2982"/>
    </row>
    <row r="2983" spans="4:4" x14ac:dyDescent="0.25">
      <c r="D2983"/>
    </row>
    <row r="2984" spans="4:4" x14ac:dyDescent="0.25">
      <c r="D2984"/>
    </row>
    <row r="2985" spans="4:4" x14ac:dyDescent="0.25">
      <c r="D2985"/>
    </row>
    <row r="2986" spans="4:4" x14ac:dyDescent="0.25">
      <c r="D2986"/>
    </row>
    <row r="2987" spans="4:4" x14ac:dyDescent="0.25">
      <c r="D2987"/>
    </row>
    <row r="2988" spans="4:4" x14ac:dyDescent="0.25">
      <c r="D2988"/>
    </row>
    <row r="2989" spans="4:4" x14ac:dyDescent="0.25">
      <c r="D2989"/>
    </row>
    <row r="2990" spans="4:4" x14ac:dyDescent="0.25">
      <c r="D2990"/>
    </row>
    <row r="2991" spans="4:4" x14ac:dyDescent="0.25">
      <c r="D2991"/>
    </row>
    <row r="2992" spans="4:4" x14ac:dyDescent="0.25">
      <c r="D2992"/>
    </row>
    <row r="2993" spans="4:4" x14ac:dyDescent="0.25">
      <c r="D2993"/>
    </row>
    <row r="2994" spans="4:4" x14ac:dyDescent="0.25">
      <c r="D2994"/>
    </row>
    <row r="2995" spans="4:4" x14ac:dyDescent="0.25">
      <c r="D2995"/>
    </row>
    <row r="2996" spans="4:4" x14ac:dyDescent="0.25">
      <c r="D2996"/>
    </row>
    <row r="2997" spans="4:4" x14ac:dyDescent="0.25">
      <c r="D2997"/>
    </row>
    <row r="2998" spans="4:4" x14ac:dyDescent="0.25">
      <c r="D2998"/>
    </row>
    <row r="2999" spans="4:4" x14ac:dyDescent="0.25">
      <c r="D2999"/>
    </row>
    <row r="3000" spans="4:4" x14ac:dyDescent="0.25">
      <c r="D3000"/>
    </row>
    <row r="3001" spans="4:4" x14ac:dyDescent="0.25">
      <c r="D3001"/>
    </row>
    <row r="3002" spans="4:4" x14ac:dyDescent="0.25">
      <c r="D3002"/>
    </row>
    <row r="3003" spans="4:4" x14ac:dyDescent="0.25">
      <c r="D3003"/>
    </row>
    <row r="3004" spans="4:4" x14ac:dyDescent="0.25">
      <c r="D3004"/>
    </row>
    <row r="3005" spans="4:4" x14ac:dyDescent="0.25">
      <c r="D3005"/>
    </row>
    <row r="3006" spans="4:4" x14ac:dyDescent="0.25">
      <c r="D3006"/>
    </row>
    <row r="3007" spans="4:4" x14ac:dyDescent="0.25">
      <c r="D3007"/>
    </row>
    <row r="3008" spans="4:4" x14ac:dyDescent="0.25">
      <c r="D3008"/>
    </row>
    <row r="3009" spans="4:4" x14ac:dyDescent="0.25">
      <c r="D3009"/>
    </row>
    <row r="3010" spans="4:4" x14ac:dyDescent="0.25">
      <c r="D3010"/>
    </row>
    <row r="3011" spans="4:4" x14ac:dyDescent="0.25">
      <c r="D3011"/>
    </row>
    <row r="3012" spans="4:4" x14ac:dyDescent="0.25">
      <c r="D3012"/>
    </row>
    <row r="3013" spans="4:4" x14ac:dyDescent="0.25">
      <c r="D3013"/>
    </row>
    <row r="3014" spans="4:4" x14ac:dyDescent="0.25">
      <c r="D3014"/>
    </row>
    <row r="3015" spans="4:4" x14ac:dyDescent="0.25">
      <c r="D3015"/>
    </row>
    <row r="3016" spans="4:4" x14ac:dyDescent="0.25">
      <c r="D3016"/>
    </row>
    <row r="3017" spans="4:4" x14ac:dyDescent="0.25">
      <c r="D3017"/>
    </row>
    <row r="3018" spans="4:4" x14ac:dyDescent="0.25">
      <c r="D3018"/>
    </row>
    <row r="3019" spans="4:4" x14ac:dyDescent="0.25">
      <c r="D3019"/>
    </row>
    <row r="3020" spans="4:4" x14ac:dyDescent="0.25">
      <c r="D3020"/>
    </row>
    <row r="3021" spans="4:4" x14ac:dyDescent="0.25">
      <c r="D3021"/>
    </row>
    <row r="3022" spans="4:4" x14ac:dyDescent="0.25">
      <c r="D3022"/>
    </row>
    <row r="3023" spans="4:4" x14ac:dyDescent="0.25">
      <c r="D3023"/>
    </row>
    <row r="3024" spans="4:4" x14ac:dyDescent="0.25">
      <c r="D3024"/>
    </row>
    <row r="3025" spans="4:4" x14ac:dyDescent="0.25">
      <c r="D3025"/>
    </row>
    <row r="3026" spans="4:4" x14ac:dyDescent="0.25">
      <c r="D3026"/>
    </row>
    <row r="3027" spans="4:4" x14ac:dyDescent="0.25">
      <c r="D3027"/>
    </row>
    <row r="3028" spans="4:4" x14ac:dyDescent="0.25">
      <c r="D3028"/>
    </row>
    <row r="3029" spans="4:4" x14ac:dyDescent="0.25">
      <c r="D3029"/>
    </row>
    <row r="3030" spans="4:4" x14ac:dyDescent="0.25">
      <c r="D3030"/>
    </row>
    <row r="3031" spans="4:4" x14ac:dyDescent="0.25">
      <c r="D3031"/>
    </row>
    <row r="3032" spans="4:4" x14ac:dyDescent="0.25">
      <c r="D3032"/>
    </row>
    <row r="3033" spans="4:4" x14ac:dyDescent="0.25">
      <c r="D3033"/>
    </row>
    <row r="3034" spans="4:4" x14ac:dyDescent="0.25">
      <c r="D3034"/>
    </row>
    <row r="3035" spans="4:4" x14ac:dyDescent="0.25">
      <c r="D3035"/>
    </row>
    <row r="3036" spans="4:4" x14ac:dyDescent="0.25">
      <c r="D3036"/>
    </row>
    <row r="3037" spans="4:4" x14ac:dyDescent="0.25">
      <c r="D3037"/>
    </row>
    <row r="3038" spans="4:4" x14ac:dyDescent="0.25">
      <c r="D3038"/>
    </row>
    <row r="3039" spans="4:4" x14ac:dyDescent="0.25">
      <c r="D3039"/>
    </row>
    <row r="3040" spans="4:4" x14ac:dyDescent="0.25">
      <c r="D3040"/>
    </row>
    <row r="3041" spans="4:4" x14ac:dyDescent="0.25">
      <c r="D3041"/>
    </row>
    <row r="3042" spans="4:4" x14ac:dyDescent="0.25">
      <c r="D3042"/>
    </row>
    <row r="3043" spans="4:4" x14ac:dyDescent="0.25">
      <c r="D3043"/>
    </row>
    <row r="3044" spans="4:4" x14ac:dyDescent="0.25">
      <c r="D3044"/>
    </row>
    <row r="3045" spans="4:4" x14ac:dyDescent="0.25">
      <c r="D3045"/>
    </row>
    <row r="3046" spans="4:4" x14ac:dyDescent="0.25">
      <c r="D3046"/>
    </row>
    <row r="3047" spans="4:4" x14ac:dyDescent="0.25">
      <c r="D3047"/>
    </row>
    <row r="3048" spans="4:4" x14ac:dyDescent="0.25">
      <c r="D3048"/>
    </row>
    <row r="3049" spans="4:4" x14ac:dyDescent="0.25">
      <c r="D3049"/>
    </row>
    <row r="3050" spans="4:4" x14ac:dyDescent="0.25">
      <c r="D3050"/>
    </row>
    <row r="3051" spans="4:4" x14ac:dyDescent="0.25">
      <c r="D3051"/>
    </row>
    <row r="3052" spans="4:4" x14ac:dyDescent="0.25">
      <c r="D3052"/>
    </row>
    <row r="3053" spans="4:4" x14ac:dyDescent="0.25">
      <c r="D3053"/>
    </row>
    <row r="3054" spans="4:4" x14ac:dyDescent="0.25">
      <c r="D3054"/>
    </row>
    <row r="3055" spans="4:4" x14ac:dyDescent="0.25">
      <c r="D3055"/>
    </row>
    <row r="3056" spans="4:4" x14ac:dyDescent="0.25">
      <c r="D3056"/>
    </row>
    <row r="3057" spans="4:4" x14ac:dyDescent="0.25">
      <c r="D3057"/>
    </row>
    <row r="3058" spans="4:4" x14ac:dyDescent="0.25">
      <c r="D3058"/>
    </row>
    <row r="3059" spans="4:4" x14ac:dyDescent="0.25">
      <c r="D3059"/>
    </row>
    <row r="3060" spans="4:4" x14ac:dyDescent="0.25">
      <c r="D3060"/>
    </row>
    <row r="3061" spans="4:4" x14ac:dyDescent="0.25">
      <c r="D3061"/>
    </row>
    <row r="3062" spans="4:4" x14ac:dyDescent="0.25">
      <c r="D3062"/>
    </row>
    <row r="3063" spans="4:4" x14ac:dyDescent="0.25">
      <c r="D3063"/>
    </row>
    <row r="3064" spans="4:4" x14ac:dyDescent="0.25">
      <c r="D3064"/>
    </row>
    <row r="3065" spans="4:4" x14ac:dyDescent="0.25">
      <c r="D3065"/>
    </row>
    <row r="3066" spans="4:4" x14ac:dyDescent="0.25">
      <c r="D3066"/>
    </row>
    <row r="3067" spans="4:4" x14ac:dyDescent="0.25">
      <c r="D3067"/>
    </row>
    <row r="3068" spans="4:4" x14ac:dyDescent="0.25">
      <c r="D3068"/>
    </row>
    <row r="3069" spans="4:4" x14ac:dyDescent="0.25">
      <c r="D3069"/>
    </row>
    <row r="3070" spans="4:4" x14ac:dyDescent="0.25">
      <c r="D3070"/>
    </row>
    <row r="3071" spans="4:4" x14ac:dyDescent="0.25">
      <c r="D3071"/>
    </row>
    <row r="3072" spans="4:4" x14ac:dyDescent="0.25">
      <c r="D3072"/>
    </row>
    <row r="3073" spans="4:4" x14ac:dyDescent="0.25">
      <c r="D3073"/>
    </row>
    <row r="3074" spans="4:4" x14ac:dyDescent="0.25">
      <c r="D3074"/>
    </row>
    <row r="3075" spans="4:4" x14ac:dyDescent="0.25">
      <c r="D3075"/>
    </row>
    <row r="3076" spans="4:4" x14ac:dyDescent="0.25">
      <c r="D3076"/>
    </row>
    <row r="3077" spans="4:4" x14ac:dyDescent="0.25">
      <c r="D3077"/>
    </row>
    <row r="3078" spans="4:4" x14ac:dyDescent="0.25">
      <c r="D3078"/>
    </row>
    <row r="3079" spans="4:4" x14ac:dyDescent="0.25">
      <c r="D3079"/>
    </row>
    <row r="3080" spans="4:4" x14ac:dyDescent="0.25">
      <c r="D3080"/>
    </row>
    <row r="3081" spans="4:4" x14ac:dyDescent="0.25">
      <c r="D3081"/>
    </row>
    <row r="3082" spans="4:4" x14ac:dyDescent="0.25">
      <c r="D3082"/>
    </row>
    <row r="3083" spans="4:4" x14ac:dyDescent="0.25">
      <c r="D3083"/>
    </row>
    <row r="3084" spans="4:4" x14ac:dyDescent="0.25">
      <c r="D3084"/>
    </row>
    <row r="3085" spans="4:4" x14ac:dyDescent="0.25">
      <c r="D3085"/>
    </row>
    <row r="3086" spans="4:4" x14ac:dyDescent="0.25">
      <c r="D3086"/>
    </row>
    <row r="3087" spans="4:4" x14ac:dyDescent="0.25">
      <c r="D3087"/>
    </row>
    <row r="3088" spans="4:4" x14ac:dyDescent="0.25">
      <c r="D3088"/>
    </row>
    <row r="3089" spans="4:4" x14ac:dyDescent="0.25">
      <c r="D3089"/>
    </row>
    <row r="3090" spans="4:4" x14ac:dyDescent="0.25">
      <c r="D3090"/>
    </row>
    <row r="3091" spans="4:4" x14ac:dyDescent="0.25">
      <c r="D3091"/>
    </row>
    <row r="3092" spans="4:4" x14ac:dyDescent="0.25">
      <c r="D3092"/>
    </row>
    <row r="3093" spans="4:4" x14ac:dyDescent="0.25">
      <c r="D3093"/>
    </row>
    <row r="3094" spans="4:4" x14ac:dyDescent="0.25">
      <c r="D3094"/>
    </row>
    <row r="3095" spans="4:4" x14ac:dyDescent="0.25">
      <c r="D3095"/>
    </row>
    <row r="3096" spans="4:4" x14ac:dyDescent="0.25">
      <c r="D3096"/>
    </row>
    <row r="3097" spans="4:4" x14ac:dyDescent="0.25">
      <c r="D3097"/>
    </row>
    <row r="3098" spans="4:4" x14ac:dyDescent="0.25">
      <c r="D3098"/>
    </row>
    <row r="3099" spans="4:4" x14ac:dyDescent="0.25">
      <c r="D3099"/>
    </row>
    <row r="3100" spans="4:4" x14ac:dyDescent="0.25">
      <c r="D3100"/>
    </row>
    <row r="3101" spans="4:4" x14ac:dyDescent="0.25">
      <c r="D3101"/>
    </row>
    <row r="3102" spans="4:4" x14ac:dyDescent="0.25">
      <c r="D3102"/>
    </row>
    <row r="3103" spans="4:4" x14ac:dyDescent="0.25">
      <c r="D3103"/>
    </row>
    <row r="3104" spans="4:4" x14ac:dyDescent="0.25">
      <c r="D3104"/>
    </row>
    <row r="3105" spans="4:4" x14ac:dyDescent="0.25">
      <c r="D3105"/>
    </row>
    <row r="3106" spans="4:4" x14ac:dyDescent="0.25">
      <c r="D3106"/>
    </row>
    <row r="3107" spans="4:4" x14ac:dyDescent="0.25">
      <c r="D3107"/>
    </row>
    <row r="3108" spans="4:4" x14ac:dyDescent="0.25">
      <c r="D3108"/>
    </row>
    <row r="3109" spans="4:4" x14ac:dyDescent="0.25">
      <c r="D3109"/>
    </row>
    <row r="3110" spans="4:4" x14ac:dyDescent="0.25">
      <c r="D3110"/>
    </row>
    <row r="3111" spans="4:4" x14ac:dyDescent="0.25">
      <c r="D3111"/>
    </row>
    <row r="3112" spans="4:4" x14ac:dyDescent="0.25">
      <c r="D3112"/>
    </row>
    <row r="3113" spans="4:4" x14ac:dyDescent="0.25">
      <c r="D3113"/>
    </row>
    <row r="3114" spans="4:4" x14ac:dyDescent="0.25">
      <c r="D3114"/>
    </row>
    <row r="3115" spans="4:4" x14ac:dyDescent="0.25">
      <c r="D3115"/>
    </row>
    <row r="3116" spans="4:4" x14ac:dyDescent="0.25">
      <c r="D3116"/>
    </row>
    <row r="3117" spans="4:4" x14ac:dyDescent="0.25">
      <c r="D3117"/>
    </row>
    <row r="3118" spans="4:4" x14ac:dyDescent="0.25">
      <c r="D3118"/>
    </row>
    <row r="3119" spans="4:4" x14ac:dyDescent="0.25">
      <c r="D3119"/>
    </row>
    <row r="3120" spans="4:4" x14ac:dyDescent="0.25">
      <c r="D3120"/>
    </row>
    <row r="3121" spans="4:4" x14ac:dyDescent="0.25">
      <c r="D3121"/>
    </row>
    <row r="3122" spans="4:4" x14ac:dyDescent="0.25">
      <c r="D3122"/>
    </row>
    <row r="3123" spans="4:4" x14ac:dyDescent="0.25">
      <c r="D3123"/>
    </row>
    <row r="3124" spans="4:4" x14ac:dyDescent="0.25">
      <c r="D3124"/>
    </row>
    <row r="3125" spans="4:4" x14ac:dyDescent="0.25">
      <c r="D3125"/>
    </row>
    <row r="3126" spans="4:4" x14ac:dyDescent="0.25">
      <c r="D3126"/>
    </row>
    <row r="3127" spans="4:4" x14ac:dyDescent="0.25">
      <c r="D3127"/>
    </row>
    <row r="3128" spans="4:4" x14ac:dyDescent="0.25">
      <c r="D3128"/>
    </row>
    <row r="3129" spans="4:4" x14ac:dyDescent="0.25">
      <c r="D3129"/>
    </row>
    <row r="3130" spans="4:4" x14ac:dyDescent="0.25">
      <c r="D3130"/>
    </row>
    <row r="3131" spans="4:4" x14ac:dyDescent="0.25">
      <c r="D3131"/>
    </row>
    <row r="3132" spans="4:4" x14ac:dyDescent="0.25">
      <c r="D3132"/>
    </row>
    <row r="3133" spans="4:4" x14ac:dyDescent="0.25">
      <c r="D3133"/>
    </row>
    <row r="3134" spans="4:4" x14ac:dyDescent="0.25">
      <c r="D3134"/>
    </row>
    <row r="3135" spans="4:4" x14ac:dyDescent="0.25">
      <c r="D3135"/>
    </row>
    <row r="3136" spans="4:4" x14ac:dyDescent="0.25">
      <c r="D3136"/>
    </row>
    <row r="3137" spans="4:4" x14ac:dyDescent="0.25">
      <c r="D3137"/>
    </row>
    <row r="3138" spans="4:4" x14ac:dyDescent="0.25">
      <c r="D3138"/>
    </row>
    <row r="3139" spans="4:4" x14ac:dyDescent="0.25">
      <c r="D3139"/>
    </row>
    <row r="3140" spans="4:4" x14ac:dyDescent="0.25">
      <c r="D3140"/>
    </row>
    <row r="3141" spans="4:4" x14ac:dyDescent="0.25">
      <c r="D3141"/>
    </row>
    <row r="3142" spans="4:4" x14ac:dyDescent="0.25">
      <c r="D3142"/>
    </row>
    <row r="3143" spans="4:4" x14ac:dyDescent="0.25">
      <c r="D3143"/>
    </row>
    <row r="3144" spans="4:4" x14ac:dyDescent="0.25">
      <c r="D3144"/>
    </row>
    <row r="3145" spans="4:4" x14ac:dyDescent="0.25">
      <c r="D3145"/>
    </row>
    <row r="3146" spans="4:4" x14ac:dyDescent="0.25">
      <c r="D3146"/>
    </row>
    <row r="3147" spans="4:4" x14ac:dyDescent="0.25">
      <c r="D3147"/>
    </row>
    <row r="3148" spans="4:4" x14ac:dyDescent="0.25">
      <c r="D3148"/>
    </row>
    <row r="3149" spans="4:4" x14ac:dyDescent="0.25">
      <c r="D3149"/>
    </row>
    <row r="3150" spans="4:4" x14ac:dyDescent="0.25">
      <c r="D3150"/>
    </row>
    <row r="3151" spans="4:4" x14ac:dyDescent="0.25">
      <c r="D3151"/>
    </row>
    <row r="3152" spans="4:4" x14ac:dyDescent="0.25">
      <c r="D3152"/>
    </row>
    <row r="3153" spans="4:4" x14ac:dyDescent="0.25">
      <c r="D3153"/>
    </row>
    <row r="3154" spans="4:4" x14ac:dyDescent="0.25">
      <c r="D3154"/>
    </row>
    <row r="3155" spans="4:4" x14ac:dyDescent="0.25">
      <c r="D3155"/>
    </row>
    <row r="3156" spans="4:4" x14ac:dyDescent="0.25">
      <c r="D3156"/>
    </row>
    <row r="3157" spans="4:4" x14ac:dyDescent="0.25">
      <c r="D3157"/>
    </row>
    <row r="3158" spans="4:4" x14ac:dyDescent="0.25">
      <c r="D3158"/>
    </row>
    <row r="3159" spans="4:4" x14ac:dyDescent="0.25">
      <c r="D3159"/>
    </row>
    <row r="3160" spans="4:4" x14ac:dyDescent="0.25">
      <c r="D3160"/>
    </row>
    <row r="3161" spans="4:4" x14ac:dyDescent="0.25">
      <c r="D3161"/>
    </row>
    <row r="3162" spans="4:4" x14ac:dyDescent="0.25">
      <c r="D3162"/>
    </row>
    <row r="3163" spans="4:4" x14ac:dyDescent="0.25">
      <c r="D3163"/>
    </row>
    <row r="3164" spans="4:4" x14ac:dyDescent="0.25">
      <c r="D3164"/>
    </row>
    <row r="3165" spans="4:4" x14ac:dyDescent="0.25">
      <c r="D3165"/>
    </row>
    <row r="3166" spans="4:4" x14ac:dyDescent="0.25">
      <c r="D3166"/>
    </row>
    <row r="3167" spans="4:4" x14ac:dyDescent="0.25">
      <c r="D3167"/>
    </row>
    <row r="3168" spans="4:4" x14ac:dyDescent="0.25">
      <c r="D3168"/>
    </row>
    <row r="3169" spans="4:4" x14ac:dyDescent="0.25">
      <c r="D3169"/>
    </row>
    <row r="3170" spans="4:4" x14ac:dyDescent="0.25">
      <c r="D3170"/>
    </row>
    <row r="3171" spans="4:4" x14ac:dyDescent="0.25">
      <c r="D3171"/>
    </row>
    <row r="3172" spans="4:4" x14ac:dyDescent="0.25">
      <c r="D3172"/>
    </row>
    <row r="3173" spans="4:4" x14ac:dyDescent="0.25">
      <c r="D3173"/>
    </row>
    <row r="3174" spans="4:4" x14ac:dyDescent="0.25">
      <c r="D3174"/>
    </row>
    <row r="3175" spans="4:4" x14ac:dyDescent="0.25">
      <c r="D3175"/>
    </row>
    <row r="3176" spans="4:4" x14ac:dyDescent="0.25">
      <c r="D3176"/>
    </row>
    <row r="3177" spans="4:4" x14ac:dyDescent="0.25">
      <c r="D3177"/>
    </row>
    <row r="3178" spans="4:4" x14ac:dyDescent="0.25">
      <c r="D3178"/>
    </row>
    <row r="3179" spans="4:4" x14ac:dyDescent="0.25">
      <c r="D3179"/>
    </row>
    <row r="3180" spans="4:4" x14ac:dyDescent="0.25">
      <c r="D3180"/>
    </row>
    <row r="3181" spans="4:4" x14ac:dyDescent="0.25">
      <c r="D3181"/>
    </row>
    <row r="3182" spans="4:4" x14ac:dyDescent="0.25">
      <c r="D3182"/>
    </row>
    <row r="3183" spans="4:4" x14ac:dyDescent="0.25">
      <c r="D3183"/>
    </row>
    <row r="3184" spans="4:4" x14ac:dyDescent="0.25">
      <c r="D3184"/>
    </row>
    <row r="3185" spans="4:4" x14ac:dyDescent="0.25">
      <c r="D3185"/>
    </row>
    <row r="3186" spans="4:4" x14ac:dyDescent="0.25">
      <c r="D3186"/>
    </row>
    <row r="3187" spans="4:4" x14ac:dyDescent="0.25">
      <c r="D3187"/>
    </row>
    <row r="3188" spans="4:4" x14ac:dyDescent="0.25">
      <c r="D3188"/>
    </row>
    <row r="3189" spans="4:4" x14ac:dyDescent="0.25">
      <c r="D3189"/>
    </row>
    <row r="3190" spans="4:4" x14ac:dyDescent="0.25">
      <c r="D3190"/>
    </row>
    <row r="3191" spans="4:4" x14ac:dyDescent="0.25">
      <c r="D3191"/>
    </row>
    <row r="3192" spans="4:4" x14ac:dyDescent="0.25">
      <c r="D3192"/>
    </row>
    <row r="3193" spans="4:4" x14ac:dyDescent="0.25">
      <c r="D3193"/>
    </row>
    <row r="3194" spans="4:4" x14ac:dyDescent="0.25">
      <c r="D3194"/>
    </row>
    <row r="3195" spans="4:4" x14ac:dyDescent="0.25">
      <c r="D3195"/>
    </row>
    <row r="3196" spans="4:4" x14ac:dyDescent="0.25">
      <c r="D3196"/>
    </row>
    <row r="3197" spans="4:4" x14ac:dyDescent="0.25">
      <c r="D3197"/>
    </row>
    <row r="3198" spans="4:4" x14ac:dyDescent="0.25">
      <c r="D3198"/>
    </row>
    <row r="3199" spans="4:4" x14ac:dyDescent="0.25">
      <c r="D3199"/>
    </row>
    <row r="3200" spans="4:4" x14ac:dyDescent="0.25">
      <c r="D3200"/>
    </row>
    <row r="3201" spans="4:4" x14ac:dyDescent="0.25">
      <c r="D3201"/>
    </row>
    <row r="3202" spans="4:4" x14ac:dyDescent="0.25">
      <c r="D3202"/>
    </row>
    <row r="3203" spans="4:4" x14ac:dyDescent="0.25">
      <c r="D3203"/>
    </row>
    <row r="3204" spans="4:4" x14ac:dyDescent="0.25">
      <c r="D3204"/>
    </row>
    <row r="3205" spans="4:4" x14ac:dyDescent="0.25">
      <c r="D3205"/>
    </row>
    <row r="3206" spans="4:4" x14ac:dyDescent="0.25">
      <c r="D3206"/>
    </row>
    <row r="3207" spans="4:4" x14ac:dyDescent="0.25">
      <c r="D3207"/>
    </row>
    <row r="3208" spans="4:4" x14ac:dyDescent="0.25">
      <c r="D3208"/>
    </row>
    <row r="3209" spans="4:4" x14ac:dyDescent="0.25">
      <c r="D3209"/>
    </row>
    <row r="3210" spans="4:4" x14ac:dyDescent="0.25">
      <c r="D3210"/>
    </row>
    <row r="3211" spans="4:4" x14ac:dyDescent="0.25">
      <c r="D3211"/>
    </row>
    <row r="3212" spans="4:4" x14ac:dyDescent="0.25">
      <c r="D3212"/>
    </row>
    <row r="3213" spans="4:4" x14ac:dyDescent="0.25">
      <c r="D3213"/>
    </row>
    <row r="3214" spans="4:4" x14ac:dyDescent="0.25">
      <c r="D3214"/>
    </row>
    <row r="3215" spans="4:4" x14ac:dyDescent="0.25">
      <c r="D3215"/>
    </row>
    <row r="3216" spans="4:4" x14ac:dyDescent="0.25">
      <c r="D3216"/>
    </row>
    <row r="3217" spans="4:4" x14ac:dyDescent="0.25">
      <c r="D3217"/>
    </row>
    <row r="3218" spans="4:4" x14ac:dyDescent="0.25">
      <c r="D3218"/>
    </row>
    <row r="3219" spans="4:4" x14ac:dyDescent="0.25">
      <c r="D3219"/>
    </row>
    <row r="3220" spans="4:4" x14ac:dyDescent="0.25">
      <c r="D3220"/>
    </row>
    <row r="3221" spans="4:4" x14ac:dyDescent="0.25">
      <c r="D3221"/>
    </row>
    <row r="3222" spans="4:4" x14ac:dyDescent="0.25">
      <c r="D3222"/>
    </row>
    <row r="3223" spans="4:4" x14ac:dyDescent="0.25">
      <c r="D3223"/>
    </row>
    <row r="3224" spans="4:4" x14ac:dyDescent="0.25">
      <c r="D3224"/>
    </row>
    <row r="3225" spans="4:4" x14ac:dyDescent="0.25">
      <c r="D3225"/>
    </row>
    <row r="3226" spans="4:4" x14ac:dyDescent="0.25">
      <c r="D3226"/>
    </row>
    <row r="3227" spans="4:4" x14ac:dyDescent="0.25">
      <c r="D3227"/>
    </row>
    <row r="3228" spans="4:4" x14ac:dyDescent="0.25">
      <c r="D3228"/>
    </row>
    <row r="3229" spans="4:4" x14ac:dyDescent="0.25">
      <c r="D3229"/>
    </row>
    <row r="3230" spans="4:4" x14ac:dyDescent="0.25">
      <c r="D3230"/>
    </row>
    <row r="3231" spans="4:4" x14ac:dyDescent="0.25">
      <c r="D3231"/>
    </row>
    <row r="3232" spans="4:4" x14ac:dyDescent="0.25">
      <c r="D3232"/>
    </row>
    <row r="3233" spans="4:4" x14ac:dyDescent="0.25">
      <c r="D3233"/>
    </row>
    <row r="3234" spans="4:4" x14ac:dyDescent="0.25">
      <c r="D3234"/>
    </row>
    <row r="3235" spans="4:4" x14ac:dyDescent="0.25">
      <c r="D3235"/>
    </row>
    <row r="3236" spans="4:4" x14ac:dyDescent="0.25">
      <c r="D3236"/>
    </row>
    <row r="3237" spans="4:4" x14ac:dyDescent="0.25">
      <c r="D3237"/>
    </row>
    <row r="3238" spans="4:4" x14ac:dyDescent="0.25">
      <c r="D3238"/>
    </row>
    <row r="3239" spans="4:4" x14ac:dyDescent="0.25">
      <c r="D3239"/>
    </row>
    <row r="3240" spans="4:4" x14ac:dyDescent="0.25">
      <c r="D3240"/>
    </row>
    <row r="3241" spans="4:4" x14ac:dyDescent="0.25">
      <c r="D3241"/>
    </row>
    <row r="3242" spans="4:4" x14ac:dyDescent="0.25">
      <c r="D3242"/>
    </row>
    <row r="3243" spans="4:4" x14ac:dyDescent="0.25">
      <c r="D3243"/>
    </row>
    <row r="3244" spans="4:4" x14ac:dyDescent="0.25">
      <c r="D3244"/>
    </row>
    <row r="3245" spans="4:4" x14ac:dyDescent="0.25">
      <c r="D3245"/>
    </row>
    <row r="3246" spans="4:4" x14ac:dyDescent="0.25">
      <c r="D3246"/>
    </row>
    <row r="3247" spans="4:4" x14ac:dyDescent="0.25">
      <c r="D3247"/>
    </row>
    <row r="3248" spans="4:4" x14ac:dyDescent="0.25">
      <c r="D3248"/>
    </row>
    <row r="3249" spans="4:4" x14ac:dyDescent="0.25">
      <c r="D3249"/>
    </row>
    <row r="3250" spans="4:4" x14ac:dyDescent="0.25">
      <c r="D3250"/>
    </row>
    <row r="3251" spans="4:4" x14ac:dyDescent="0.25">
      <c r="D3251"/>
    </row>
    <row r="3252" spans="4:4" x14ac:dyDescent="0.25">
      <c r="D3252"/>
    </row>
    <row r="3253" spans="4:4" x14ac:dyDescent="0.25">
      <c r="D3253"/>
    </row>
    <row r="3254" spans="4:4" x14ac:dyDescent="0.25">
      <c r="D3254"/>
    </row>
    <row r="3255" spans="4:4" x14ac:dyDescent="0.25">
      <c r="D3255"/>
    </row>
    <row r="3256" spans="4:4" x14ac:dyDescent="0.25">
      <c r="D3256"/>
    </row>
    <row r="3257" spans="4:4" x14ac:dyDescent="0.25">
      <c r="D3257"/>
    </row>
    <row r="3258" spans="4:4" x14ac:dyDescent="0.25">
      <c r="D3258"/>
    </row>
    <row r="3259" spans="4:4" x14ac:dyDescent="0.25">
      <c r="D3259"/>
    </row>
    <row r="3260" spans="4:4" x14ac:dyDescent="0.25">
      <c r="D3260"/>
    </row>
    <row r="3261" spans="4:4" x14ac:dyDescent="0.25">
      <c r="D3261"/>
    </row>
    <row r="3262" spans="4:4" x14ac:dyDescent="0.25">
      <c r="D3262"/>
    </row>
    <row r="3263" spans="4:4" x14ac:dyDescent="0.25">
      <c r="D3263"/>
    </row>
    <row r="3264" spans="4:4" x14ac:dyDescent="0.25">
      <c r="D3264"/>
    </row>
    <row r="3265" spans="4:4" x14ac:dyDescent="0.25">
      <c r="D3265"/>
    </row>
    <row r="3266" spans="4:4" x14ac:dyDescent="0.25">
      <c r="D3266"/>
    </row>
    <row r="3267" spans="4:4" x14ac:dyDescent="0.25">
      <c r="D3267"/>
    </row>
    <row r="3268" spans="4:4" x14ac:dyDescent="0.25">
      <c r="D3268"/>
    </row>
    <row r="3269" spans="4:4" x14ac:dyDescent="0.25">
      <c r="D3269"/>
    </row>
    <row r="3270" spans="4:4" x14ac:dyDescent="0.25">
      <c r="D3270"/>
    </row>
    <row r="3271" spans="4:4" x14ac:dyDescent="0.25">
      <c r="D3271"/>
    </row>
    <row r="3272" spans="4:4" x14ac:dyDescent="0.25">
      <c r="D3272"/>
    </row>
    <row r="3273" spans="4:4" x14ac:dyDescent="0.25">
      <c r="D3273"/>
    </row>
    <row r="3274" spans="4:4" x14ac:dyDescent="0.25">
      <c r="D3274"/>
    </row>
    <row r="3275" spans="4:4" x14ac:dyDescent="0.25">
      <c r="D3275"/>
    </row>
    <row r="3276" spans="4:4" x14ac:dyDescent="0.25">
      <c r="D3276"/>
    </row>
    <row r="3277" spans="4:4" x14ac:dyDescent="0.25">
      <c r="D3277"/>
    </row>
    <row r="3278" spans="4:4" x14ac:dyDescent="0.25">
      <c r="D3278"/>
    </row>
    <row r="3279" spans="4:4" x14ac:dyDescent="0.25">
      <c r="D3279"/>
    </row>
    <row r="3280" spans="4:4" x14ac:dyDescent="0.25">
      <c r="D3280"/>
    </row>
    <row r="3281" spans="4:4" x14ac:dyDescent="0.25">
      <c r="D3281"/>
    </row>
    <row r="3282" spans="4:4" x14ac:dyDescent="0.25">
      <c r="D3282"/>
    </row>
    <row r="3283" spans="4:4" x14ac:dyDescent="0.25">
      <c r="D3283"/>
    </row>
    <row r="3284" spans="4:4" x14ac:dyDescent="0.25">
      <c r="D3284"/>
    </row>
    <row r="3285" spans="4:4" x14ac:dyDescent="0.25">
      <c r="D3285"/>
    </row>
    <row r="3286" spans="4:4" x14ac:dyDescent="0.25">
      <c r="D3286"/>
    </row>
    <row r="3287" spans="4:4" x14ac:dyDescent="0.25">
      <c r="D3287"/>
    </row>
    <row r="3288" spans="4:4" x14ac:dyDescent="0.25">
      <c r="D3288"/>
    </row>
    <row r="3289" spans="4:4" x14ac:dyDescent="0.25">
      <c r="D3289"/>
    </row>
    <row r="3290" spans="4:4" x14ac:dyDescent="0.25">
      <c r="D3290"/>
    </row>
    <row r="3291" spans="4:4" x14ac:dyDescent="0.25">
      <c r="D3291"/>
    </row>
    <row r="3292" spans="4:4" x14ac:dyDescent="0.25">
      <c r="D3292"/>
    </row>
    <row r="3293" spans="4:4" x14ac:dyDescent="0.25">
      <c r="D3293"/>
    </row>
    <row r="3294" spans="4:4" x14ac:dyDescent="0.25">
      <c r="D3294"/>
    </row>
    <row r="3295" spans="4:4" x14ac:dyDescent="0.25">
      <c r="D3295"/>
    </row>
    <row r="3296" spans="4:4" x14ac:dyDescent="0.25">
      <c r="D3296"/>
    </row>
    <row r="3297" spans="4:4" x14ac:dyDescent="0.25">
      <c r="D3297"/>
    </row>
    <row r="3298" spans="4:4" x14ac:dyDescent="0.25">
      <c r="D3298"/>
    </row>
    <row r="3299" spans="4:4" x14ac:dyDescent="0.25">
      <c r="D3299"/>
    </row>
    <row r="3300" spans="4:4" x14ac:dyDescent="0.25">
      <c r="D3300"/>
    </row>
    <row r="3301" spans="4:4" x14ac:dyDescent="0.25">
      <c r="D3301"/>
    </row>
    <row r="3302" spans="4:4" x14ac:dyDescent="0.25">
      <c r="D3302"/>
    </row>
    <row r="3303" spans="4:4" x14ac:dyDescent="0.25">
      <c r="D3303"/>
    </row>
    <row r="3304" spans="4:4" x14ac:dyDescent="0.25">
      <c r="D3304"/>
    </row>
    <row r="3305" spans="4:4" x14ac:dyDescent="0.25">
      <c r="D3305"/>
    </row>
    <row r="3306" spans="4:4" x14ac:dyDescent="0.25">
      <c r="D3306"/>
    </row>
    <row r="3307" spans="4:4" x14ac:dyDescent="0.25">
      <c r="D3307"/>
    </row>
    <row r="3308" spans="4:4" x14ac:dyDescent="0.25">
      <c r="D3308"/>
    </row>
    <row r="3309" spans="4:4" x14ac:dyDescent="0.25">
      <c r="D3309"/>
    </row>
    <row r="3310" spans="4:4" x14ac:dyDescent="0.25">
      <c r="D3310"/>
    </row>
    <row r="3311" spans="4:4" x14ac:dyDescent="0.25">
      <c r="D3311"/>
    </row>
    <row r="3312" spans="4:4" x14ac:dyDescent="0.25">
      <c r="D3312"/>
    </row>
    <row r="3313" spans="4:4" x14ac:dyDescent="0.25">
      <c r="D3313"/>
    </row>
    <row r="3314" spans="4:4" x14ac:dyDescent="0.25">
      <c r="D3314"/>
    </row>
    <row r="3315" spans="4:4" x14ac:dyDescent="0.25">
      <c r="D3315"/>
    </row>
    <row r="3316" spans="4:4" x14ac:dyDescent="0.25">
      <c r="D3316"/>
    </row>
    <row r="3317" spans="4:4" x14ac:dyDescent="0.25">
      <c r="D3317"/>
    </row>
    <row r="3318" spans="4:4" x14ac:dyDescent="0.25">
      <c r="D3318"/>
    </row>
    <row r="3319" spans="4:4" x14ac:dyDescent="0.25">
      <c r="D3319"/>
    </row>
    <row r="3320" spans="4:4" x14ac:dyDescent="0.25">
      <c r="D3320"/>
    </row>
    <row r="3321" spans="4:4" x14ac:dyDescent="0.25">
      <c r="D3321"/>
    </row>
    <row r="3322" spans="4:4" x14ac:dyDescent="0.25">
      <c r="D3322"/>
    </row>
    <row r="3323" spans="4:4" x14ac:dyDescent="0.25">
      <c r="D3323"/>
    </row>
    <row r="3324" spans="4:4" x14ac:dyDescent="0.25">
      <c r="D3324"/>
    </row>
    <row r="3325" spans="4:4" x14ac:dyDescent="0.25">
      <c r="D3325"/>
    </row>
    <row r="3326" spans="4:4" x14ac:dyDescent="0.25">
      <c r="D3326"/>
    </row>
    <row r="3327" spans="4:4" x14ac:dyDescent="0.25">
      <c r="D3327"/>
    </row>
    <row r="3328" spans="4:4" x14ac:dyDescent="0.25">
      <c r="D3328"/>
    </row>
    <row r="3329" spans="4:4" x14ac:dyDescent="0.25">
      <c r="D3329"/>
    </row>
    <row r="3330" spans="4:4" x14ac:dyDescent="0.25">
      <c r="D3330"/>
    </row>
    <row r="3331" spans="4:4" x14ac:dyDescent="0.25">
      <c r="D3331"/>
    </row>
    <row r="3332" spans="4:4" x14ac:dyDescent="0.25">
      <c r="D3332"/>
    </row>
    <row r="3333" spans="4:4" x14ac:dyDescent="0.25">
      <c r="D3333"/>
    </row>
    <row r="3334" spans="4:4" x14ac:dyDescent="0.25">
      <c r="D3334"/>
    </row>
    <row r="3335" spans="4:4" x14ac:dyDescent="0.25">
      <c r="D3335"/>
    </row>
    <row r="3336" spans="4:4" x14ac:dyDescent="0.25">
      <c r="D3336"/>
    </row>
    <row r="3337" spans="4:4" x14ac:dyDescent="0.25">
      <c r="D3337"/>
    </row>
    <row r="3338" spans="4:4" x14ac:dyDescent="0.25">
      <c r="D3338"/>
    </row>
    <row r="3339" spans="4:4" x14ac:dyDescent="0.25">
      <c r="D3339"/>
    </row>
    <row r="3340" spans="4:4" x14ac:dyDescent="0.25">
      <c r="D3340"/>
    </row>
    <row r="3341" spans="4:4" x14ac:dyDescent="0.25">
      <c r="D3341"/>
    </row>
    <row r="3342" spans="4:4" x14ac:dyDescent="0.25">
      <c r="D3342"/>
    </row>
    <row r="3343" spans="4:4" x14ac:dyDescent="0.25">
      <c r="D3343"/>
    </row>
    <row r="3344" spans="4:4" x14ac:dyDescent="0.25">
      <c r="D3344"/>
    </row>
    <row r="3345" spans="4:4" x14ac:dyDescent="0.25">
      <c r="D3345"/>
    </row>
    <row r="3346" spans="4:4" x14ac:dyDescent="0.25">
      <c r="D3346"/>
    </row>
    <row r="3347" spans="4:4" x14ac:dyDescent="0.25">
      <c r="D3347"/>
    </row>
    <row r="3348" spans="4:4" x14ac:dyDescent="0.25">
      <c r="D3348"/>
    </row>
    <row r="3349" spans="4:4" x14ac:dyDescent="0.25">
      <c r="D3349"/>
    </row>
    <row r="3350" spans="4:4" x14ac:dyDescent="0.25">
      <c r="D3350"/>
    </row>
    <row r="3351" spans="4:4" x14ac:dyDescent="0.25">
      <c r="D3351"/>
    </row>
    <row r="3352" spans="4:4" x14ac:dyDescent="0.25">
      <c r="D3352"/>
    </row>
    <row r="3353" spans="4:4" x14ac:dyDescent="0.25">
      <c r="D3353"/>
    </row>
    <row r="3354" spans="4:4" x14ac:dyDescent="0.25">
      <c r="D3354"/>
    </row>
    <row r="3355" spans="4:4" x14ac:dyDescent="0.25">
      <c r="D3355"/>
    </row>
    <row r="3356" spans="4:4" x14ac:dyDescent="0.25">
      <c r="D3356"/>
    </row>
    <row r="3357" spans="4:4" x14ac:dyDescent="0.25">
      <c r="D3357"/>
    </row>
    <row r="3358" spans="4:4" x14ac:dyDescent="0.25">
      <c r="D3358"/>
    </row>
    <row r="3359" spans="4:4" x14ac:dyDescent="0.25">
      <c r="D3359"/>
    </row>
    <row r="3360" spans="4:4" x14ac:dyDescent="0.25">
      <c r="D3360"/>
    </row>
    <row r="3361" spans="4:4" x14ac:dyDescent="0.25">
      <c r="D3361"/>
    </row>
    <row r="3362" spans="4:4" x14ac:dyDescent="0.25">
      <c r="D3362"/>
    </row>
    <row r="3363" spans="4:4" x14ac:dyDescent="0.25">
      <c r="D3363"/>
    </row>
    <row r="3364" spans="4:4" x14ac:dyDescent="0.25">
      <c r="D3364"/>
    </row>
    <row r="3365" spans="4:4" x14ac:dyDescent="0.25">
      <c r="D3365"/>
    </row>
    <row r="3366" spans="4:4" x14ac:dyDescent="0.25">
      <c r="D3366"/>
    </row>
    <row r="3367" spans="4:4" x14ac:dyDescent="0.25">
      <c r="D3367"/>
    </row>
    <row r="3368" spans="4:4" x14ac:dyDescent="0.25">
      <c r="D3368"/>
    </row>
    <row r="3369" spans="4:4" x14ac:dyDescent="0.25">
      <c r="D3369"/>
    </row>
    <row r="3370" spans="4:4" x14ac:dyDescent="0.25">
      <c r="D3370"/>
    </row>
    <row r="3371" spans="4:4" x14ac:dyDescent="0.25">
      <c r="D3371"/>
    </row>
    <row r="3372" spans="4:4" x14ac:dyDescent="0.25">
      <c r="D3372"/>
    </row>
    <row r="3373" spans="4:4" x14ac:dyDescent="0.25">
      <c r="D3373"/>
    </row>
    <row r="3374" spans="4:4" x14ac:dyDescent="0.25">
      <c r="D3374"/>
    </row>
    <row r="3375" spans="4:4" x14ac:dyDescent="0.25">
      <c r="D3375"/>
    </row>
    <row r="3376" spans="4:4" x14ac:dyDescent="0.25">
      <c r="D3376"/>
    </row>
    <row r="3377" spans="4:4" x14ac:dyDescent="0.25">
      <c r="D3377"/>
    </row>
    <row r="3378" spans="4:4" x14ac:dyDescent="0.25">
      <c r="D3378"/>
    </row>
    <row r="3379" spans="4:4" x14ac:dyDescent="0.25">
      <c r="D3379"/>
    </row>
    <row r="3380" spans="4:4" x14ac:dyDescent="0.25">
      <c r="D3380"/>
    </row>
    <row r="3381" spans="4:4" x14ac:dyDescent="0.25">
      <c r="D3381"/>
    </row>
    <row r="3382" spans="4:4" x14ac:dyDescent="0.25">
      <c r="D3382"/>
    </row>
    <row r="3383" spans="4:4" x14ac:dyDescent="0.25">
      <c r="D3383"/>
    </row>
    <row r="3384" spans="4:4" x14ac:dyDescent="0.25">
      <c r="D3384"/>
    </row>
    <row r="3385" spans="4:4" x14ac:dyDescent="0.25">
      <c r="D3385"/>
    </row>
    <row r="3386" spans="4:4" x14ac:dyDescent="0.25">
      <c r="D3386"/>
    </row>
    <row r="3387" spans="4:4" x14ac:dyDescent="0.25">
      <c r="D3387"/>
    </row>
    <row r="3388" spans="4:4" x14ac:dyDescent="0.25">
      <c r="D3388"/>
    </row>
    <row r="3389" spans="4:4" x14ac:dyDescent="0.25">
      <c r="D3389"/>
    </row>
    <row r="3390" spans="4:4" x14ac:dyDescent="0.25">
      <c r="D3390"/>
    </row>
    <row r="3391" spans="4:4" x14ac:dyDescent="0.25">
      <c r="D3391"/>
    </row>
    <row r="3392" spans="4:4" x14ac:dyDescent="0.25">
      <c r="D3392"/>
    </row>
    <row r="3393" spans="4:4" x14ac:dyDescent="0.25">
      <c r="D3393"/>
    </row>
    <row r="3394" spans="4:4" x14ac:dyDescent="0.25">
      <c r="D3394"/>
    </row>
    <row r="3395" spans="4:4" x14ac:dyDescent="0.25">
      <c r="D3395"/>
    </row>
    <row r="3396" spans="4:4" x14ac:dyDescent="0.25">
      <c r="D3396"/>
    </row>
    <row r="3397" spans="4:4" x14ac:dyDescent="0.25">
      <c r="D3397"/>
    </row>
    <row r="3398" spans="4:4" x14ac:dyDescent="0.25">
      <c r="D3398"/>
    </row>
    <row r="3399" spans="4:4" x14ac:dyDescent="0.25">
      <c r="D3399"/>
    </row>
    <row r="3400" spans="4:4" x14ac:dyDescent="0.25">
      <c r="D3400"/>
    </row>
    <row r="3401" spans="4:4" x14ac:dyDescent="0.25">
      <c r="D3401"/>
    </row>
    <row r="3402" spans="4:4" x14ac:dyDescent="0.25">
      <c r="D3402"/>
    </row>
    <row r="3403" spans="4:4" x14ac:dyDescent="0.25">
      <c r="D3403"/>
    </row>
    <row r="3404" spans="4:4" x14ac:dyDescent="0.25">
      <c r="D3404"/>
    </row>
    <row r="3405" spans="4:4" x14ac:dyDescent="0.25">
      <c r="D3405"/>
    </row>
    <row r="3406" spans="4:4" x14ac:dyDescent="0.25">
      <c r="D3406"/>
    </row>
    <row r="3407" spans="4:4" x14ac:dyDescent="0.25">
      <c r="D3407"/>
    </row>
    <row r="3408" spans="4:4" x14ac:dyDescent="0.25">
      <c r="D3408"/>
    </row>
    <row r="3409" spans="4:4" x14ac:dyDescent="0.25">
      <c r="D3409"/>
    </row>
    <row r="3410" spans="4:4" x14ac:dyDescent="0.25">
      <c r="D3410"/>
    </row>
    <row r="3411" spans="4:4" x14ac:dyDescent="0.25">
      <c r="D3411"/>
    </row>
    <row r="3412" spans="4:4" x14ac:dyDescent="0.25">
      <c r="D3412"/>
    </row>
    <row r="3413" spans="4:4" x14ac:dyDescent="0.25">
      <c r="D3413"/>
    </row>
    <row r="3414" spans="4:4" x14ac:dyDescent="0.25">
      <c r="D3414"/>
    </row>
    <row r="3415" spans="4:4" x14ac:dyDescent="0.25">
      <c r="D3415"/>
    </row>
    <row r="3416" spans="4:4" x14ac:dyDescent="0.25">
      <c r="D3416"/>
    </row>
    <row r="3417" spans="4:4" x14ac:dyDescent="0.25">
      <c r="D3417"/>
    </row>
    <row r="3418" spans="4:4" x14ac:dyDescent="0.25">
      <c r="D3418"/>
    </row>
    <row r="3419" spans="4:4" x14ac:dyDescent="0.25">
      <c r="D3419"/>
    </row>
    <row r="3420" spans="4:4" x14ac:dyDescent="0.25">
      <c r="D3420"/>
    </row>
    <row r="3421" spans="4:4" x14ac:dyDescent="0.25">
      <c r="D3421"/>
    </row>
    <row r="3422" spans="4:4" x14ac:dyDescent="0.25">
      <c r="D3422"/>
    </row>
    <row r="3423" spans="4:4" x14ac:dyDescent="0.25">
      <c r="D3423"/>
    </row>
    <row r="3424" spans="4:4" x14ac:dyDescent="0.25">
      <c r="D3424"/>
    </row>
    <row r="3425" spans="4:4" x14ac:dyDescent="0.25">
      <c r="D3425"/>
    </row>
    <row r="3426" spans="4:4" x14ac:dyDescent="0.25">
      <c r="D3426"/>
    </row>
    <row r="3427" spans="4:4" x14ac:dyDescent="0.25">
      <c r="D3427"/>
    </row>
    <row r="3428" spans="4:4" x14ac:dyDescent="0.25">
      <c r="D3428"/>
    </row>
    <row r="3429" spans="4:4" x14ac:dyDescent="0.25">
      <c r="D3429"/>
    </row>
    <row r="3430" spans="4:4" x14ac:dyDescent="0.25">
      <c r="D3430"/>
    </row>
    <row r="3431" spans="4:4" x14ac:dyDescent="0.25">
      <c r="D3431"/>
    </row>
    <row r="3432" spans="4:4" x14ac:dyDescent="0.25">
      <c r="D3432"/>
    </row>
    <row r="3433" spans="4:4" x14ac:dyDescent="0.25">
      <c r="D3433"/>
    </row>
    <row r="3434" spans="4:4" x14ac:dyDescent="0.25">
      <c r="D3434"/>
    </row>
    <row r="3435" spans="4:4" x14ac:dyDescent="0.25">
      <c r="D3435"/>
    </row>
    <row r="3436" spans="4:4" x14ac:dyDescent="0.25">
      <c r="D3436"/>
    </row>
    <row r="3437" spans="4:4" x14ac:dyDescent="0.25">
      <c r="D3437"/>
    </row>
    <row r="3438" spans="4:4" x14ac:dyDescent="0.25">
      <c r="D3438"/>
    </row>
    <row r="3439" spans="4:4" x14ac:dyDescent="0.25">
      <c r="D3439"/>
    </row>
    <row r="3440" spans="4:4" x14ac:dyDescent="0.25">
      <c r="D3440"/>
    </row>
    <row r="3441" spans="4:4" x14ac:dyDescent="0.25">
      <c r="D3441"/>
    </row>
    <row r="3442" spans="4:4" x14ac:dyDescent="0.25">
      <c r="D3442"/>
    </row>
    <row r="3443" spans="4:4" x14ac:dyDescent="0.25">
      <c r="D3443"/>
    </row>
    <row r="3444" spans="4:4" x14ac:dyDescent="0.25">
      <c r="D3444"/>
    </row>
    <row r="3445" spans="4:4" x14ac:dyDescent="0.25">
      <c r="D3445"/>
    </row>
    <row r="3446" spans="4:4" x14ac:dyDescent="0.25">
      <c r="D3446"/>
    </row>
    <row r="3447" spans="4:4" x14ac:dyDescent="0.25">
      <c r="D3447"/>
    </row>
    <row r="3448" spans="4:4" x14ac:dyDescent="0.25">
      <c r="D3448"/>
    </row>
    <row r="3449" spans="4:4" x14ac:dyDescent="0.25">
      <c r="D3449"/>
    </row>
    <row r="3450" spans="4:4" x14ac:dyDescent="0.25">
      <c r="D3450"/>
    </row>
    <row r="3451" spans="4:4" x14ac:dyDescent="0.25">
      <c r="D3451"/>
    </row>
    <row r="3452" spans="4:4" x14ac:dyDescent="0.25">
      <c r="D3452"/>
    </row>
    <row r="3453" spans="4:4" x14ac:dyDescent="0.25">
      <c r="D3453"/>
    </row>
    <row r="3454" spans="4:4" x14ac:dyDescent="0.25">
      <c r="D3454"/>
    </row>
    <row r="3455" spans="4:4" x14ac:dyDescent="0.25">
      <c r="D3455"/>
    </row>
    <row r="3456" spans="4:4" x14ac:dyDescent="0.25">
      <c r="D3456"/>
    </row>
    <row r="3457" spans="4:4" x14ac:dyDescent="0.25">
      <c r="D3457"/>
    </row>
    <row r="3458" spans="4:4" x14ac:dyDescent="0.25">
      <c r="D3458"/>
    </row>
    <row r="3459" spans="4:4" x14ac:dyDescent="0.25">
      <c r="D3459"/>
    </row>
    <row r="3460" spans="4:4" x14ac:dyDescent="0.25">
      <c r="D3460"/>
    </row>
    <row r="3461" spans="4:4" x14ac:dyDescent="0.25">
      <c r="D3461"/>
    </row>
    <row r="3462" spans="4:4" x14ac:dyDescent="0.25">
      <c r="D3462"/>
    </row>
    <row r="3463" spans="4:4" x14ac:dyDescent="0.25">
      <c r="D3463"/>
    </row>
    <row r="3464" spans="4:4" x14ac:dyDescent="0.25">
      <c r="D3464"/>
    </row>
    <row r="3465" spans="4:4" x14ac:dyDescent="0.25">
      <c r="D3465"/>
    </row>
    <row r="3466" spans="4:4" x14ac:dyDescent="0.25">
      <c r="D3466"/>
    </row>
    <row r="3467" spans="4:4" x14ac:dyDescent="0.25">
      <c r="D3467"/>
    </row>
    <row r="3468" spans="4:4" x14ac:dyDescent="0.25">
      <c r="D3468"/>
    </row>
    <row r="3469" spans="4:4" x14ac:dyDescent="0.25">
      <c r="D3469"/>
    </row>
    <row r="3470" spans="4:4" x14ac:dyDescent="0.25">
      <c r="D3470"/>
    </row>
    <row r="3471" spans="4:4" x14ac:dyDescent="0.25">
      <c r="D3471"/>
    </row>
    <row r="3472" spans="4:4" x14ac:dyDescent="0.25">
      <c r="D3472"/>
    </row>
    <row r="3473" spans="4:4" x14ac:dyDescent="0.25">
      <c r="D3473"/>
    </row>
    <row r="3474" spans="4:4" x14ac:dyDescent="0.25">
      <c r="D3474"/>
    </row>
    <row r="3475" spans="4:4" x14ac:dyDescent="0.25">
      <c r="D3475"/>
    </row>
    <row r="3476" spans="4:4" x14ac:dyDescent="0.25">
      <c r="D3476"/>
    </row>
    <row r="3477" spans="4:4" x14ac:dyDescent="0.25">
      <c r="D3477"/>
    </row>
    <row r="3478" spans="4:4" x14ac:dyDescent="0.25">
      <c r="D3478"/>
    </row>
    <row r="3479" spans="4:4" x14ac:dyDescent="0.25">
      <c r="D3479"/>
    </row>
    <row r="3480" spans="4:4" x14ac:dyDescent="0.25">
      <c r="D3480"/>
    </row>
    <row r="3481" spans="4:4" x14ac:dyDescent="0.25">
      <c r="D3481"/>
    </row>
    <row r="3482" spans="4:4" x14ac:dyDescent="0.25">
      <c r="D3482"/>
    </row>
    <row r="3483" spans="4:4" x14ac:dyDescent="0.25">
      <c r="D3483"/>
    </row>
    <row r="3484" spans="4:4" x14ac:dyDescent="0.25">
      <c r="D3484"/>
    </row>
    <row r="3485" spans="4:4" x14ac:dyDescent="0.25">
      <c r="D3485"/>
    </row>
    <row r="3486" spans="4:4" x14ac:dyDescent="0.25">
      <c r="D3486"/>
    </row>
    <row r="3487" spans="4:4" x14ac:dyDescent="0.25">
      <c r="D3487"/>
    </row>
    <row r="3488" spans="4:4" x14ac:dyDescent="0.25">
      <c r="D3488"/>
    </row>
    <row r="3489" spans="4:4" x14ac:dyDescent="0.25">
      <c r="D3489"/>
    </row>
    <row r="3490" spans="4:4" x14ac:dyDescent="0.25">
      <c r="D3490"/>
    </row>
    <row r="3491" spans="4:4" x14ac:dyDescent="0.25">
      <c r="D3491"/>
    </row>
    <row r="3492" spans="4:4" x14ac:dyDescent="0.25">
      <c r="D3492"/>
    </row>
    <row r="3493" spans="4:4" x14ac:dyDescent="0.25">
      <c r="D3493"/>
    </row>
    <row r="3494" spans="4:4" x14ac:dyDescent="0.25">
      <c r="D3494"/>
    </row>
    <row r="3495" spans="4:4" x14ac:dyDescent="0.25">
      <c r="D3495"/>
    </row>
    <row r="3496" spans="4:4" x14ac:dyDescent="0.25">
      <c r="D3496"/>
    </row>
    <row r="3497" spans="4:4" x14ac:dyDescent="0.25">
      <c r="D3497"/>
    </row>
    <row r="3498" spans="4:4" x14ac:dyDescent="0.25">
      <c r="D3498"/>
    </row>
    <row r="3499" spans="4:4" x14ac:dyDescent="0.25">
      <c r="D3499"/>
    </row>
    <row r="3500" spans="4:4" x14ac:dyDescent="0.25">
      <c r="D3500"/>
    </row>
    <row r="3501" spans="4:4" x14ac:dyDescent="0.25">
      <c r="D3501"/>
    </row>
    <row r="3502" spans="4:4" x14ac:dyDescent="0.25">
      <c r="D3502"/>
    </row>
    <row r="3503" spans="4:4" x14ac:dyDescent="0.25">
      <c r="D3503"/>
    </row>
    <row r="3504" spans="4:4" x14ac:dyDescent="0.25">
      <c r="D3504"/>
    </row>
    <row r="3505" spans="4:4" x14ac:dyDescent="0.25">
      <c r="D3505"/>
    </row>
    <row r="3506" spans="4:4" x14ac:dyDescent="0.25">
      <c r="D3506"/>
    </row>
    <row r="3507" spans="4:4" x14ac:dyDescent="0.25">
      <c r="D3507"/>
    </row>
    <row r="3508" spans="4:4" x14ac:dyDescent="0.25">
      <c r="D3508"/>
    </row>
    <row r="3509" spans="4:4" x14ac:dyDescent="0.25">
      <c r="D3509"/>
    </row>
    <row r="3510" spans="4:4" x14ac:dyDescent="0.25">
      <c r="D3510"/>
    </row>
    <row r="3511" spans="4:4" x14ac:dyDescent="0.25">
      <c r="D3511"/>
    </row>
    <row r="3512" spans="4:4" x14ac:dyDescent="0.25">
      <c r="D3512"/>
    </row>
    <row r="3513" spans="4:4" x14ac:dyDescent="0.25">
      <c r="D3513"/>
    </row>
    <row r="3514" spans="4:4" x14ac:dyDescent="0.25">
      <c r="D3514"/>
    </row>
    <row r="3515" spans="4:4" x14ac:dyDescent="0.25">
      <c r="D3515"/>
    </row>
    <row r="3516" spans="4:4" x14ac:dyDescent="0.25">
      <c r="D3516"/>
    </row>
    <row r="3517" spans="4:4" x14ac:dyDescent="0.25">
      <c r="D3517"/>
    </row>
    <row r="3518" spans="4:4" x14ac:dyDescent="0.25">
      <c r="D3518"/>
    </row>
    <row r="3519" spans="4:4" x14ac:dyDescent="0.25">
      <c r="D3519"/>
    </row>
    <row r="3520" spans="4:4" x14ac:dyDescent="0.25">
      <c r="D3520"/>
    </row>
    <row r="3521" spans="4:4" x14ac:dyDescent="0.25">
      <c r="D3521"/>
    </row>
    <row r="3522" spans="4:4" x14ac:dyDescent="0.25">
      <c r="D3522"/>
    </row>
    <row r="3523" spans="4:4" x14ac:dyDescent="0.25">
      <c r="D3523"/>
    </row>
    <row r="3524" spans="4:4" x14ac:dyDescent="0.25">
      <c r="D3524"/>
    </row>
    <row r="3525" spans="4:4" x14ac:dyDescent="0.25">
      <c r="D3525"/>
    </row>
    <row r="3526" spans="4:4" x14ac:dyDescent="0.25">
      <c r="D3526"/>
    </row>
    <row r="3527" spans="4:4" x14ac:dyDescent="0.25">
      <c r="D3527"/>
    </row>
    <row r="3528" spans="4:4" x14ac:dyDescent="0.25">
      <c r="D3528"/>
    </row>
    <row r="3529" spans="4:4" x14ac:dyDescent="0.25">
      <c r="D3529"/>
    </row>
    <row r="3530" spans="4:4" x14ac:dyDescent="0.25">
      <c r="D3530"/>
    </row>
    <row r="3531" spans="4:4" x14ac:dyDescent="0.25">
      <c r="D3531"/>
    </row>
    <row r="3532" spans="4:4" x14ac:dyDescent="0.25">
      <c r="D3532"/>
    </row>
    <row r="3533" spans="4:4" x14ac:dyDescent="0.25">
      <c r="D3533"/>
    </row>
    <row r="3534" spans="4:4" x14ac:dyDescent="0.25">
      <c r="D3534"/>
    </row>
    <row r="3535" spans="4:4" x14ac:dyDescent="0.25">
      <c r="D3535"/>
    </row>
    <row r="3536" spans="4:4" x14ac:dyDescent="0.25">
      <c r="D3536"/>
    </row>
    <row r="3537" spans="4:4" x14ac:dyDescent="0.25">
      <c r="D3537"/>
    </row>
    <row r="3538" spans="4:4" x14ac:dyDescent="0.25">
      <c r="D3538"/>
    </row>
    <row r="3539" spans="4:4" x14ac:dyDescent="0.25">
      <c r="D3539"/>
    </row>
    <row r="3540" spans="4:4" x14ac:dyDescent="0.25">
      <c r="D3540"/>
    </row>
    <row r="3541" spans="4:4" x14ac:dyDescent="0.25">
      <c r="D3541"/>
    </row>
    <row r="3542" spans="4:4" x14ac:dyDescent="0.25">
      <c r="D3542"/>
    </row>
    <row r="3543" spans="4:4" x14ac:dyDescent="0.25">
      <c r="D3543"/>
    </row>
    <row r="3544" spans="4:4" x14ac:dyDescent="0.25">
      <c r="D3544"/>
    </row>
    <row r="3545" spans="4:4" x14ac:dyDescent="0.25">
      <c r="D3545"/>
    </row>
    <row r="3546" spans="4:4" x14ac:dyDescent="0.25">
      <c r="D3546"/>
    </row>
    <row r="3547" spans="4:4" x14ac:dyDescent="0.25">
      <c r="D3547"/>
    </row>
    <row r="3548" spans="4:4" x14ac:dyDescent="0.25">
      <c r="D3548"/>
    </row>
    <row r="3549" spans="4:4" x14ac:dyDescent="0.25">
      <c r="D3549"/>
    </row>
    <row r="3550" spans="4:4" x14ac:dyDescent="0.25">
      <c r="D3550"/>
    </row>
    <row r="3551" spans="4:4" x14ac:dyDescent="0.25">
      <c r="D3551"/>
    </row>
    <row r="3552" spans="4:4" x14ac:dyDescent="0.25">
      <c r="D3552"/>
    </row>
    <row r="3553" spans="4:4" x14ac:dyDescent="0.25">
      <c r="D3553"/>
    </row>
    <row r="3554" spans="4:4" x14ac:dyDescent="0.25">
      <c r="D3554"/>
    </row>
    <row r="3555" spans="4:4" x14ac:dyDescent="0.25">
      <c r="D3555"/>
    </row>
    <row r="3556" spans="4:4" x14ac:dyDescent="0.25">
      <c r="D3556"/>
    </row>
    <row r="3557" spans="4:4" x14ac:dyDescent="0.25">
      <c r="D3557"/>
    </row>
    <row r="3558" spans="4:4" x14ac:dyDescent="0.25">
      <c r="D3558"/>
    </row>
    <row r="3559" spans="4:4" x14ac:dyDescent="0.25">
      <c r="D3559"/>
    </row>
    <row r="3560" spans="4:4" x14ac:dyDescent="0.25">
      <c r="D3560"/>
    </row>
    <row r="3561" spans="4:4" x14ac:dyDescent="0.25">
      <c r="D3561"/>
    </row>
    <row r="3562" spans="4:4" x14ac:dyDescent="0.25">
      <c r="D3562"/>
    </row>
    <row r="3563" spans="4:4" x14ac:dyDescent="0.25">
      <c r="D3563"/>
    </row>
    <row r="3564" spans="4:4" x14ac:dyDescent="0.25">
      <c r="D3564"/>
    </row>
    <row r="3565" spans="4:4" x14ac:dyDescent="0.25">
      <c r="D3565"/>
    </row>
    <row r="3566" spans="4:4" x14ac:dyDescent="0.25">
      <c r="D3566"/>
    </row>
    <row r="3567" spans="4:4" x14ac:dyDescent="0.25">
      <c r="D3567"/>
    </row>
    <row r="3568" spans="4:4" x14ac:dyDescent="0.25">
      <c r="D3568"/>
    </row>
    <row r="3569" spans="4:4" x14ac:dyDescent="0.25">
      <c r="D3569"/>
    </row>
    <row r="3570" spans="4:4" x14ac:dyDescent="0.25">
      <c r="D3570"/>
    </row>
    <row r="3571" spans="4:4" x14ac:dyDescent="0.25">
      <c r="D3571"/>
    </row>
    <row r="3572" spans="4:4" x14ac:dyDescent="0.25">
      <c r="D3572"/>
    </row>
    <row r="3573" spans="4:4" x14ac:dyDescent="0.25">
      <c r="D3573"/>
    </row>
    <row r="3574" spans="4:4" x14ac:dyDescent="0.25">
      <c r="D3574"/>
    </row>
    <row r="3575" spans="4:4" x14ac:dyDescent="0.25">
      <c r="D3575"/>
    </row>
    <row r="3576" spans="4:4" x14ac:dyDescent="0.25">
      <c r="D3576"/>
    </row>
    <row r="3577" spans="4:4" x14ac:dyDescent="0.25">
      <c r="D3577"/>
    </row>
    <row r="3578" spans="4:4" x14ac:dyDescent="0.25">
      <c r="D3578"/>
    </row>
    <row r="3579" spans="4:4" x14ac:dyDescent="0.25">
      <c r="D3579"/>
    </row>
    <row r="3580" spans="4:4" x14ac:dyDescent="0.25">
      <c r="D3580"/>
    </row>
    <row r="3581" spans="4:4" x14ac:dyDescent="0.25">
      <c r="D3581"/>
    </row>
    <row r="3582" spans="4:4" x14ac:dyDescent="0.25">
      <c r="D3582"/>
    </row>
    <row r="3583" spans="4:4" x14ac:dyDescent="0.25">
      <c r="D3583"/>
    </row>
    <row r="3584" spans="4:4" x14ac:dyDescent="0.25">
      <c r="D3584"/>
    </row>
    <row r="3585" spans="4:4" x14ac:dyDescent="0.25">
      <c r="D3585"/>
    </row>
    <row r="3586" spans="4:4" x14ac:dyDescent="0.25">
      <c r="D3586"/>
    </row>
    <row r="3587" spans="4:4" x14ac:dyDescent="0.25">
      <c r="D3587"/>
    </row>
    <row r="3588" spans="4:4" x14ac:dyDescent="0.25">
      <c r="D3588"/>
    </row>
    <row r="3589" spans="4:4" x14ac:dyDescent="0.25">
      <c r="D3589"/>
    </row>
    <row r="3590" spans="4:4" x14ac:dyDescent="0.25">
      <c r="D3590"/>
    </row>
    <row r="3591" spans="4:4" x14ac:dyDescent="0.25">
      <c r="D3591"/>
    </row>
    <row r="3592" spans="4:4" x14ac:dyDescent="0.25">
      <c r="D3592"/>
    </row>
    <row r="3593" spans="4:4" x14ac:dyDescent="0.25">
      <c r="D3593"/>
    </row>
    <row r="3594" spans="4:4" x14ac:dyDescent="0.25">
      <c r="D3594"/>
    </row>
    <row r="3595" spans="4:4" x14ac:dyDescent="0.25">
      <c r="D3595"/>
    </row>
    <row r="3596" spans="4:4" x14ac:dyDescent="0.25">
      <c r="D3596"/>
    </row>
    <row r="3597" spans="4:4" x14ac:dyDescent="0.25">
      <c r="D3597"/>
    </row>
    <row r="3598" spans="4:4" x14ac:dyDescent="0.25">
      <c r="D3598"/>
    </row>
    <row r="3599" spans="4:4" x14ac:dyDescent="0.25">
      <c r="D3599"/>
    </row>
    <row r="3600" spans="4:4" x14ac:dyDescent="0.25">
      <c r="D3600"/>
    </row>
    <row r="3601" spans="4:4" x14ac:dyDescent="0.25">
      <c r="D3601"/>
    </row>
    <row r="3602" spans="4:4" x14ac:dyDescent="0.25">
      <c r="D3602"/>
    </row>
    <row r="3603" spans="4:4" x14ac:dyDescent="0.25">
      <c r="D3603"/>
    </row>
    <row r="3604" spans="4:4" x14ac:dyDescent="0.25">
      <c r="D3604"/>
    </row>
    <row r="3605" spans="4:4" x14ac:dyDescent="0.25">
      <c r="D3605"/>
    </row>
    <row r="3606" spans="4:4" x14ac:dyDescent="0.25">
      <c r="D3606"/>
    </row>
    <row r="3607" spans="4:4" x14ac:dyDescent="0.25">
      <c r="D3607"/>
    </row>
    <row r="3608" spans="4:4" x14ac:dyDescent="0.25">
      <c r="D3608"/>
    </row>
    <row r="3609" spans="4:4" x14ac:dyDescent="0.25">
      <c r="D3609"/>
    </row>
    <row r="3610" spans="4:4" x14ac:dyDescent="0.25">
      <c r="D3610"/>
    </row>
    <row r="3611" spans="4:4" x14ac:dyDescent="0.25">
      <c r="D3611"/>
    </row>
    <row r="3612" spans="4:4" x14ac:dyDescent="0.25">
      <c r="D3612"/>
    </row>
    <row r="3613" spans="4:4" x14ac:dyDescent="0.25">
      <c r="D3613"/>
    </row>
    <row r="3614" spans="4:4" x14ac:dyDescent="0.25">
      <c r="D3614"/>
    </row>
    <row r="3615" spans="4:4" x14ac:dyDescent="0.25">
      <c r="D3615"/>
    </row>
    <row r="3616" spans="4:4" x14ac:dyDescent="0.25">
      <c r="D3616"/>
    </row>
    <row r="3617" spans="4:4" x14ac:dyDescent="0.25">
      <c r="D3617"/>
    </row>
    <row r="3618" spans="4:4" x14ac:dyDescent="0.25">
      <c r="D3618"/>
    </row>
    <row r="3619" spans="4:4" x14ac:dyDescent="0.25">
      <c r="D3619"/>
    </row>
    <row r="3620" spans="4:4" x14ac:dyDescent="0.25">
      <c r="D3620"/>
    </row>
    <row r="3621" spans="4:4" x14ac:dyDescent="0.25">
      <c r="D3621"/>
    </row>
    <row r="3622" spans="4:4" x14ac:dyDescent="0.25">
      <c r="D3622"/>
    </row>
    <row r="3623" spans="4:4" x14ac:dyDescent="0.25">
      <c r="D3623"/>
    </row>
    <row r="3624" spans="4:4" x14ac:dyDescent="0.25">
      <c r="D3624"/>
    </row>
    <row r="3625" spans="4:4" x14ac:dyDescent="0.25">
      <c r="D3625"/>
    </row>
    <row r="3626" spans="4:4" x14ac:dyDescent="0.25">
      <c r="D3626"/>
    </row>
    <row r="3627" spans="4:4" x14ac:dyDescent="0.25">
      <c r="D3627"/>
    </row>
    <row r="3628" spans="4:4" x14ac:dyDescent="0.25">
      <c r="D3628"/>
    </row>
    <row r="3629" spans="4:4" x14ac:dyDescent="0.25">
      <c r="D3629"/>
    </row>
    <row r="3630" spans="4:4" x14ac:dyDescent="0.25">
      <c r="D3630"/>
    </row>
    <row r="3631" spans="4:4" x14ac:dyDescent="0.25">
      <c r="D3631"/>
    </row>
    <row r="3632" spans="4:4" x14ac:dyDescent="0.25">
      <c r="D3632"/>
    </row>
    <row r="3633" spans="4:4" x14ac:dyDescent="0.25">
      <c r="D3633"/>
    </row>
    <row r="3634" spans="4:4" x14ac:dyDescent="0.25">
      <c r="D3634"/>
    </row>
    <row r="3635" spans="4:4" x14ac:dyDescent="0.25">
      <c r="D3635"/>
    </row>
    <row r="3636" spans="4:4" x14ac:dyDescent="0.25">
      <c r="D3636"/>
    </row>
    <row r="3637" spans="4:4" x14ac:dyDescent="0.25">
      <c r="D3637"/>
    </row>
    <row r="3638" spans="4:4" x14ac:dyDescent="0.25">
      <c r="D3638"/>
    </row>
    <row r="3639" spans="4:4" x14ac:dyDescent="0.25">
      <c r="D3639"/>
    </row>
    <row r="3640" spans="4:4" x14ac:dyDescent="0.25">
      <c r="D3640"/>
    </row>
    <row r="3641" spans="4:4" x14ac:dyDescent="0.25">
      <c r="D3641"/>
    </row>
    <row r="3642" spans="4:4" x14ac:dyDescent="0.25">
      <c r="D3642"/>
    </row>
    <row r="3643" spans="4:4" x14ac:dyDescent="0.25">
      <c r="D3643"/>
    </row>
    <row r="3644" spans="4:4" x14ac:dyDescent="0.25">
      <c r="D3644"/>
    </row>
    <row r="3645" spans="4:4" x14ac:dyDescent="0.25">
      <c r="D3645"/>
    </row>
    <row r="3646" spans="4:4" x14ac:dyDescent="0.25">
      <c r="D3646"/>
    </row>
    <row r="3647" spans="4:4" x14ac:dyDescent="0.25">
      <c r="D3647"/>
    </row>
    <row r="3648" spans="4:4" x14ac:dyDescent="0.25">
      <c r="D3648"/>
    </row>
    <row r="3649" spans="4:4" x14ac:dyDescent="0.25">
      <c r="D3649"/>
    </row>
    <row r="3650" spans="4:4" x14ac:dyDescent="0.25">
      <c r="D3650"/>
    </row>
    <row r="3651" spans="4:4" x14ac:dyDescent="0.25">
      <c r="D3651"/>
    </row>
    <row r="3652" spans="4:4" x14ac:dyDescent="0.25">
      <c r="D3652"/>
    </row>
    <row r="3653" spans="4:4" x14ac:dyDescent="0.25">
      <c r="D3653"/>
    </row>
    <row r="3654" spans="4:4" x14ac:dyDescent="0.25">
      <c r="D3654"/>
    </row>
    <row r="3655" spans="4:4" x14ac:dyDescent="0.25">
      <c r="D3655"/>
    </row>
    <row r="3656" spans="4:4" x14ac:dyDescent="0.25">
      <c r="D3656"/>
    </row>
    <row r="3657" spans="4:4" x14ac:dyDescent="0.25">
      <c r="D3657"/>
    </row>
    <row r="3658" spans="4:4" x14ac:dyDescent="0.25">
      <c r="D3658"/>
    </row>
    <row r="3659" spans="4:4" x14ac:dyDescent="0.25">
      <c r="D3659"/>
    </row>
    <row r="3660" spans="4:4" x14ac:dyDescent="0.25">
      <c r="D3660"/>
    </row>
    <row r="3661" spans="4:4" x14ac:dyDescent="0.25">
      <c r="D3661"/>
    </row>
    <row r="3662" spans="4:4" x14ac:dyDescent="0.25">
      <c r="D3662"/>
    </row>
    <row r="3663" spans="4:4" x14ac:dyDescent="0.25">
      <c r="D3663"/>
    </row>
    <row r="3664" spans="4:4" x14ac:dyDescent="0.25">
      <c r="D3664"/>
    </row>
    <row r="3665" spans="4:4" x14ac:dyDescent="0.25">
      <c r="D3665"/>
    </row>
    <row r="3666" spans="4:4" x14ac:dyDescent="0.25">
      <c r="D3666"/>
    </row>
    <row r="3667" spans="4:4" x14ac:dyDescent="0.25">
      <c r="D3667"/>
    </row>
    <row r="3668" spans="4:4" x14ac:dyDescent="0.25">
      <c r="D3668"/>
    </row>
    <row r="3669" spans="4:4" x14ac:dyDescent="0.25">
      <c r="D3669"/>
    </row>
    <row r="3670" spans="4:4" x14ac:dyDescent="0.25">
      <c r="D3670"/>
    </row>
    <row r="3671" spans="4:4" x14ac:dyDescent="0.25">
      <c r="D3671"/>
    </row>
    <row r="3672" spans="4:4" x14ac:dyDescent="0.25">
      <c r="D3672"/>
    </row>
    <row r="3673" spans="4:4" x14ac:dyDescent="0.25">
      <c r="D3673"/>
    </row>
    <row r="3674" spans="4:4" x14ac:dyDescent="0.25">
      <c r="D3674"/>
    </row>
    <row r="3675" spans="4:4" x14ac:dyDescent="0.25">
      <c r="D3675"/>
    </row>
    <row r="3676" spans="4:4" x14ac:dyDescent="0.25">
      <c r="D3676"/>
    </row>
    <row r="3677" spans="4:4" x14ac:dyDescent="0.25">
      <c r="D3677"/>
    </row>
    <row r="3678" spans="4:4" x14ac:dyDescent="0.25">
      <c r="D3678"/>
    </row>
    <row r="3679" spans="4:4" x14ac:dyDescent="0.25">
      <c r="D3679"/>
    </row>
    <row r="3680" spans="4:4" x14ac:dyDescent="0.25">
      <c r="D3680"/>
    </row>
    <row r="3681" spans="4:4" x14ac:dyDescent="0.25">
      <c r="D3681"/>
    </row>
    <row r="3682" spans="4:4" x14ac:dyDescent="0.25">
      <c r="D3682"/>
    </row>
    <row r="3683" spans="4:4" x14ac:dyDescent="0.25">
      <c r="D3683"/>
    </row>
    <row r="3684" spans="4:4" x14ac:dyDescent="0.25">
      <c r="D3684"/>
    </row>
    <row r="3685" spans="4:4" x14ac:dyDescent="0.25">
      <c r="D3685"/>
    </row>
    <row r="3686" spans="4:4" x14ac:dyDescent="0.25">
      <c r="D3686"/>
    </row>
    <row r="3687" spans="4:4" x14ac:dyDescent="0.25">
      <c r="D3687"/>
    </row>
    <row r="3688" spans="4:4" x14ac:dyDescent="0.25">
      <c r="D3688"/>
    </row>
    <row r="3689" spans="4:4" x14ac:dyDescent="0.25">
      <c r="D3689"/>
    </row>
    <row r="3690" spans="4:4" x14ac:dyDescent="0.25">
      <c r="D3690"/>
    </row>
    <row r="3691" spans="4:4" x14ac:dyDescent="0.25">
      <c r="D3691"/>
    </row>
    <row r="3692" spans="4:4" x14ac:dyDescent="0.25">
      <c r="D3692"/>
    </row>
    <row r="3693" spans="4:4" x14ac:dyDescent="0.25">
      <c r="D3693"/>
    </row>
    <row r="3694" spans="4:4" x14ac:dyDescent="0.25">
      <c r="D3694"/>
    </row>
    <row r="3695" spans="4:4" x14ac:dyDescent="0.25">
      <c r="D3695"/>
    </row>
    <row r="3696" spans="4:4" x14ac:dyDescent="0.25">
      <c r="D3696"/>
    </row>
    <row r="3697" spans="4:4" x14ac:dyDescent="0.25">
      <c r="D3697"/>
    </row>
    <row r="3698" spans="4:4" x14ac:dyDescent="0.25">
      <c r="D3698"/>
    </row>
    <row r="3699" spans="4:4" x14ac:dyDescent="0.25">
      <c r="D3699"/>
    </row>
    <row r="3700" spans="4:4" x14ac:dyDescent="0.25">
      <c r="D3700"/>
    </row>
    <row r="3701" spans="4:4" x14ac:dyDescent="0.25">
      <c r="D3701"/>
    </row>
    <row r="3702" spans="4:4" x14ac:dyDescent="0.25">
      <c r="D3702"/>
    </row>
    <row r="3703" spans="4:4" x14ac:dyDescent="0.25">
      <c r="D3703"/>
    </row>
    <row r="3704" spans="4:4" x14ac:dyDescent="0.25">
      <c r="D3704"/>
    </row>
    <row r="3705" spans="4:4" x14ac:dyDescent="0.25">
      <c r="D3705"/>
    </row>
    <row r="3706" spans="4:4" x14ac:dyDescent="0.25">
      <c r="D3706"/>
    </row>
    <row r="3707" spans="4:4" x14ac:dyDescent="0.25">
      <c r="D3707"/>
    </row>
    <row r="3708" spans="4:4" x14ac:dyDescent="0.25">
      <c r="D3708"/>
    </row>
    <row r="3709" spans="4:4" x14ac:dyDescent="0.25">
      <c r="D3709"/>
    </row>
    <row r="3710" spans="4:4" x14ac:dyDescent="0.25">
      <c r="D3710"/>
    </row>
    <row r="3711" spans="4:4" x14ac:dyDescent="0.25">
      <c r="D3711"/>
    </row>
    <row r="3712" spans="4:4" x14ac:dyDescent="0.25">
      <c r="D3712"/>
    </row>
    <row r="3713" spans="4:4" x14ac:dyDescent="0.25">
      <c r="D3713"/>
    </row>
    <row r="3714" spans="4:4" x14ac:dyDescent="0.25">
      <c r="D3714"/>
    </row>
    <row r="3715" spans="4:4" x14ac:dyDescent="0.25">
      <c r="D3715"/>
    </row>
    <row r="3716" spans="4:4" x14ac:dyDescent="0.25">
      <c r="D3716"/>
    </row>
    <row r="3717" spans="4:4" x14ac:dyDescent="0.25">
      <c r="D3717"/>
    </row>
    <row r="3718" spans="4:4" x14ac:dyDescent="0.25">
      <c r="D3718"/>
    </row>
    <row r="3719" spans="4:4" x14ac:dyDescent="0.25">
      <c r="D3719"/>
    </row>
    <row r="3720" spans="4:4" x14ac:dyDescent="0.25">
      <c r="D3720"/>
    </row>
    <row r="3721" spans="4:4" x14ac:dyDescent="0.25">
      <c r="D3721"/>
    </row>
    <row r="3722" spans="4:4" x14ac:dyDescent="0.25">
      <c r="D3722"/>
    </row>
    <row r="3723" spans="4:4" x14ac:dyDescent="0.25">
      <c r="D3723"/>
    </row>
    <row r="3724" spans="4:4" x14ac:dyDescent="0.25">
      <c r="D3724"/>
    </row>
    <row r="3725" spans="4:4" x14ac:dyDescent="0.25">
      <c r="D3725"/>
    </row>
    <row r="3726" spans="4:4" x14ac:dyDescent="0.25">
      <c r="D3726"/>
    </row>
    <row r="3727" spans="4:4" x14ac:dyDescent="0.25">
      <c r="D3727"/>
    </row>
    <row r="3728" spans="4:4" x14ac:dyDescent="0.25">
      <c r="D3728"/>
    </row>
    <row r="3729" spans="4:4" x14ac:dyDescent="0.25">
      <c r="D3729"/>
    </row>
    <row r="3730" spans="4:4" x14ac:dyDescent="0.25">
      <c r="D3730"/>
    </row>
    <row r="3731" spans="4:4" x14ac:dyDescent="0.25">
      <c r="D3731"/>
    </row>
    <row r="3732" spans="4:4" x14ac:dyDescent="0.25">
      <c r="D3732"/>
    </row>
    <row r="3733" spans="4:4" x14ac:dyDescent="0.25">
      <c r="D3733"/>
    </row>
    <row r="3734" spans="4:4" x14ac:dyDescent="0.25">
      <c r="D3734"/>
    </row>
    <row r="3735" spans="4:4" x14ac:dyDescent="0.25">
      <c r="D3735"/>
    </row>
    <row r="3736" spans="4:4" x14ac:dyDescent="0.25">
      <c r="D3736"/>
    </row>
    <row r="3737" spans="4:4" x14ac:dyDescent="0.25">
      <c r="D3737"/>
    </row>
    <row r="3738" spans="4:4" x14ac:dyDescent="0.25">
      <c r="D3738"/>
    </row>
    <row r="3739" spans="4:4" x14ac:dyDescent="0.25">
      <c r="D3739"/>
    </row>
    <row r="3740" spans="4:4" x14ac:dyDescent="0.25">
      <c r="D3740"/>
    </row>
    <row r="3741" spans="4:4" x14ac:dyDescent="0.25">
      <c r="D3741"/>
    </row>
    <row r="3742" spans="4:4" x14ac:dyDescent="0.25">
      <c r="D3742"/>
    </row>
    <row r="3743" spans="4:4" x14ac:dyDescent="0.25">
      <c r="D3743"/>
    </row>
    <row r="3744" spans="4:4" x14ac:dyDescent="0.25">
      <c r="D3744"/>
    </row>
    <row r="3745" spans="4:4" x14ac:dyDescent="0.25">
      <c r="D3745"/>
    </row>
    <row r="3746" spans="4:4" x14ac:dyDescent="0.25">
      <c r="D3746"/>
    </row>
    <row r="3747" spans="4:4" x14ac:dyDescent="0.25">
      <c r="D3747"/>
    </row>
    <row r="3748" spans="4:4" x14ac:dyDescent="0.25">
      <c r="D3748"/>
    </row>
    <row r="3749" spans="4:4" x14ac:dyDescent="0.25">
      <c r="D3749"/>
    </row>
    <row r="3750" spans="4:4" x14ac:dyDescent="0.25">
      <c r="D3750"/>
    </row>
    <row r="3751" spans="4:4" x14ac:dyDescent="0.25">
      <c r="D3751"/>
    </row>
    <row r="3752" spans="4:4" x14ac:dyDescent="0.25">
      <c r="D3752"/>
    </row>
    <row r="3753" spans="4:4" x14ac:dyDescent="0.25">
      <c r="D3753"/>
    </row>
    <row r="3754" spans="4:4" x14ac:dyDescent="0.25">
      <c r="D3754"/>
    </row>
    <row r="3755" spans="4:4" x14ac:dyDescent="0.25">
      <c r="D3755"/>
    </row>
    <row r="3756" spans="4:4" x14ac:dyDescent="0.25">
      <c r="D3756"/>
    </row>
    <row r="3757" spans="4:4" x14ac:dyDescent="0.25">
      <c r="D3757"/>
    </row>
    <row r="3758" spans="4:4" x14ac:dyDescent="0.25">
      <c r="D3758"/>
    </row>
    <row r="3759" spans="4:4" x14ac:dyDescent="0.25">
      <c r="D3759"/>
    </row>
    <row r="3760" spans="4:4" x14ac:dyDescent="0.25">
      <c r="D3760"/>
    </row>
    <row r="3761" spans="4:4" x14ac:dyDescent="0.25">
      <c r="D3761"/>
    </row>
    <row r="3762" spans="4:4" x14ac:dyDescent="0.25">
      <c r="D3762"/>
    </row>
    <row r="3763" spans="4:4" x14ac:dyDescent="0.25">
      <c r="D3763"/>
    </row>
    <row r="3764" spans="4:4" x14ac:dyDescent="0.25">
      <c r="D3764"/>
    </row>
    <row r="3765" spans="4:4" x14ac:dyDescent="0.25">
      <c r="D3765"/>
    </row>
    <row r="3766" spans="4:4" x14ac:dyDescent="0.25">
      <c r="D3766"/>
    </row>
    <row r="3767" spans="4:4" x14ac:dyDescent="0.25">
      <c r="D3767"/>
    </row>
    <row r="3768" spans="4:4" x14ac:dyDescent="0.25">
      <c r="D3768"/>
    </row>
    <row r="3769" spans="4:4" x14ac:dyDescent="0.25">
      <c r="D3769"/>
    </row>
    <row r="3770" spans="4:4" x14ac:dyDescent="0.25">
      <c r="D3770"/>
    </row>
    <row r="3771" spans="4:4" x14ac:dyDescent="0.25">
      <c r="D3771"/>
    </row>
    <row r="3772" spans="4:4" x14ac:dyDescent="0.25">
      <c r="D3772"/>
    </row>
    <row r="3773" spans="4:4" x14ac:dyDescent="0.25">
      <c r="D3773"/>
    </row>
    <row r="3774" spans="4:4" x14ac:dyDescent="0.25">
      <c r="D3774"/>
    </row>
    <row r="3775" spans="4:4" x14ac:dyDescent="0.25">
      <c r="D3775"/>
    </row>
    <row r="3776" spans="4:4" x14ac:dyDescent="0.25">
      <c r="D3776"/>
    </row>
    <row r="3777" spans="4:4" x14ac:dyDescent="0.25">
      <c r="D3777"/>
    </row>
    <row r="3778" spans="4:4" x14ac:dyDescent="0.25">
      <c r="D3778"/>
    </row>
    <row r="3779" spans="4:4" x14ac:dyDescent="0.25">
      <c r="D3779"/>
    </row>
    <row r="3780" spans="4:4" x14ac:dyDescent="0.25">
      <c r="D3780"/>
    </row>
    <row r="3781" spans="4:4" x14ac:dyDescent="0.25">
      <c r="D3781"/>
    </row>
    <row r="3782" spans="4:4" x14ac:dyDescent="0.25">
      <c r="D3782"/>
    </row>
    <row r="3783" spans="4:4" x14ac:dyDescent="0.25">
      <c r="D3783"/>
    </row>
    <row r="3784" spans="4:4" x14ac:dyDescent="0.25">
      <c r="D3784"/>
    </row>
    <row r="3785" spans="4:4" x14ac:dyDescent="0.25">
      <c r="D3785"/>
    </row>
    <row r="3786" spans="4:4" x14ac:dyDescent="0.25">
      <c r="D3786"/>
    </row>
    <row r="3787" spans="4:4" x14ac:dyDescent="0.25">
      <c r="D3787"/>
    </row>
    <row r="3788" spans="4:4" x14ac:dyDescent="0.25">
      <c r="D3788"/>
    </row>
    <row r="3789" spans="4:4" x14ac:dyDescent="0.25">
      <c r="D3789"/>
    </row>
    <row r="3790" spans="4:4" x14ac:dyDescent="0.25">
      <c r="D3790"/>
    </row>
    <row r="3791" spans="4:4" x14ac:dyDescent="0.25">
      <c r="D3791"/>
    </row>
    <row r="3792" spans="4:4" x14ac:dyDescent="0.25">
      <c r="D3792"/>
    </row>
    <row r="3793" spans="4:4" x14ac:dyDescent="0.25">
      <c r="D3793"/>
    </row>
    <row r="3794" spans="4:4" x14ac:dyDescent="0.25">
      <c r="D3794"/>
    </row>
    <row r="3795" spans="4:4" x14ac:dyDescent="0.25">
      <c r="D3795"/>
    </row>
    <row r="3796" spans="4:4" x14ac:dyDescent="0.25">
      <c r="D3796"/>
    </row>
    <row r="3797" spans="4:4" x14ac:dyDescent="0.25">
      <c r="D3797"/>
    </row>
    <row r="3798" spans="4:4" x14ac:dyDescent="0.25">
      <c r="D3798"/>
    </row>
    <row r="3799" spans="4:4" x14ac:dyDescent="0.25">
      <c r="D3799"/>
    </row>
    <row r="3800" spans="4:4" x14ac:dyDescent="0.25">
      <c r="D3800"/>
    </row>
    <row r="3801" spans="4:4" x14ac:dyDescent="0.25">
      <c r="D3801"/>
    </row>
    <row r="3802" spans="4:4" x14ac:dyDescent="0.25">
      <c r="D3802"/>
    </row>
    <row r="3803" spans="4:4" x14ac:dyDescent="0.25">
      <c r="D3803"/>
    </row>
    <row r="3804" spans="4:4" x14ac:dyDescent="0.25">
      <c r="D3804"/>
    </row>
    <row r="3805" spans="4:4" x14ac:dyDescent="0.25">
      <c r="D3805"/>
    </row>
    <row r="3806" spans="4:4" x14ac:dyDescent="0.25">
      <c r="D3806"/>
    </row>
    <row r="3807" spans="4:4" x14ac:dyDescent="0.25">
      <c r="D3807"/>
    </row>
    <row r="3808" spans="4:4" x14ac:dyDescent="0.25">
      <c r="D3808"/>
    </row>
    <row r="3809" spans="4:4" x14ac:dyDescent="0.25">
      <c r="D3809"/>
    </row>
    <row r="3810" spans="4:4" x14ac:dyDescent="0.25">
      <c r="D3810"/>
    </row>
    <row r="3811" spans="4:4" x14ac:dyDescent="0.25">
      <c r="D3811"/>
    </row>
    <row r="3812" spans="4:4" x14ac:dyDescent="0.25">
      <c r="D3812"/>
    </row>
    <row r="3813" spans="4:4" x14ac:dyDescent="0.25">
      <c r="D3813"/>
    </row>
    <row r="3814" spans="4:4" x14ac:dyDescent="0.25">
      <c r="D3814"/>
    </row>
    <row r="3815" spans="4:4" x14ac:dyDescent="0.25">
      <c r="D3815"/>
    </row>
    <row r="3816" spans="4:4" x14ac:dyDescent="0.25">
      <c r="D3816"/>
    </row>
    <row r="3817" spans="4:4" x14ac:dyDescent="0.25">
      <c r="D3817"/>
    </row>
    <row r="3818" spans="4:4" x14ac:dyDescent="0.25">
      <c r="D3818"/>
    </row>
    <row r="3819" spans="4:4" x14ac:dyDescent="0.25">
      <c r="D3819"/>
    </row>
    <row r="3820" spans="4:4" x14ac:dyDescent="0.25">
      <c r="D3820"/>
    </row>
    <row r="3821" spans="4:4" x14ac:dyDescent="0.25">
      <c r="D3821"/>
    </row>
    <row r="3822" spans="4:4" x14ac:dyDescent="0.25">
      <c r="D3822"/>
    </row>
    <row r="3823" spans="4:4" x14ac:dyDescent="0.25">
      <c r="D3823"/>
    </row>
    <row r="3824" spans="4:4" x14ac:dyDescent="0.25">
      <c r="D3824"/>
    </row>
    <row r="3825" spans="4:4" x14ac:dyDescent="0.25">
      <c r="D3825"/>
    </row>
    <row r="3826" spans="4:4" x14ac:dyDescent="0.25">
      <c r="D3826"/>
    </row>
    <row r="3827" spans="4:4" x14ac:dyDescent="0.25">
      <c r="D3827"/>
    </row>
    <row r="3828" spans="4:4" x14ac:dyDescent="0.25">
      <c r="D3828"/>
    </row>
    <row r="3829" spans="4:4" x14ac:dyDescent="0.25">
      <c r="D3829"/>
    </row>
    <row r="3830" spans="4:4" x14ac:dyDescent="0.25">
      <c r="D3830"/>
    </row>
    <row r="3831" spans="4:4" x14ac:dyDescent="0.25">
      <c r="D3831"/>
    </row>
    <row r="3832" spans="4:4" x14ac:dyDescent="0.25">
      <c r="D3832"/>
    </row>
    <row r="3833" spans="4:4" x14ac:dyDescent="0.25">
      <c r="D3833"/>
    </row>
    <row r="3834" spans="4:4" x14ac:dyDescent="0.25">
      <c r="D3834"/>
    </row>
    <row r="3835" spans="4:4" x14ac:dyDescent="0.25">
      <c r="D3835"/>
    </row>
    <row r="3836" spans="4:4" x14ac:dyDescent="0.25">
      <c r="D3836"/>
    </row>
    <row r="3837" spans="4:4" x14ac:dyDescent="0.25">
      <c r="D3837"/>
    </row>
    <row r="3838" spans="4:4" x14ac:dyDescent="0.25">
      <c r="D3838"/>
    </row>
    <row r="3839" spans="4:4" x14ac:dyDescent="0.25">
      <c r="D3839"/>
    </row>
    <row r="3840" spans="4:4" x14ac:dyDescent="0.25">
      <c r="D3840"/>
    </row>
    <row r="3841" spans="4:4" x14ac:dyDescent="0.25">
      <c r="D3841"/>
    </row>
    <row r="3842" spans="4:4" x14ac:dyDescent="0.25">
      <c r="D3842"/>
    </row>
    <row r="3843" spans="4:4" x14ac:dyDescent="0.25">
      <c r="D3843"/>
    </row>
    <row r="3844" spans="4:4" x14ac:dyDescent="0.25">
      <c r="D3844"/>
    </row>
    <row r="3845" spans="4:4" x14ac:dyDescent="0.25">
      <c r="D3845"/>
    </row>
    <row r="3846" spans="4:4" x14ac:dyDescent="0.25">
      <c r="D3846"/>
    </row>
    <row r="3847" spans="4:4" x14ac:dyDescent="0.25">
      <c r="D3847"/>
    </row>
    <row r="3848" spans="4:4" x14ac:dyDescent="0.25">
      <c r="D3848"/>
    </row>
    <row r="3849" spans="4:4" x14ac:dyDescent="0.25">
      <c r="D3849"/>
    </row>
    <row r="3850" spans="4:4" x14ac:dyDescent="0.25">
      <c r="D3850"/>
    </row>
    <row r="3851" spans="4:4" x14ac:dyDescent="0.25">
      <c r="D3851"/>
    </row>
    <row r="3852" spans="4:4" x14ac:dyDescent="0.25">
      <c r="D3852"/>
    </row>
    <row r="3853" spans="4:4" x14ac:dyDescent="0.25">
      <c r="D3853"/>
    </row>
    <row r="3854" spans="4:4" x14ac:dyDescent="0.25">
      <c r="D3854"/>
    </row>
    <row r="3855" spans="4:4" x14ac:dyDescent="0.25">
      <c r="D3855"/>
    </row>
    <row r="3856" spans="4:4" x14ac:dyDescent="0.25">
      <c r="D3856"/>
    </row>
    <row r="3857" spans="4:4" x14ac:dyDescent="0.25">
      <c r="D3857"/>
    </row>
    <row r="3858" spans="4:4" x14ac:dyDescent="0.25">
      <c r="D3858"/>
    </row>
    <row r="3859" spans="4:4" x14ac:dyDescent="0.25">
      <c r="D3859"/>
    </row>
    <row r="3860" spans="4:4" x14ac:dyDescent="0.25">
      <c r="D3860"/>
    </row>
    <row r="3861" spans="4:4" x14ac:dyDescent="0.25">
      <c r="D3861"/>
    </row>
    <row r="3862" spans="4:4" x14ac:dyDescent="0.25">
      <c r="D3862"/>
    </row>
    <row r="3863" spans="4:4" x14ac:dyDescent="0.25">
      <c r="D3863"/>
    </row>
    <row r="3864" spans="4:4" x14ac:dyDescent="0.25">
      <c r="D3864"/>
    </row>
    <row r="3865" spans="4:4" x14ac:dyDescent="0.25">
      <c r="D3865"/>
    </row>
    <row r="3866" spans="4:4" x14ac:dyDescent="0.25">
      <c r="D3866"/>
    </row>
    <row r="3867" spans="4:4" x14ac:dyDescent="0.25">
      <c r="D3867"/>
    </row>
    <row r="3868" spans="4:4" x14ac:dyDescent="0.25">
      <c r="D3868"/>
    </row>
    <row r="3869" spans="4:4" x14ac:dyDescent="0.25">
      <c r="D3869"/>
    </row>
    <row r="3870" spans="4:4" x14ac:dyDescent="0.25">
      <c r="D3870"/>
    </row>
    <row r="3871" spans="4:4" x14ac:dyDescent="0.25">
      <c r="D3871"/>
    </row>
    <row r="3872" spans="4:4" x14ac:dyDescent="0.25">
      <c r="D3872"/>
    </row>
    <row r="3873" spans="4:4" x14ac:dyDescent="0.25">
      <c r="D3873"/>
    </row>
    <row r="3874" spans="4:4" x14ac:dyDescent="0.25">
      <c r="D3874"/>
    </row>
    <row r="3875" spans="4:4" x14ac:dyDescent="0.25">
      <c r="D3875"/>
    </row>
    <row r="3876" spans="4:4" x14ac:dyDescent="0.25">
      <c r="D3876"/>
    </row>
    <row r="3877" spans="4:4" x14ac:dyDescent="0.25">
      <c r="D3877"/>
    </row>
    <row r="3878" spans="4:4" x14ac:dyDescent="0.25">
      <c r="D3878"/>
    </row>
    <row r="3879" spans="4:4" x14ac:dyDescent="0.25">
      <c r="D3879"/>
    </row>
    <row r="3880" spans="4:4" x14ac:dyDescent="0.25">
      <c r="D3880"/>
    </row>
    <row r="3881" spans="4:4" x14ac:dyDescent="0.25">
      <c r="D3881"/>
    </row>
    <row r="3882" spans="4:4" x14ac:dyDescent="0.25">
      <c r="D3882"/>
    </row>
    <row r="3883" spans="4:4" x14ac:dyDescent="0.25">
      <c r="D3883"/>
    </row>
    <row r="3884" spans="4:4" x14ac:dyDescent="0.25">
      <c r="D3884"/>
    </row>
    <row r="3885" spans="4:4" x14ac:dyDescent="0.25">
      <c r="D3885"/>
    </row>
    <row r="3886" spans="4:4" x14ac:dyDescent="0.25">
      <c r="D3886"/>
    </row>
    <row r="3887" spans="4:4" x14ac:dyDescent="0.25">
      <c r="D3887"/>
    </row>
    <row r="3888" spans="4:4" x14ac:dyDescent="0.25">
      <c r="D3888"/>
    </row>
    <row r="3889" spans="4:4" x14ac:dyDescent="0.25">
      <c r="D3889"/>
    </row>
    <row r="3890" spans="4:4" x14ac:dyDescent="0.25">
      <c r="D3890"/>
    </row>
    <row r="3891" spans="4:4" x14ac:dyDescent="0.25">
      <c r="D3891"/>
    </row>
    <row r="3892" spans="4:4" x14ac:dyDescent="0.25">
      <c r="D3892"/>
    </row>
    <row r="3893" spans="4:4" x14ac:dyDescent="0.25">
      <c r="D3893"/>
    </row>
    <row r="3894" spans="4:4" x14ac:dyDescent="0.25">
      <c r="D3894"/>
    </row>
    <row r="3895" spans="4:4" x14ac:dyDescent="0.25">
      <c r="D3895"/>
    </row>
    <row r="3896" spans="4:4" x14ac:dyDescent="0.25">
      <c r="D3896"/>
    </row>
    <row r="3897" spans="4:4" x14ac:dyDescent="0.25">
      <c r="D3897"/>
    </row>
    <row r="3898" spans="4:4" x14ac:dyDescent="0.25">
      <c r="D3898"/>
    </row>
    <row r="3899" spans="4:4" x14ac:dyDescent="0.25">
      <c r="D3899"/>
    </row>
    <row r="3900" spans="4:4" x14ac:dyDescent="0.25">
      <c r="D3900"/>
    </row>
    <row r="3901" spans="4:4" x14ac:dyDescent="0.25">
      <c r="D3901"/>
    </row>
    <row r="3902" spans="4:4" x14ac:dyDescent="0.25">
      <c r="D3902"/>
    </row>
    <row r="3903" spans="4:4" x14ac:dyDescent="0.25">
      <c r="D3903"/>
    </row>
    <row r="3904" spans="4:4" x14ac:dyDescent="0.25">
      <c r="D3904"/>
    </row>
    <row r="3905" spans="4:4" x14ac:dyDescent="0.25">
      <c r="D3905"/>
    </row>
    <row r="3906" spans="4:4" x14ac:dyDescent="0.25">
      <c r="D3906"/>
    </row>
    <row r="3907" spans="4:4" x14ac:dyDescent="0.25">
      <c r="D3907"/>
    </row>
    <row r="3908" spans="4:4" x14ac:dyDescent="0.25">
      <c r="D3908"/>
    </row>
    <row r="3909" spans="4:4" x14ac:dyDescent="0.25">
      <c r="D3909"/>
    </row>
    <row r="3910" spans="4:4" x14ac:dyDescent="0.25">
      <c r="D3910"/>
    </row>
    <row r="3911" spans="4:4" x14ac:dyDescent="0.25">
      <c r="D3911"/>
    </row>
    <row r="3912" spans="4:4" x14ac:dyDescent="0.25">
      <c r="D3912"/>
    </row>
    <row r="3913" spans="4:4" x14ac:dyDescent="0.25">
      <c r="D3913"/>
    </row>
    <row r="3914" spans="4:4" x14ac:dyDescent="0.25">
      <c r="D3914"/>
    </row>
    <row r="3915" spans="4:4" x14ac:dyDescent="0.25">
      <c r="D3915"/>
    </row>
    <row r="3916" spans="4:4" x14ac:dyDescent="0.25">
      <c r="D3916"/>
    </row>
    <row r="3917" spans="4:4" x14ac:dyDescent="0.25">
      <c r="D3917"/>
    </row>
    <row r="3918" spans="4:4" x14ac:dyDescent="0.25">
      <c r="D3918"/>
    </row>
    <row r="3919" spans="4:4" x14ac:dyDescent="0.25">
      <c r="D3919"/>
    </row>
    <row r="3920" spans="4:4" x14ac:dyDescent="0.25">
      <c r="D3920"/>
    </row>
    <row r="3921" spans="4:4" x14ac:dyDescent="0.25">
      <c r="D3921"/>
    </row>
    <row r="3922" spans="4:4" x14ac:dyDescent="0.25">
      <c r="D3922"/>
    </row>
    <row r="3923" spans="4:4" x14ac:dyDescent="0.25">
      <c r="D3923"/>
    </row>
    <row r="3924" spans="4:4" x14ac:dyDescent="0.25">
      <c r="D3924"/>
    </row>
    <row r="3925" spans="4:4" x14ac:dyDescent="0.25">
      <c r="D3925"/>
    </row>
    <row r="3926" spans="4:4" x14ac:dyDescent="0.25">
      <c r="D3926"/>
    </row>
    <row r="3927" spans="4:4" x14ac:dyDescent="0.25">
      <c r="D3927"/>
    </row>
    <row r="3928" spans="4:4" x14ac:dyDescent="0.25">
      <c r="D3928"/>
    </row>
    <row r="3929" spans="4:4" x14ac:dyDescent="0.25">
      <c r="D3929"/>
    </row>
    <row r="3930" spans="4:4" x14ac:dyDescent="0.25">
      <c r="D3930"/>
    </row>
    <row r="3931" spans="4:4" x14ac:dyDescent="0.25">
      <c r="D3931"/>
    </row>
    <row r="3932" spans="4:4" x14ac:dyDescent="0.25">
      <c r="D3932"/>
    </row>
    <row r="3933" spans="4:4" x14ac:dyDescent="0.25">
      <c r="D3933"/>
    </row>
    <row r="3934" spans="4:4" x14ac:dyDescent="0.25">
      <c r="D3934"/>
    </row>
    <row r="3935" spans="4:4" x14ac:dyDescent="0.25">
      <c r="D3935"/>
    </row>
    <row r="3936" spans="4:4" x14ac:dyDescent="0.25">
      <c r="D3936"/>
    </row>
    <row r="3937" spans="4:4" x14ac:dyDescent="0.25">
      <c r="D3937"/>
    </row>
    <row r="3938" spans="4:4" x14ac:dyDescent="0.25">
      <c r="D3938"/>
    </row>
    <row r="3939" spans="4:4" x14ac:dyDescent="0.25">
      <c r="D3939"/>
    </row>
    <row r="3940" spans="4:4" x14ac:dyDescent="0.25">
      <c r="D3940"/>
    </row>
    <row r="3941" spans="4:4" x14ac:dyDescent="0.25">
      <c r="D3941"/>
    </row>
    <row r="3942" spans="4:4" x14ac:dyDescent="0.25">
      <c r="D3942"/>
    </row>
    <row r="3943" spans="4:4" x14ac:dyDescent="0.25">
      <c r="D3943"/>
    </row>
    <row r="3944" spans="4:4" x14ac:dyDescent="0.25">
      <c r="D3944"/>
    </row>
    <row r="3945" spans="4:4" x14ac:dyDescent="0.25">
      <c r="D3945"/>
    </row>
    <row r="3946" spans="4:4" x14ac:dyDescent="0.25">
      <c r="D3946"/>
    </row>
    <row r="3947" spans="4:4" x14ac:dyDescent="0.25">
      <c r="D3947"/>
    </row>
    <row r="3948" spans="4:4" x14ac:dyDescent="0.25">
      <c r="D3948"/>
    </row>
    <row r="3949" spans="4:4" x14ac:dyDescent="0.25">
      <c r="D3949"/>
    </row>
    <row r="3950" spans="4:4" x14ac:dyDescent="0.25">
      <c r="D3950"/>
    </row>
    <row r="3951" spans="4:4" x14ac:dyDescent="0.25">
      <c r="D3951"/>
    </row>
    <row r="3952" spans="4:4" x14ac:dyDescent="0.25">
      <c r="D3952"/>
    </row>
    <row r="3953" spans="4:4" x14ac:dyDescent="0.25">
      <c r="D3953"/>
    </row>
    <row r="3954" spans="4:4" x14ac:dyDescent="0.25">
      <c r="D3954"/>
    </row>
    <row r="3955" spans="4:4" x14ac:dyDescent="0.25">
      <c r="D3955"/>
    </row>
    <row r="3956" spans="4:4" x14ac:dyDescent="0.25">
      <c r="D3956"/>
    </row>
    <row r="3957" spans="4:4" x14ac:dyDescent="0.25">
      <c r="D3957"/>
    </row>
    <row r="3958" spans="4:4" x14ac:dyDescent="0.25">
      <c r="D3958"/>
    </row>
    <row r="3959" spans="4:4" x14ac:dyDescent="0.25">
      <c r="D3959"/>
    </row>
    <row r="3960" spans="4:4" x14ac:dyDescent="0.25">
      <c r="D3960"/>
    </row>
    <row r="3961" spans="4:4" x14ac:dyDescent="0.25">
      <c r="D3961"/>
    </row>
    <row r="3962" spans="4:4" x14ac:dyDescent="0.25">
      <c r="D3962"/>
    </row>
    <row r="3963" spans="4:4" x14ac:dyDescent="0.25">
      <c r="D3963"/>
    </row>
    <row r="3964" spans="4:4" x14ac:dyDescent="0.25">
      <c r="D3964"/>
    </row>
    <row r="3965" spans="4:4" x14ac:dyDescent="0.25">
      <c r="D3965"/>
    </row>
    <row r="3966" spans="4:4" x14ac:dyDescent="0.25">
      <c r="D3966"/>
    </row>
    <row r="3967" spans="4:4" x14ac:dyDescent="0.25">
      <c r="D3967"/>
    </row>
    <row r="3968" spans="4:4" x14ac:dyDescent="0.25">
      <c r="D3968"/>
    </row>
    <row r="3969" spans="4:4" x14ac:dyDescent="0.25">
      <c r="D3969"/>
    </row>
    <row r="3970" spans="4:4" x14ac:dyDescent="0.25">
      <c r="D3970"/>
    </row>
    <row r="3971" spans="4:4" x14ac:dyDescent="0.25">
      <c r="D3971"/>
    </row>
    <row r="3972" spans="4:4" x14ac:dyDescent="0.25">
      <c r="D3972"/>
    </row>
    <row r="3973" spans="4:4" x14ac:dyDescent="0.25">
      <c r="D3973"/>
    </row>
    <row r="3974" spans="4:4" x14ac:dyDescent="0.25">
      <c r="D3974"/>
    </row>
    <row r="3975" spans="4:4" x14ac:dyDescent="0.25">
      <c r="D3975"/>
    </row>
    <row r="3976" spans="4:4" x14ac:dyDescent="0.25">
      <c r="D3976"/>
    </row>
    <row r="3977" spans="4:4" x14ac:dyDescent="0.25">
      <c r="D3977"/>
    </row>
    <row r="3978" spans="4:4" x14ac:dyDescent="0.25">
      <c r="D3978"/>
    </row>
    <row r="3979" spans="4:4" x14ac:dyDescent="0.25">
      <c r="D3979"/>
    </row>
    <row r="3980" spans="4:4" x14ac:dyDescent="0.25">
      <c r="D3980"/>
    </row>
    <row r="3981" spans="4:4" x14ac:dyDescent="0.25">
      <c r="D3981"/>
    </row>
    <row r="3982" spans="4:4" x14ac:dyDescent="0.25">
      <c r="D3982"/>
    </row>
    <row r="3983" spans="4:4" x14ac:dyDescent="0.25">
      <c r="D3983"/>
    </row>
    <row r="3984" spans="4:4" x14ac:dyDescent="0.25">
      <c r="D3984"/>
    </row>
    <row r="3985" spans="4:4" x14ac:dyDescent="0.25">
      <c r="D3985"/>
    </row>
    <row r="3986" spans="4:4" x14ac:dyDescent="0.25">
      <c r="D3986"/>
    </row>
    <row r="3987" spans="4:4" x14ac:dyDescent="0.25">
      <c r="D3987"/>
    </row>
    <row r="3988" spans="4:4" x14ac:dyDescent="0.25">
      <c r="D3988"/>
    </row>
    <row r="3989" spans="4:4" x14ac:dyDescent="0.25">
      <c r="D3989"/>
    </row>
    <row r="3990" spans="4:4" x14ac:dyDescent="0.25">
      <c r="D3990"/>
    </row>
    <row r="3991" spans="4:4" x14ac:dyDescent="0.25">
      <c r="D3991"/>
    </row>
    <row r="3992" spans="4:4" x14ac:dyDescent="0.25">
      <c r="D3992"/>
    </row>
    <row r="3993" spans="4:4" x14ac:dyDescent="0.25">
      <c r="D3993"/>
    </row>
    <row r="3994" spans="4:4" x14ac:dyDescent="0.25">
      <c r="D3994"/>
    </row>
    <row r="3995" spans="4:4" x14ac:dyDescent="0.25">
      <c r="D3995"/>
    </row>
    <row r="3996" spans="4:4" x14ac:dyDescent="0.25">
      <c r="D3996"/>
    </row>
    <row r="3997" spans="4:4" x14ac:dyDescent="0.25">
      <c r="D3997"/>
    </row>
    <row r="3998" spans="4:4" x14ac:dyDescent="0.25">
      <c r="D3998"/>
    </row>
    <row r="3999" spans="4:4" x14ac:dyDescent="0.25">
      <c r="D3999"/>
    </row>
    <row r="4000" spans="4:4" x14ac:dyDescent="0.25">
      <c r="D4000"/>
    </row>
    <row r="4001" spans="4:4" x14ac:dyDescent="0.25">
      <c r="D4001"/>
    </row>
    <row r="4002" spans="4:4" x14ac:dyDescent="0.25">
      <c r="D4002"/>
    </row>
    <row r="4003" spans="4:4" x14ac:dyDescent="0.25">
      <c r="D4003"/>
    </row>
    <row r="4004" spans="4:4" x14ac:dyDescent="0.25">
      <c r="D4004"/>
    </row>
    <row r="4005" spans="4:4" x14ac:dyDescent="0.25">
      <c r="D4005"/>
    </row>
    <row r="4006" spans="4:4" x14ac:dyDescent="0.25">
      <c r="D4006"/>
    </row>
    <row r="4007" spans="4:4" x14ac:dyDescent="0.25">
      <c r="D4007"/>
    </row>
    <row r="4008" spans="4:4" x14ac:dyDescent="0.25">
      <c r="D4008"/>
    </row>
    <row r="4009" spans="4:4" x14ac:dyDescent="0.25">
      <c r="D4009"/>
    </row>
    <row r="4010" spans="4:4" x14ac:dyDescent="0.25">
      <c r="D4010"/>
    </row>
    <row r="4011" spans="4:4" x14ac:dyDescent="0.25">
      <c r="D4011"/>
    </row>
    <row r="4012" spans="4:4" x14ac:dyDescent="0.25">
      <c r="D4012"/>
    </row>
    <row r="4013" spans="4:4" x14ac:dyDescent="0.25">
      <c r="D4013"/>
    </row>
    <row r="4014" spans="4:4" x14ac:dyDescent="0.25">
      <c r="D4014"/>
    </row>
    <row r="4015" spans="4:4" x14ac:dyDescent="0.25">
      <c r="D4015"/>
    </row>
    <row r="4016" spans="4:4" x14ac:dyDescent="0.25">
      <c r="D4016"/>
    </row>
    <row r="4017" spans="4:4" x14ac:dyDescent="0.25">
      <c r="D4017"/>
    </row>
    <row r="4018" spans="4:4" x14ac:dyDescent="0.25">
      <c r="D4018"/>
    </row>
    <row r="4019" spans="4:4" x14ac:dyDescent="0.25">
      <c r="D4019"/>
    </row>
    <row r="4020" spans="4:4" x14ac:dyDescent="0.25">
      <c r="D4020"/>
    </row>
    <row r="4021" spans="4:4" x14ac:dyDescent="0.25">
      <c r="D4021"/>
    </row>
    <row r="4022" spans="4:4" x14ac:dyDescent="0.25">
      <c r="D4022"/>
    </row>
    <row r="4023" spans="4:4" x14ac:dyDescent="0.25">
      <c r="D4023"/>
    </row>
    <row r="4024" spans="4:4" x14ac:dyDescent="0.25">
      <c r="D4024"/>
    </row>
    <row r="4025" spans="4:4" x14ac:dyDescent="0.25">
      <c r="D4025"/>
    </row>
    <row r="4026" spans="4:4" x14ac:dyDescent="0.25">
      <c r="D4026"/>
    </row>
    <row r="4027" spans="4:4" x14ac:dyDescent="0.25">
      <c r="D4027"/>
    </row>
    <row r="4028" spans="4:4" x14ac:dyDescent="0.25">
      <c r="D4028"/>
    </row>
    <row r="4029" spans="4:4" x14ac:dyDescent="0.25">
      <c r="D4029"/>
    </row>
    <row r="4030" spans="4:4" x14ac:dyDescent="0.25">
      <c r="D4030"/>
    </row>
    <row r="4031" spans="4:4" x14ac:dyDescent="0.25">
      <c r="D4031"/>
    </row>
    <row r="4032" spans="4:4" x14ac:dyDescent="0.25">
      <c r="D4032"/>
    </row>
    <row r="4033" spans="4:4" x14ac:dyDescent="0.25">
      <c r="D4033"/>
    </row>
    <row r="4034" spans="4:4" x14ac:dyDescent="0.25">
      <c r="D4034"/>
    </row>
    <row r="4035" spans="4:4" x14ac:dyDescent="0.25">
      <c r="D4035"/>
    </row>
    <row r="4036" spans="4:4" x14ac:dyDescent="0.25">
      <c r="D4036"/>
    </row>
    <row r="4037" spans="4:4" x14ac:dyDescent="0.25">
      <c r="D4037"/>
    </row>
    <row r="4038" spans="4:4" x14ac:dyDescent="0.25">
      <c r="D4038"/>
    </row>
    <row r="4039" spans="4:4" x14ac:dyDescent="0.25">
      <c r="D4039"/>
    </row>
    <row r="4040" spans="4:4" x14ac:dyDescent="0.25">
      <c r="D4040"/>
    </row>
    <row r="4041" spans="4:4" x14ac:dyDescent="0.25">
      <c r="D4041"/>
    </row>
    <row r="4042" spans="4:4" x14ac:dyDescent="0.25">
      <c r="D4042"/>
    </row>
    <row r="4043" spans="4:4" x14ac:dyDescent="0.25">
      <c r="D4043"/>
    </row>
    <row r="4044" spans="4:4" x14ac:dyDescent="0.25">
      <c r="D4044"/>
    </row>
    <row r="4045" spans="4:4" x14ac:dyDescent="0.25">
      <c r="D4045"/>
    </row>
    <row r="4046" spans="4:4" x14ac:dyDescent="0.25">
      <c r="D4046"/>
    </row>
    <row r="4047" spans="4:4" x14ac:dyDescent="0.25">
      <c r="D4047"/>
    </row>
    <row r="4048" spans="4:4" x14ac:dyDescent="0.25">
      <c r="D4048"/>
    </row>
    <row r="4049" spans="4:4" x14ac:dyDescent="0.25">
      <c r="D4049"/>
    </row>
    <row r="4050" spans="4:4" x14ac:dyDescent="0.25">
      <c r="D4050"/>
    </row>
    <row r="4051" spans="4:4" x14ac:dyDescent="0.25">
      <c r="D4051"/>
    </row>
    <row r="4052" spans="4:4" x14ac:dyDescent="0.25">
      <c r="D4052"/>
    </row>
    <row r="4053" spans="4:4" x14ac:dyDescent="0.25">
      <c r="D4053"/>
    </row>
    <row r="4054" spans="4:4" x14ac:dyDescent="0.25">
      <c r="D4054"/>
    </row>
    <row r="4055" spans="4:4" x14ac:dyDescent="0.25">
      <c r="D4055"/>
    </row>
    <row r="4056" spans="4:4" x14ac:dyDescent="0.25">
      <c r="D4056"/>
    </row>
    <row r="4057" spans="4:4" x14ac:dyDescent="0.25">
      <c r="D4057"/>
    </row>
    <row r="4058" spans="4:4" x14ac:dyDescent="0.25">
      <c r="D4058"/>
    </row>
    <row r="4059" spans="4:4" x14ac:dyDescent="0.25">
      <c r="D4059"/>
    </row>
    <row r="4060" spans="4:4" x14ac:dyDescent="0.25">
      <c r="D4060"/>
    </row>
    <row r="4061" spans="4:4" x14ac:dyDescent="0.25">
      <c r="D4061"/>
    </row>
    <row r="4062" spans="4:4" x14ac:dyDescent="0.25">
      <c r="D4062"/>
    </row>
    <row r="4063" spans="4:4" x14ac:dyDescent="0.25">
      <c r="D4063"/>
    </row>
    <row r="4064" spans="4:4" x14ac:dyDescent="0.25">
      <c r="D4064"/>
    </row>
    <row r="4065" spans="4:4" x14ac:dyDescent="0.25">
      <c r="D4065"/>
    </row>
    <row r="4066" spans="4:4" x14ac:dyDescent="0.25">
      <c r="D4066"/>
    </row>
    <row r="4067" spans="4:4" x14ac:dyDescent="0.25">
      <c r="D4067"/>
    </row>
    <row r="4068" spans="4:4" x14ac:dyDescent="0.25">
      <c r="D4068"/>
    </row>
    <row r="4069" spans="4:4" x14ac:dyDescent="0.25">
      <c r="D4069"/>
    </row>
    <row r="4070" spans="4:4" x14ac:dyDescent="0.25">
      <c r="D4070"/>
    </row>
    <row r="4071" spans="4:4" x14ac:dyDescent="0.25">
      <c r="D4071"/>
    </row>
    <row r="4072" spans="4:4" x14ac:dyDescent="0.25">
      <c r="D4072"/>
    </row>
    <row r="4073" spans="4:4" x14ac:dyDescent="0.25">
      <c r="D4073"/>
    </row>
    <row r="4074" spans="4:4" x14ac:dyDescent="0.25">
      <c r="D4074"/>
    </row>
    <row r="4075" spans="4:4" x14ac:dyDescent="0.25">
      <c r="D4075"/>
    </row>
    <row r="4076" spans="4:4" x14ac:dyDescent="0.25">
      <c r="D4076"/>
    </row>
    <row r="4077" spans="4:4" x14ac:dyDescent="0.25">
      <c r="D4077"/>
    </row>
    <row r="4078" spans="4:4" x14ac:dyDescent="0.25">
      <c r="D4078"/>
    </row>
    <row r="4079" spans="4:4" x14ac:dyDescent="0.25">
      <c r="D4079"/>
    </row>
    <row r="4080" spans="4:4" x14ac:dyDescent="0.25">
      <c r="D4080"/>
    </row>
    <row r="4081" spans="4:4" x14ac:dyDescent="0.25">
      <c r="D4081"/>
    </row>
    <row r="4082" spans="4:4" x14ac:dyDescent="0.25">
      <c r="D4082"/>
    </row>
    <row r="4083" spans="4:4" x14ac:dyDescent="0.25">
      <c r="D4083"/>
    </row>
    <row r="4084" spans="4:4" x14ac:dyDescent="0.25">
      <c r="D4084"/>
    </row>
    <row r="4085" spans="4:4" x14ac:dyDescent="0.25">
      <c r="D4085"/>
    </row>
    <row r="4086" spans="4:4" x14ac:dyDescent="0.25">
      <c r="D4086"/>
    </row>
    <row r="4087" spans="4:4" x14ac:dyDescent="0.25">
      <c r="D4087"/>
    </row>
    <row r="4088" spans="4:4" x14ac:dyDescent="0.25">
      <c r="D4088"/>
    </row>
    <row r="4089" spans="4:4" x14ac:dyDescent="0.25">
      <c r="D4089"/>
    </row>
    <row r="4090" spans="4:4" x14ac:dyDescent="0.25">
      <c r="D4090"/>
    </row>
    <row r="4091" spans="4:4" x14ac:dyDescent="0.25">
      <c r="D4091"/>
    </row>
    <row r="4092" spans="4:4" x14ac:dyDescent="0.25">
      <c r="D4092"/>
    </row>
    <row r="4093" spans="4:4" x14ac:dyDescent="0.25">
      <c r="D4093"/>
    </row>
    <row r="4094" spans="4:4" x14ac:dyDescent="0.25">
      <c r="D4094"/>
    </row>
    <row r="4095" spans="4:4" x14ac:dyDescent="0.25">
      <c r="D4095"/>
    </row>
    <row r="4096" spans="4:4" x14ac:dyDescent="0.25">
      <c r="D4096"/>
    </row>
    <row r="4097" spans="4:4" x14ac:dyDescent="0.25">
      <c r="D4097"/>
    </row>
    <row r="4098" spans="4:4" x14ac:dyDescent="0.25">
      <c r="D4098"/>
    </row>
    <row r="4099" spans="4:4" x14ac:dyDescent="0.25">
      <c r="D4099"/>
    </row>
    <row r="4100" spans="4:4" x14ac:dyDescent="0.25">
      <c r="D4100"/>
    </row>
    <row r="4101" spans="4:4" x14ac:dyDescent="0.25">
      <c r="D4101"/>
    </row>
    <row r="4102" spans="4:4" x14ac:dyDescent="0.25">
      <c r="D4102"/>
    </row>
    <row r="4103" spans="4:4" x14ac:dyDescent="0.25">
      <c r="D4103"/>
    </row>
    <row r="4104" spans="4:4" x14ac:dyDescent="0.25">
      <c r="D4104"/>
    </row>
    <row r="4105" spans="4:4" x14ac:dyDescent="0.25">
      <c r="D4105"/>
    </row>
    <row r="4106" spans="4:4" x14ac:dyDescent="0.25">
      <c r="D4106"/>
    </row>
    <row r="4107" spans="4:4" x14ac:dyDescent="0.25">
      <c r="D4107"/>
    </row>
    <row r="4108" spans="4:4" x14ac:dyDescent="0.25">
      <c r="D4108"/>
    </row>
    <row r="4109" spans="4:4" x14ac:dyDescent="0.25">
      <c r="D4109"/>
    </row>
    <row r="4110" spans="4:4" x14ac:dyDescent="0.25">
      <c r="D4110"/>
    </row>
    <row r="4111" spans="4:4" x14ac:dyDescent="0.25">
      <c r="D4111"/>
    </row>
    <row r="4112" spans="4:4" x14ac:dyDescent="0.25">
      <c r="D4112"/>
    </row>
    <row r="4113" spans="4:4" x14ac:dyDescent="0.25">
      <c r="D4113"/>
    </row>
    <row r="4114" spans="4:4" x14ac:dyDescent="0.25">
      <c r="D4114"/>
    </row>
    <row r="4115" spans="4:4" x14ac:dyDescent="0.25">
      <c r="D4115"/>
    </row>
    <row r="4116" spans="4:4" x14ac:dyDescent="0.25">
      <c r="D4116"/>
    </row>
    <row r="4117" spans="4:4" x14ac:dyDescent="0.25">
      <c r="D4117"/>
    </row>
    <row r="4118" spans="4:4" x14ac:dyDescent="0.25">
      <c r="D4118"/>
    </row>
    <row r="4119" spans="4:4" x14ac:dyDescent="0.25">
      <c r="D4119"/>
    </row>
    <row r="4120" spans="4:4" x14ac:dyDescent="0.25">
      <c r="D4120"/>
    </row>
    <row r="4121" spans="4:4" x14ac:dyDescent="0.25">
      <c r="D4121"/>
    </row>
    <row r="4122" spans="4:4" x14ac:dyDescent="0.25">
      <c r="D4122"/>
    </row>
    <row r="4123" spans="4:4" x14ac:dyDescent="0.25">
      <c r="D4123"/>
    </row>
    <row r="4124" spans="4:4" x14ac:dyDescent="0.25">
      <c r="D4124"/>
    </row>
    <row r="4125" spans="4:4" x14ac:dyDescent="0.25">
      <c r="D4125"/>
    </row>
    <row r="4126" spans="4:4" x14ac:dyDescent="0.25">
      <c r="D4126"/>
    </row>
    <row r="4127" spans="4:4" x14ac:dyDescent="0.25">
      <c r="D4127"/>
    </row>
    <row r="4128" spans="4:4" x14ac:dyDescent="0.25">
      <c r="D4128"/>
    </row>
    <row r="4129" spans="4:4" x14ac:dyDescent="0.25">
      <c r="D4129"/>
    </row>
    <row r="4130" spans="4:4" x14ac:dyDescent="0.25">
      <c r="D4130"/>
    </row>
    <row r="4131" spans="4:4" x14ac:dyDescent="0.25">
      <c r="D4131"/>
    </row>
    <row r="4132" spans="4:4" x14ac:dyDescent="0.25">
      <c r="D4132"/>
    </row>
    <row r="4133" spans="4:4" x14ac:dyDescent="0.25">
      <c r="D4133"/>
    </row>
    <row r="4134" spans="4:4" x14ac:dyDescent="0.25">
      <c r="D4134"/>
    </row>
    <row r="4135" spans="4:4" x14ac:dyDescent="0.25">
      <c r="D4135"/>
    </row>
    <row r="4136" spans="4:4" x14ac:dyDescent="0.25">
      <c r="D4136"/>
    </row>
    <row r="4137" spans="4:4" x14ac:dyDescent="0.25">
      <c r="D4137"/>
    </row>
    <row r="4138" spans="4:4" x14ac:dyDescent="0.25">
      <c r="D4138"/>
    </row>
    <row r="4139" spans="4:4" x14ac:dyDescent="0.25">
      <c r="D4139"/>
    </row>
    <row r="4140" spans="4:4" x14ac:dyDescent="0.25">
      <c r="D4140"/>
    </row>
    <row r="4141" spans="4:4" x14ac:dyDescent="0.25">
      <c r="D4141"/>
    </row>
    <row r="4142" spans="4:4" x14ac:dyDescent="0.25">
      <c r="D4142"/>
    </row>
    <row r="4143" spans="4:4" x14ac:dyDescent="0.25">
      <c r="D4143"/>
    </row>
    <row r="4144" spans="4:4" x14ac:dyDescent="0.25">
      <c r="D4144"/>
    </row>
    <row r="4145" spans="4:4" x14ac:dyDescent="0.25">
      <c r="D4145"/>
    </row>
    <row r="4146" spans="4:4" x14ac:dyDescent="0.25">
      <c r="D4146"/>
    </row>
    <row r="4147" spans="4:4" x14ac:dyDescent="0.25">
      <c r="D4147"/>
    </row>
    <row r="4148" spans="4:4" x14ac:dyDescent="0.25">
      <c r="D4148"/>
    </row>
    <row r="4149" spans="4:4" x14ac:dyDescent="0.25">
      <c r="D4149"/>
    </row>
    <row r="4150" spans="4:4" x14ac:dyDescent="0.25">
      <c r="D4150"/>
    </row>
    <row r="4151" spans="4:4" x14ac:dyDescent="0.25">
      <c r="D4151"/>
    </row>
    <row r="4152" spans="4:4" x14ac:dyDescent="0.25">
      <c r="D4152"/>
    </row>
    <row r="4153" spans="4:4" x14ac:dyDescent="0.25">
      <c r="D4153"/>
    </row>
    <row r="4154" spans="4:4" x14ac:dyDescent="0.25">
      <c r="D4154"/>
    </row>
    <row r="4155" spans="4:4" x14ac:dyDescent="0.25">
      <c r="D4155"/>
    </row>
    <row r="4156" spans="4:4" x14ac:dyDescent="0.25">
      <c r="D4156"/>
    </row>
    <row r="4157" spans="4:4" x14ac:dyDescent="0.25">
      <c r="D4157"/>
    </row>
    <row r="4158" spans="4:4" x14ac:dyDescent="0.25">
      <c r="D4158"/>
    </row>
    <row r="4159" spans="4:4" x14ac:dyDescent="0.25">
      <c r="D4159"/>
    </row>
    <row r="4160" spans="4:4" x14ac:dyDescent="0.25">
      <c r="D4160"/>
    </row>
    <row r="4161" spans="4:4" x14ac:dyDescent="0.25">
      <c r="D4161"/>
    </row>
    <row r="4162" spans="4:4" x14ac:dyDescent="0.25">
      <c r="D4162"/>
    </row>
    <row r="4163" spans="4:4" x14ac:dyDescent="0.25">
      <c r="D4163"/>
    </row>
    <row r="4164" spans="4:4" x14ac:dyDescent="0.25">
      <c r="D4164"/>
    </row>
    <row r="4165" spans="4:4" x14ac:dyDescent="0.25">
      <c r="D4165"/>
    </row>
    <row r="4166" spans="4:4" x14ac:dyDescent="0.25">
      <c r="D4166"/>
    </row>
    <row r="4167" spans="4:4" x14ac:dyDescent="0.25">
      <c r="D4167"/>
    </row>
    <row r="4168" spans="4:4" x14ac:dyDescent="0.25">
      <c r="D4168"/>
    </row>
    <row r="4169" spans="4:4" x14ac:dyDescent="0.25">
      <c r="D4169"/>
    </row>
    <row r="4170" spans="4:4" x14ac:dyDescent="0.25">
      <c r="D4170"/>
    </row>
    <row r="4171" spans="4:4" x14ac:dyDescent="0.25">
      <c r="D4171"/>
    </row>
    <row r="4172" spans="4:4" x14ac:dyDescent="0.25">
      <c r="D4172"/>
    </row>
    <row r="4173" spans="4:4" x14ac:dyDescent="0.25">
      <c r="D4173"/>
    </row>
    <row r="4174" spans="4:4" x14ac:dyDescent="0.25">
      <c r="D4174"/>
    </row>
    <row r="4175" spans="4:4" x14ac:dyDescent="0.25">
      <c r="D4175"/>
    </row>
    <row r="4176" spans="4:4" x14ac:dyDescent="0.25">
      <c r="D4176"/>
    </row>
    <row r="4177" spans="4:4" x14ac:dyDescent="0.25">
      <c r="D4177"/>
    </row>
    <row r="4178" spans="4:4" x14ac:dyDescent="0.25">
      <c r="D4178"/>
    </row>
    <row r="4179" spans="4:4" x14ac:dyDescent="0.25">
      <c r="D4179"/>
    </row>
    <row r="4180" spans="4:4" x14ac:dyDescent="0.25">
      <c r="D4180"/>
    </row>
    <row r="4181" spans="4:4" x14ac:dyDescent="0.25">
      <c r="D4181"/>
    </row>
    <row r="4182" spans="4:4" x14ac:dyDescent="0.25">
      <c r="D4182"/>
    </row>
    <row r="4183" spans="4:4" x14ac:dyDescent="0.25">
      <c r="D4183"/>
    </row>
    <row r="4184" spans="4:4" x14ac:dyDescent="0.25">
      <c r="D4184"/>
    </row>
    <row r="4185" spans="4:4" x14ac:dyDescent="0.25">
      <c r="D4185"/>
    </row>
    <row r="4186" spans="4:4" x14ac:dyDescent="0.25">
      <c r="D4186"/>
    </row>
    <row r="4187" spans="4:4" x14ac:dyDescent="0.25">
      <c r="D4187"/>
    </row>
    <row r="4188" spans="4:4" x14ac:dyDescent="0.25">
      <c r="D4188"/>
    </row>
    <row r="4189" spans="4:4" x14ac:dyDescent="0.25">
      <c r="D4189"/>
    </row>
    <row r="4190" spans="4:4" x14ac:dyDescent="0.25">
      <c r="D4190"/>
    </row>
    <row r="4191" spans="4:4" x14ac:dyDescent="0.25">
      <c r="D4191"/>
    </row>
    <row r="4192" spans="4:4" x14ac:dyDescent="0.25">
      <c r="D4192"/>
    </row>
    <row r="4193" spans="4:4" x14ac:dyDescent="0.25">
      <c r="D4193"/>
    </row>
    <row r="4194" spans="4:4" x14ac:dyDescent="0.25">
      <c r="D4194"/>
    </row>
    <row r="4195" spans="4:4" x14ac:dyDescent="0.25">
      <c r="D4195"/>
    </row>
    <row r="4196" spans="4:4" x14ac:dyDescent="0.25">
      <c r="D4196"/>
    </row>
    <row r="4197" spans="4:4" x14ac:dyDescent="0.25">
      <c r="D4197"/>
    </row>
    <row r="4198" spans="4:4" x14ac:dyDescent="0.25">
      <c r="D4198"/>
    </row>
    <row r="4199" spans="4:4" x14ac:dyDescent="0.25">
      <c r="D4199"/>
    </row>
    <row r="4200" spans="4:4" x14ac:dyDescent="0.25">
      <c r="D4200"/>
    </row>
    <row r="4201" spans="4:4" x14ac:dyDescent="0.25">
      <c r="D4201"/>
    </row>
    <row r="4202" spans="4:4" x14ac:dyDescent="0.25">
      <c r="D4202"/>
    </row>
    <row r="4203" spans="4:4" x14ac:dyDescent="0.25">
      <c r="D4203"/>
    </row>
    <row r="4204" spans="4:4" x14ac:dyDescent="0.25">
      <c r="D4204"/>
    </row>
    <row r="4205" spans="4:4" x14ac:dyDescent="0.25">
      <c r="D4205"/>
    </row>
    <row r="4206" spans="4:4" x14ac:dyDescent="0.25">
      <c r="D4206"/>
    </row>
    <row r="4207" spans="4:4" x14ac:dyDescent="0.25">
      <c r="D4207"/>
    </row>
    <row r="4208" spans="4:4" x14ac:dyDescent="0.25">
      <c r="D4208"/>
    </row>
    <row r="4209" spans="4:4" x14ac:dyDescent="0.25">
      <c r="D4209"/>
    </row>
    <row r="4210" spans="4:4" x14ac:dyDescent="0.25">
      <c r="D4210"/>
    </row>
    <row r="4211" spans="4:4" x14ac:dyDescent="0.25">
      <c r="D4211"/>
    </row>
    <row r="4212" spans="4:4" x14ac:dyDescent="0.25">
      <c r="D4212"/>
    </row>
    <row r="4213" spans="4:4" x14ac:dyDescent="0.25">
      <c r="D4213"/>
    </row>
    <row r="4214" spans="4:4" x14ac:dyDescent="0.25">
      <c r="D4214"/>
    </row>
    <row r="4215" spans="4:4" x14ac:dyDescent="0.25">
      <c r="D4215"/>
    </row>
    <row r="4216" spans="4:4" x14ac:dyDescent="0.25">
      <c r="D4216"/>
    </row>
    <row r="4217" spans="4:4" x14ac:dyDescent="0.25">
      <c r="D4217"/>
    </row>
    <row r="4218" spans="4:4" x14ac:dyDescent="0.25">
      <c r="D4218"/>
    </row>
    <row r="4219" spans="4:4" x14ac:dyDescent="0.25">
      <c r="D4219"/>
    </row>
    <row r="4220" spans="4:4" x14ac:dyDescent="0.25">
      <c r="D4220"/>
    </row>
    <row r="4221" spans="4:4" x14ac:dyDescent="0.25">
      <c r="D4221"/>
    </row>
    <row r="4222" spans="4:4" x14ac:dyDescent="0.25">
      <c r="D4222"/>
    </row>
    <row r="4223" spans="4:4" x14ac:dyDescent="0.25">
      <c r="D4223"/>
    </row>
    <row r="4224" spans="4:4" x14ac:dyDescent="0.25">
      <c r="D4224"/>
    </row>
    <row r="4225" spans="4:4" x14ac:dyDescent="0.25">
      <c r="D4225"/>
    </row>
    <row r="4226" spans="4:4" x14ac:dyDescent="0.25">
      <c r="D4226"/>
    </row>
    <row r="4227" spans="4:4" x14ac:dyDescent="0.25">
      <c r="D4227"/>
    </row>
    <row r="4228" spans="4:4" x14ac:dyDescent="0.25">
      <c r="D4228"/>
    </row>
    <row r="4229" spans="4:4" x14ac:dyDescent="0.25">
      <c r="D4229"/>
    </row>
    <row r="4230" spans="4:4" x14ac:dyDescent="0.25">
      <c r="D4230"/>
    </row>
    <row r="4231" spans="4:4" x14ac:dyDescent="0.25">
      <c r="D4231"/>
    </row>
    <row r="4232" spans="4:4" x14ac:dyDescent="0.25">
      <c r="D4232"/>
    </row>
    <row r="4233" spans="4:4" x14ac:dyDescent="0.25">
      <c r="D4233"/>
    </row>
    <row r="4234" spans="4:4" x14ac:dyDescent="0.25">
      <c r="D4234"/>
    </row>
    <row r="4235" spans="4:4" x14ac:dyDescent="0.25">
      <c r="D4235"/>
    </row>
    <row r="4236" spans="4:4" x14ac:dyDescent="0.25">
      <c r="D4236"/>
    </row>
    <row r="4237" spans="4:4" x14ac:dyDescent="0.25">
      <c r="D4237"/>
    </row>
    <row r="4238" spans="4:4" x14ac:dyDescent="0.25">
      <c r="D4238"/>
    </row>
    <row r="4239" spans="4:4" x14ac:dyDescent="0.25">
      <c r="D4239"/>
    </row>
    <row r="4240" spans="4:4" x14ac:dyDescent="0.25">
      <c r="D4240"/>
    </row>
    <row r="4241" spans="4:4" x14ac:dyDescent="0.25">
      <c r="D4241"/>
    </row>
    <row r="4242" spans="4:4" x14ac:dyDescent="0.25">
      <c r="D4242"/>
    </row>
    <row r="4243" spans="4:4" x14ac:dyDescent="0.25">
      <c r="D4243"/>
    </row>
    <row r="4244" spans="4:4" x14ac:dyDescent="0.25">
      <c r="D4244"/>
    </row>
    <row r="4245" spans="4:4" x14ac:dyDescent="0.25">
      <c r="D4245"/>
    </row>
    <row r="4246" spans="4:4" x14ac:dyDescent="0.25">
      <c r="D4246"/>
    </row>
    <row r="4247" spans="4:4" x14ac:dyDescent="0.25">
      <c r="D4247"/>
    </row>
    <row r="4248" spans="4:4" x14ac:dyDescent="0.25">
      <c r="D4248"/>
    </row>
    <row r="4249" spans="4:4" x14ac:dyDescent="0.25">
      <c r="D4249"/>
    </row>
    <row r="4250" spans="4:4" x14ac:dyDescent="0.25">
      <c r="D4250"/>
    </row>
    <row r="4251" spans="4:4" x14ac:dyDescent="0.25">
      <c r="D4251"/>
    </row>
    <row r="4252" spans="4:4" x14ac:dyDescent="0.25">
      <c r="D4252"/>
    </row>
    <row r="4253" spans="4:4" x14ac:dyDescent="0.25">
      <c r="D4253"/>
    </row>
    <row r="4254" spans="4:4" x14ac:dyDescent="0.25">
      <c r="D4254"/>
    </row>
    <row r="4255" spans="4:4" x14ac:dyDescent="0.25">
      <c r="D4255"/>
    </row>
    <row r="4256" spans="4:4" x14ac:dyDescent="0.25">
      <c r="D4256"/>
    </row>
    <row r="4257" spans="4:4" x14ac:dyDescent="0.25">
      <c r="D4257"/>
    </row>
    <row r="4258" spans="4:4" x14ac:dyDescent="0.25">
      <c r="D4258"/>
    </row>
    <row r="4259" spans="4:4" x14ac:dyDescent="0.25">
      <c r="D4259"/>
    </row>
    <row r="4260" spans="4:4" x14ac:dyDescent="0.25">
      <c r="D4260"/>
    </row>
    <row r="4261" spans="4:4" x14ac:dyDescent="0.25">
      <c r="D4261"/>
    </row>
    <row r="4262" spans="4:4" x14ac:dyDescent="0.25">
      <c r="D4262"/>
    </row>
    <row r="4263" spans="4:4" x14ac:dyDescent="0.25">
      <c r="D4263"/>
    </row>
    <row r="4264" spans="4:4" x14ac:dyDescent="0.25">
      <c r="D4264"/>
    </row>
    <row r="4265" spans="4:4" x14ac:dyDescent="0.25">
      <c r="D4265"/>
    </row>
    <row r="4266" spans="4:4" x14ac:dyDescent="0.25">
      <c r="D4266"/>
    </row>
    <row r="4267" spans="4:4" x14ac:dyDescent="0.25">
      <c r="D4267"/>
    </row>
    <row r="4268" spans="4:4" x14ac:dyDescent="0.25">
      <c r="D4268"/>
    </row>
    <row r="4269" spans="4:4" x14ac:dyDescent="0.25">
      <c r="D4269"/>
    </row>
    <row r="4270" spans="4:4" x14ac:dyDescent="0.25">
      <c r="D4270"/>
    </row>
    <row r="4271" spans="4:4" x14ac:dyDescent="0.25">
      <c r="D4271"/>
    </row>
    <row r="4272" spans="4:4" x14ac:dyDescent="0.25">
      <c r="D4272"/>
    </row>
    <row r="4273" spans="4:4" x14ac:dyDescent="0.25">
      <c r="D4273"/>
    </row>
    <row r="4274" spans="4:4" x14ac:dyDescent="0.25">
      <c r="D4274"/>
    </row>
    <row r="4275" spans="4:4" x14ac:dyDescent="0.25">
      <c r="D4275"/>
    </row>
    <row r="4276" spans="4:4" x14ac:dyDescent="0.25">
      <c r="D4276"/>
    </row>
    <row r="4277" spans="4:4" x14ac:dyDescent="0.25">
      <c r="D4277"/>
    </row>
    <row r="4278" spans="4:4" x14ac:dyDescent="0.25">
      <c r="D4278"/>
    </row>
    <row r="4279" spans="4:4" x14ac:dyDescent="0.25">
      <c r="D4279"/>
    </row>
    <row r="4280" spans="4:4" x14ac:dyDescent="0.25">
      <c r="D4280"/>
    </row>
    <row r="4281" spans="4:4" x14ac:dyDescent="0.25">
      <c r="D4281"/>
    </row>
    <row r="4282" spans="4:4" x14ac:dyDescent="0.25">
      <c r="D4282"/>
    </row>
    <row r="4283" spans="4:4" x14ac:dyDescent="0.25">
      <c r="D4283"/>
    </row>
    <row r="4284" spans="4:4" x14ac:dyDescent="0.25">
      <c r="D4284"/>
    </row>
    <row r="4285" spans="4:4" x14ac:dyDescent="0.25">
      <c r="D4285"/>
    </row>
    <row r="4286" spans="4:4" x14ac:dyDescent="0.25">
      <c r="D4286"/>
    </row>
    <row r="4287" spans="4:4" x14ac:dyDescent="0.25">
      <c r="D4287"/>
    </row>
    <row r="4288" spans="4:4" x14ac:dyDescent="0.25">
      <c r="D4288"/>
    </row>
    <row r="4289" spans="4:4" x14ac:dyDescent="0.25">
      <c r="D4289"/>
    </row>
    <row r="4290" spans="4:4" x14ac:dyDescent="0.25">
      <c r="D4290"/>
    </row>
    <row r="4291" spans="4:4" x14ac:dyDescent="0.25">
      <c r="D4291"/>
    </row>
    <row r="4292" spans="4:4" x14ac:dyDescent="0.25">
      <c r="D4292"/>
    </row>
    <row r="4293" spans="4:4" x14ac:dyDescent="0.25">
      <c r="D4293"/>
    </row>
    <row r="4294" spans="4:4" x14ac:dyDescent="0.25">
      <c r="D4294"/>
    </row>
    <row r="4295" spans="4:4" x14ac:dyDescent="0.25">
      <c r="D4295"/>
    </row>
    <row r="4296" spans="4:4" x14ac:dyDescent="0.25">
      <c r="D4296"/>
    </row>
    <row r="4297" spans="4:4" x14ac:dyDescent="0.25">
      <c r="D4297"/>
    </row>
    <row r="4298" spans="4:4" x14ac:dyDescent="0.25">
      <c r="D4298"/>
    </row>
    <row r="4299" spans="4:4" x14ac:dyDescent="0.25">
      <c r="D4299"/>
    </row>
    <row r="4300" spans="4:4" x14ac:dyDescent="0.25">
      <c r="D4300"/>
    </row>
    <row r="4301" spans="4:4" x14ac:dyDescent="0.25">
      <c r="D4301"/>
    </row>
    <row r="4302" spans="4:4" x14ac:dyDescent="0.25">
      <c r="D4302"/>
    </row>
    <row r="4303" spans="4:4" x14ac:dyDescent="0.25">
      <c r="D4303"/>
    </row>
    <row r="4304" spans="4:4" x14ac:dyDescent="0.25">
      <c r="D4304"/>
    </row>
    <row r="4305" spans="4:4" x14ac:dyDescent="0.25">
      <c r="D4305"/>
    </row>
    <row r="4306" spans="4:4" x14ac:dyDescent="0.25">
      <c r="D4306"/>
    </row>
    <row r="4307" spans="4:4" x14ac:dyDescent="0.25">
      <c r="D4307"/>
    </row>
    <row r="4308" spans="4:4" x14ac:dyDescent="0.25">
      <c r="D4308"/>
    </row>
    <row r="4309" spans="4:4" x14ac:dyDescent="0.25">
      <c r="D4309"/>
    </row>
    <row r="4310" spans="4:4" x14ac:dyDescent="0.25">
      <c r="D4310"/>
    </row>
    <row r="4311" spans="4:4" x14ac:dyDescent="0.25">
      <c r="D4311"/>
    </row>
    <row r="4312" spans="4:4" x14ac:dyDescent="0.25">
      <c r="D4312"/>
    </row>
    <row r="4313" spans="4:4" x14ac:dyDescent="0.25">
      <c r="D4313"/>
    </row>
    <row r="4314" spans="4:4" x14ac:dyDescent="0.25">
      <c r="D4314"/>
    </row>
    <row r="4315" spans="4:4" x14ac:dyDescent="0.25">
      <c r="D4315"/>
    </row>
    <row r="4316" spans="4:4" x14ac:dyDescent="0.25">
      <c r="D4316"/>
    </row>
    <row r="4317" spans="4:4" x14ac:dyDescent="0.25">
      <c r="D4317"/>
    </row>
    <row r="4318" spans="4:4" x14ac:dyDescent="0.25">
      <c r="D4318"/>
    </row>
    <row r="4319" spans="4:4" x14ac:dyDescent="0.25">
      <c r="D4319"/>
    </row>
    <row r="4320" spans="4:4" x14ac:dyDescent="0.25">
      <c r="D4320"/>
    </row>
    <row r="4321" spans="4:4" x14ac:dyDescent="0.25">
      <c r="D4321"/>
    </row>
    <row r="4322" spans="4:4" x14ac:dyDescent="0.25">
      <c r="D4322"/>
    </row>
    <row r="4323" spans="4:4" x14ac:dyDescent="0.25">
      <c r="D4323"/>
    </row>
    <row r="4324" spans="4:4" x14ac:dyDescent="0.25">
      <c r="D4324"/>
    </row>
    <row r="4325" spans="4:4" x14ac:dyDescent="0.25">
      <c r="D4325"/>
    </row>
    <row r="4326" spans="4:4" x14ac:dyDescent="0.25">
      <c r="D4326"/>
    </row>
    <row r="4327" spans="4:4" x14ac:dyDescent="0.25">
      <c r="D4327"/>
    </row>
    <row r="4328" spans="4:4" x14ac:dyDescent="0.25">
      <c r="D4328"/>
    </row>
    <row r="4329" spans="4:4" x14ac:dyDescent="0.25">
      <c r="D4329"/>
    </row>
    <row r="4330" spans="4:4" x14ac:dyDescent="0.25">
      <c r="D4330"/>
    </row>
    <row r="4331" spans="4:4" x14ac:dyDescent="0.25">
      <c r="D4331"/>
    </row>
    <row r="4332" spans="4:4" x14ac:dyDescent="0.25">
      <c r="D4332"/>
    </row>
    <row r="4333" spans="4:4" x14ac:dyDescent="0.25">
      <c r="D4333"/>
    </row>
    <row r="4334" spans="4:4" x14ac:dyDescent="0.25">
      <c r="D4334"/>
    </row>
    <row r="4335" spans="4:4" x14ac:dyDescent="0.25">
      <c r="D4335"/>
    </row>
    <row r="4336" spans="4:4" x14ac:dyDescent="0.25">
      <c r="D4336"/>
    </row>
    <row r="4337" spans="4:4" x14ac:dyDescent="0.25">
      <c r="D4337"/>
    </row>
    <row r="4338" spans="4:4" x14ac:dyDescent="0.25">
      <c r="D4338"/>
    </row>
    <row r="4339" spans="4:4" x14ac:dyDescent="0.25">
      <c r="D4339"/>
    </row>
    <row r="4340" spans="4:4" x14ac:dyDescent="0.25">
      <c r="D4340"/>
    </row>
    <row r="4341" spans="4:4" x14ac:dyDescent="0.25">
      <c r="D4341"/>
    </row>
    <row r="4342" spans="4:4" x14ac:dyDescent="0.25">
      <c r="D4342"/>
    </row>
    <row r="4343" spans="4:4" x14ac:dyDescent="0.25">
      <c r="D4343"/>
    </row>
    <row r="4344" spans="4:4" x14ac:dyDescent="0.25">
      <c r="D4344"/>
    </row>
    <row r="4345" spans="4:4" x14ac:dyDescent="0.25">
      <c r="D4345"/>
    </row>
    <row r="4346" spans="4:4" x14ac:dyDescent="0.25">
      <c r="D4346"/>
    </row>
    <row r="4347" spans="4:4" x14ac:dyDescent="0.25">
      <c r="D4347"/>
    </row>
    <row r="4348" spans="4:4" x14ac:dyDescent="0.25">
      <c r="D4348"/>
    </row>
    <row r="4349" spans="4:4" x14ac:dyDescent="0.25">
      <c r="D4349"/>
    </row>
    <row r="4350" spans="4:4" x14ac:dyDescent="0.25">
      <c r="D4350"/>
    </row>
    <row r="4351" spans="4:4" x14ac:dyDescent="0.25">
      <c r="D4351"/>
    </row>
    <row r="4352" spans="4:4" x14ac:dyDescent="0.25">
      <c r="D4352"/>
    </row>
    <row r="4353" spans="4:4" x14ac:dyDescent="0.25">
      <c r="D4353"/>
    </row>
    <row r="4354" spans="4:4" x14ac:dyDescent="0.25">
      <c r="D4354"/>
    </row>
    <row r="4355" spans="4:4" x14ac:dyDescent="0.25">
      <c r="D4355"/>
    </row>
    <row r="4356" spans="4:4" x14ac:dyDescent="0.25">
      <c r="D4356"/>
    </row>
    <row r="4357" spans="4:4" x14ac:dyDescent="0.25">
      <c r="D4357"/>
    </row>
    <row r="4358" spans="4:4" x14ac:dyDescent="0.25">
      <c r="D4358"/>
    </row>
    <row r="4359" spans="4:4" x14ac:dyDescent="0.25">
      <c r="D4359"/>
    </row>
    <row r="4360" spans="4:4" x14ac:dyDescent="0.25">
      <c r="D4360"/>
    </row>
    <row r="4361" spans="4:4" x14ac:dyDescent="0.25">
      <c r="D4361"/>
    </row>
    <row r="4362" spans="4:4" x14ac:dyDescent="0.25">
      <c r="D4362"/>
    </row>
    <row r="4363" spans="4:4" x14ac:dyDescent="0.25">
      <c r="D4363"/>
    </row>
    <row r="4364" spans="4:4" x14ac:dyDescent="0.25">
      <c r="D4364"/>
    </row>
    <row r="4365" spans="4:4" x14ac:dyDescent="0.25">
      <c r="D4365"/>
    </row>
    <row r="4366" spans="4:4" x14ac:dyDescent="0.25">
      <c r="D4366"/>
    </row>
    <row r="4367" spans="4:4" x14ac:dyDescent="0.25">
      <c r="D4367"/>
    </row>
    <row r="4368" spans="4:4" x14ac:dyDescent="0.25">
      <c r="D4368"/>
    </row>
    <row r="4369" spans="4:4" x14ac:dyDescent="0.25">
      <c r="D4369"/>
    </row>
    <row r="4370" spans="4:4" x14ac:dyDescent="0.25">
      <c r="D4370"/>
    </row>
    <row r="4371" spans="4:4" x14ac:dyDescent="0.25">
      <c r="D4371"/>
    </row>
    <row r="4372" spans="4:4" x14ac:dyDescent="0.25">
      <c r="D4372"/>
    </row>
    <row r="4373" spans="4:4" x14ac:dyDescent="0.25">
      <c r="D4373"/>
    </row>
    <row r="4374" spans="4:4" x14ac:dyDescent="0.25">
      <c r="D4374"/>
    </row>
    <row r="4375" spans="4:4" x14ac:dyDescent="0.25">
      <c r="D4375"/>
    </row>
    <row r="4376" spans="4:4" x14ac:dyDescent="0.25">
      <c r="D4376"/>
    </row>
    <row r="4377" spans="4:4" x14ac:dyDescent="0.25">
      <c r="D4377"/>
    </row>
    <row r="4378" spans="4:4" x14ac:dyDescent="0.25">
      <c r="D4378"/>
    </row>
    <row r="4379" spans="4:4" x14ac:dyDescent="0.25">
      <c r="D4379"/>
    </row>
    <row r="4380" spans="4:4" x14ac:dyDescent="0.25">
      <c r="D4380"/>
    </row>
    <row r="4381" spans="4:4" x14ac:dyDescent="0.25">
      <c r="D4381"/>
    </row>
    <row r="4382" spans="4:4" x14ac:dyDescent="0.25">
      <c r="D4382"/>
    </row>
    <row r="4383" spans="4:4" x14ac:dyDescent="0.25">
      <c r="D4383"/>
    </row>
    <row r="4384" spans="4:4" x14ac:dyDescent="0.25">
      <c r="D4384"/>
    </row>
    <row r="4385" spans="4:4" x14ac:dyDescent="0.25">
      <c r="D4385"/>
    </row>
    <row r="4386" spans="4:4" x14ac:dyDescent="0.25">
      <c r="D4386"/>
    </row>
    <row r="4387" spans="4:4" x14ac:dyDescent="0.25">
      <c r="D4387"/>
    </row>
    <row r="4388" spans="4:4" x14ac:dyDescent="0.25">
      <c r="D4388"/>
    </row>
    <row r="4389" spans="4:4" x14ac:dyDescent="0.25">
      <c r="D4389"/>
    </row>
    <row r="4390" spans="4:4" x14ac:dyDescent="0.25">
      <c r="D4390"/>
    </row>
    <row r="4391" spans="4:4" x14ac:dyDescent="0.25">
      <c r="D4391"/>
    </row>
    <row r="4392" spans="4:4" x14ac:dyDescent="0.25">
      <c r="D4392"/>
    </row>
    <row r="4393" spans="4:4" x14ac:dyDescent="0.25">
      <c r="D4393"/>
    </row>
    <row r="4394" spans="4:4" x14ac:dyDescent="0.25">
      <c r="D4394"/>
    </row>
    <row r="4395" spans="4:4" x14ac:dyDescent="0.25">
      <c r="D4395"/>
    </row>
    <row r="4396" spans="4:4" x14ac:dyDescent="0.25">
      <c r="D4396"/>
    </row>
    <row r="4397" spans="4:4" x14ac:dyDescent="0.25">
      <c r="D4397"/>
    </row>
    <row r="4398" spans="4:4" x14ac:dyDescent="0.25">
      <c r="D4398"/>
    </row>
    <row r="4399" spans="4:4" x14ac:dyDescent="0.25">
      <c r="D4399"/>
    </row>
    <row r="4400" spans="4:4" x14ac:dyDescent="0.25">
      <c r="D4400"/>
    </row>
    <row r="4401" spans="4:4" x14ac:dyDescent="0.25">
      <c r="D4401"/>
    </row>
    <row r="4402" spans="4:4" x14ac:dyDescent="0.25">
      <c r="D4402"/>
    </row>
    <row r="4403" spans="4:4" x14ac:dyDescent="0.25">
      <c r="D4403"/>
    </row>
    <row r="4404" spans="4:4" x14ac:dyDescent="0.25">
      <c r="D4404"/>
    </row>
    <row r="4405" spans="4:4" x14ac:dyDescent="0.25">
      <c r="D4405"/>
    </row>
    <row r="4406" spans="4:4" x14ac:dyDescent="0.25">
      <c r="D4406"/>
    </row>
    <row r="4407" spans="4:4" x14ac:dyDescent="0.25">
      <c r="D4407"/>
    </row>
    <row r="4408" spans="4:4" x14ac:dyDescent="0.25">
      <c r="D4408"/>
    </row>
    <row r="4409" spans="4:4" x14ac:dyDescent="0.25">
      <c r="D4409"/>
    </row>
    <row r="4410" spans="4:4" x14ac:dyDescent="0.25">
      <c r="D4410"/>
    </row>
    <row r="4411" spans="4:4" x14ac:dyDescent="0.25">
      <c r="D4411"/>
    </row>
    <row r="4412" spans="4:4" x14ac:dyDescent="0.25">
      <c r="D4412"/>
    </row>
    <row r="4413" spans="4:4" x14ac:dyDescent="0.25">
      <c r="D4413"/>
    </row>
    <row r="4414" spans="4:4" x14ac:dyDescent="0.25">
      <c r="D4414"/>
    </row>
    <row r="4415" spans="4:4" x14ac:dyDescent="0.25">
      <c r="D4415"/>
    </row>
    <row r="4416" spans="4:4" x14ac:dyDescent="0.25">
      <c r="D4416"/>
    </row>
    <row r="4417" spans="4:4" x14ac:dyDescent="0.25">
      <c r="D4417"/>
    </row>
    <row r="4418" spans="4:4" x14ac:dyDescent="0.25">
      <c r="D4418"/>
    </row>
    <row r="4419" spans="4:4" x14ac:dyDescent="0.25">
      <c r="D4419"/>
    </row>
    <row r="4420" spans="4:4" x14ac:dyDescent="0.25">
      <c r="D4420"/>
    </row>
    <row r="4421" spans="4:4" x14ac:dyDescent="0.25">
      <c r="D4421"/>
    </row>
    <row r="4422" spans="4:4" x14ac:dyDescent="0.25">
      <c r="D4422"/>
    </row>
    <row r="4423" spans="4:4" x14ac:dyDescent="0.25">
      <c r="D4423"/>
    </row>
    <row r="4424" spans="4:4" x14ac:dyDescent="0.25">
      <c r="D4424"/>
    </row>
    <row r="4425" spans="4:4" x14ac:dyDescent="0.25">
      <c r="D4425"/>
    </row>
    <row r="4426" spans="4:4" x14ac:dyDescent="0.25">
      <c r="D4426"/>
    </row>
    <row r="4427" spans="4:4" x14ac:dyDescent="0.25">
      <c r="D4427"/>
    </row>
    <row r="4428" spans="4:4" x14ac:dyDescent="0.25">
      <c r="D4428"/>
    </row>
    <row r="4429" spans="4:4" x14ac:dyDescent="0.25">
      <c r="D4429"/>
    </row>
    <row r="4430" spans="4:4" x14ac:dyDescent="0.25">
      <c r="D4430"/>
    </row>
    <row r="4431" spans="4:4" x14ac:dyDescent="0.25">
      <c r="D4431"/>
    </row>
    <row r="4432" spans="4:4" x14ac:dyDescent="0.25">
      <c r="D4432"/>
    </row>
    <row r="4433" spans="4:4" x14ac:dyDescent="0.25">
      <c r="D4433"/>
    </row>
    <row r="4434" spans="4:4" x14ac:dyDescent="0.25">
      <c r="D4434"/>
    </row>
    <row r="4435" spans="4:4" x14ac:dyDescent="0.25">
      <c r="D4435"/>
    </row>
    <row r="4436" spans="4:4" x14ac:dyDescent="0.25">
      <c r="D4436"/>
    </row>
    <row r="4437" spans="4:4" x14ac:dyDescent="0.25">
      <c r="D4437"/>
    </row>
    <row r="4438" spans="4:4" x14ac:dyDescent="0.25">
      <c r="D4438"/>
    </row>
    <row r="4439" spans="4:4" x14ac:dyDescent="0.25">
      <c r="D4439"/>
    </row>
    <row r="4440" spans="4:4" x14ac:dyDescent="0.25">
      <c r="D4440"/>
    </row>
    <row r="4441" spans="4:4" x14ac:dyDescent="0.25">
      <c r="D4441"/>
    </row>
    <row r="4442" spans="4:4" x14ac:dyDescent="0.25">
      <c r="D4442"/>
    </row>
    <row r="4443" spans="4:4" x14ac:dyDescent="0.25">
      <c r="D4443"/>
    </row>
    <row r="4444" spans="4:4" x14ac:dyDescent="0.25">
      <c r="D4444"/>
    </row>
    <row r="4445" spans="4:4" x14ac:dyDescent="0.25">
      <c r="D4445"/>
    </row>
    <row r="4446" spans="4:4" x14ac:dyDescent="0.25">
      <c r="D4446"/>
    </row>
    <row r="4447" spans="4:4" x14ac:dyDescent="0.25">
      <c r="D4447"/>
    </row>
    <row r="4448" spans="4:4" x14ac:dyDescent="0.25">
      <c r="D4448"/>
    </row>
    <row r="4449" spans="4:4" x14ac:dyDescent="0.25">
      <c r="D4449"/>
    </row>
    <row r="4450" spans="4:4" x14ac:dyDescent="0.25">
      <c r="D4450"/>
    </row>
    <row r="4451" spans="4:4" x14ac:dyDescent="0.25">
      <c r="D4451"/>
    </row>
    <row r="4452" spans="4:4" x14ac:dyDescent="0.25">
      <c r="D4452"/>
    </row>
    <row r="4453" spans="4:4" x14ac:dyDescent="0.25">
      <c r="D4453"/>
    </row>
    <row r="4454" spans="4:4" x14ac:dyDescent="0.25">
      <c r="D4454"/>
    </row>
    <row r="4455" spans="4:4" x14ac:dyDescent="0.25">
      <c r="D4455"/>
    </row>
    <row r="4456" spans="4:4" x14ac:dyDescent="0.25">
      <c r="D4456"/>
    </row>
    <row r="4457" spans="4:4" x14ac:dyDescent="0.25">
      <c r="D4457"/>
    </row>
    <row r="4458" spans="4:4" x14ac:dyDescent="0.25">
      <c r="D4458"/>
    </row>
    <row r="4459" spans="4:4" x14ac:dyDescent="0.25">
      <c r="D4459"/>
    </row>
    <row r="4460" spans="4:4" x14ac:dyDescent="0.25">
      <c r="D4460"/>
    </row>
    <row r="4461" spans="4:4" x14ac:dyDescent="0.25">
      <c r="D4461"/>
    </row>
    <row r="4462" spans="4:4" x14ac:dyDescent="0.25">
      <c r="D4462"/>
    </row>
    <row r="4463" spans="4:4" x14ac:dyDescent="0.25">
      <c r="D4463"/>
    </row>
    <row r="4464" spans="4:4" x14ac:dyDescent="0.25">
      <c r="D4464"/>
    </row>
    <row r="4465" spans="4:4" x14ac:dyDescent="0.25">
      <c r="D4465"/>
    </row>
    <row r="4466" spans="4:4" x14ac:dyDescent="0.25">
      <c r="D4466"/>
    </row>
    <row r="4467" spans="4:4" x14ac:dyDescent="0.25">
      <c r="D4467"/>
    </row>
    <row r="4468" spans="4:4" x14ac:dyDescent="0.25">
      <c r="D4468"/>
    </row>
    <row r="4469" spans="4:4" x14ac:dyDescent="0.25">
      <c r="D4469"/>
    </row>
    <row r="4470" spans="4:4" x14ac:dyDescent="0.25">
      <c r="D4470"/>
    </row>
    <row r="4471" spans="4:4" x14ac:dyDescent="0.25">
      <c r="D4471"/>
    </row>
    <row r="4472" spans="4:4" x14ac:dyDescent="0.25">
      <c r="D4472"/>
    </row>
    <row r="4473" spans="4:4" x14ac:dyDescent="0.25">
      <c r="D4473"/>
    </row>
    <row r="4474" spans="4:4" x14ac:dyDescent="0.25">
      <c r="D4474"/>
    </row>
    <row r="4475" spans="4:4" x14ac:dyDescent="0.25">
      <c r="D4475"/>
    </row>
    <row r="4476" spans="4:4" x14ac:dyDescent="0.25">
      <c r="D4476"/>
    </row>
    <row r="4477" spans="4:4" x14ac:dyDescent="0.25">
      <c r="D4477"/>
    </row>
    <row r="4478" spans="4:4" x14ac:dyDescent="0.25">
      <c r="D4478"/>
    </row>
    <row r="4479" spans="4:4" x14ac:dyDescent="0.25">
      <c r="D4479"/>
    </row>
    <row r="4480" spans="4:4" x14ac:dyDescent="0.25">
      <c r="D4480"/>
    </row>
    <row r="4481" spans="4:4" x14ac:dyDescent="0.25">
      <c r="D4481"/>
    </row>
    <row r="4482" spans="4:4" x14ac:dyDescent="0.25">
      <c r="D4482"/>
    </row>
    <row r="4483" spans="4:4" x14ac:dyDescent="0.25">
      <c r="D4483"/>
    </row>
    <row r="4484" spans="4:4" x14ac:dyDescent="0.25">
      <c r="D4484"/>
    </row>
    <row r="4485" spans="4:4" x14ac:dyDescent="0.25">
      <c r="D4485"/>
    </row>
    <row r="4486" spans="4:4" x14ac:dyDescent="0.25">
      <c r="D4486"/>
    </row>
    <row r="4487" spans="4:4" x14ac:dyDescent="0.25">
      <c r="D4487"/>
    </row>
    <row r="4488" spans="4:4" x14ac:dyDescent="0.25">
      <c r="D4488"/>
    </row>
    <row r="4489" spans="4:4" x14ac:dyDescent="0.25">
      <c r="D4489"/>
    </row>
    <row r="4490" spans="4:4" x14ac:dyDescent="0.25">
      <c r="D4490"/>
    </row>
    <row r="4491" spans="4:4" x14ac:dyDescent="0.25">
      <c r="D4491"/>
    </row>
    <row r="4492" spans="4:4" x14ac:dyDescent="0.25">
      <c r="D4492"/>
    </row>
    <row r="4493" spans="4:4" x14ac:dyDescent="0.25">
      <c r="D4493"/>
    </row>
    <row r="4494" spans="4:4" x14ac:dyDescent="0.25">
      <c r="D4494"/>
    </row>
    <row r="4495" spans="4:4" x14ac:dyDescent="0.25">
      <c r="D4495"/>
    </row>
    <row r="4496" spans="4:4" x14ac:dyDescent="0.25">
      <c r="D4496"/>
    </row>
    <row r="4497" spans="4:4" x14ac:dyDescent="0.25">
      <c r="D4497"/>
    </row>
    <row r="4498" spans="4:4" x14ac:dyDescent="0.25">
      <c r="D4498"/>
    </row>
    <row r="4499" spans="4:4" x14ac:dyDescent="0.25">
      <c r="D4499"/>
    </row>
    <row r="4500" spans="4:4" x14ac:dyDescent="0.25">
      <c r="D4500"/>
    </row>
    <row r="4501" spans="4:4" x14ac:dyDescent="0.25">
      <c r="D4501"/>
    </row>
    <row r="4502" spans="4:4" x14ac:dyDescent="0.25">
      <c r="D4502"/>
    </row>
    <row r="4503" spans="4:4" x14ac:dyDescent="0.25">
      <c r="D4503"/>
    </row>
    <row r="4504" spans="4:4" x14ac:dyDescent="0.25">
      <c r="D4504"/>
    </row>
    <row r="4505" spans="4:4" x14ac:dyDescent="0.25">
      <c r="D4505"/>
    </row>
    <row r="4506" spans="4:4" x14ac:dyDescent="0.25">
      <c r="D4506"/>
    </row>
    <row r="4507" spans="4:4" x14ac:dyDescent="0.25">
      <c r="D4507"/>
    </row>
    <row r="4508" spans="4:4" x14ac:dyDescent="0.25">
      <c r="D4508"/>
    </row>
    <row r="4509" spans="4:4" x14ac:dyDescent="0.25">
      <c r="D4509"/>
    </row>
    <row r="4510" spans="4:4" x14ac:dyDescent="0.25">
      <c r="D4510"/>
    </row>
    <row r="4511" spans="4:4" x14ac:dyDescent="0.25">
      <c r="D4511"/>
    </row>
    <row r="4512" spans="4:4" x14ac:dyDescent="0.25">
      <c r="D4512"/>
    </row>
    <row r="4513" spans="4:4" x14ac:dyDescent="0.25">
      <c r="D4513"/>
    </row>
    <row r="4514" spans="4:4" x14ac:dyDescent="0.25">
      <c r="D4514"/>
    </row>
    <row r="4515" spans="4:4" x14ac:dyDescent="0.25">
      <c r="D4515"/>
    </row>
    <row r="4516" spans="4:4" x14ac:dyDescent="0.25">
      <c r="D4516"/>
    </row>
    <row r="4517" spans="4:4" x14ac:dyDescent="0.25">
      <c r="D4517"/>
    </row>
    <row r="4518" spans="4:4" x14ac:dyDescent="0.25">
      <c r="D4518"/>
    </row>
    <row r="4519" spans="4:4" x14ac:dyDescent="0.25">
      <c r="D4519"/>
    </row>
    <row r="4520" spans="4:4" x14ac:dyDescent="0.25">
      <c r="D4520"/>
    </row>
    <row r="4521" spans="4:4" x14ac:dyDescent="0.25">
      <c r="D4521"/>
    </row>
    <row r="4522" spans="4:4" x14ac:dyDescent="0.25">
      <c r="D4522"/>
    </row>
    <row r="4523" spans="4:4" x14ac:dyDescent="0.25">
      <c r="D4523"/>
    </row>
    <row r="4524" spans="4:4" x14ac:dyDescent="0.25">
      <c r="D4524"/>
    </row>
    <row r="4525" spans="4:4" x14ac:dyDescent="0.25">
      <c r="D4525"/>
    </row>
    <row r="4526" spans="4:4" x14ac:dyDescent="0.25">
      <c r="D4526"/>
    </row>
    <row r="4527" spans="4:4" x14ac:dyDescent="0.25">
      <c r="D4527"/>
    </row>
    <row r="4528" spans="4:4" x14ac:dyDescent="0.25">
      <c r="D4528"/>
    </row>
    <row r="4529" spans="4:4" x14ac:dyDescent="0.25">
      <c r="D4529"/>
    </row>
    <row r="4530" spans="4:4" x14ac:dyDescent="0.25">
      <c r="D4530"/>
    </row>
    <row r="4531" spans="4:4" x14ac:dyDescent="0.25">
      <c r="D4531"/>
    </row>
    <row r="4532" spans="4:4" x14ac:dyDescent="0.25">
      <c r="D4532"/>
    </row>
    <row r="4533" spans="4:4" x14ac:dyDescent="0.25">
      <c r="D4533"/>
    </row>
    <row r="4534" spans="4:4" x14ac:dyDescent="0.25">
      <c r="D4534"/>
    </row>
    <row r="4535" spans="4:4" x14ac:dyDescent="0.25">
      <c r="D4535"/>
    </row>
    <row r="4536" spans="4:4" x14ac:dyDescent="0.25">
      <c r="D4536"/>
    </row>
    <row r="4537" spans="4:4" x14ac:dyDescent="0.25">
      <c r="D4537"/>
    </row>
    <row r="4538" spans="4:4" x14ac:dyDescent="0.25">
      <c r="D4538"/>
    </row>
    <row r="4539" spans="4:4" x14ac:dyDescent="0.25">
      <c r="D4539"/>
    </row>
    <row r="4540" spans="4:4" x14ac:dyDescent="0.25">
      <c r="D4540"/>
    </row>
    <row r="4541" spans="4:4" x14ac:dyDescent="0.25">
      <c r="D4541"/>
    </row>
    <row r="4542" spans="4:4" x14ac:dyDescent="0.25">
      <c r="D4542"/>
    </row>
    <row r="4543" spans="4:4" x14ac:dyDescent="0.25">
      <c r="D4543"/>
    </row>
    <row r="4544" spans="4:4" x14ac:dyDescent="0.25">
      <c r="D4544"/>
    </row>
    <row r="4545" spans="4:4" x14ac:dyDescent="0.25">
      <c r="D4545"/>
    </row>
    <row r="4546" spans="4:4" x14ac:dyDescent="0.25">
      <c r="D4546"/>
    </row>
    <row r="4547" spans="4:4" x14ac:dyDescent="0.25">
      <c r="D4547"/>
    </row>
    <row r="4548" spans="4:4" x14ac:dyDescent="0.25">
      <c r="D4548"/>
    </row>
    <row r="4549" spans="4:4" x14ac:dyDescent="0.25">
      <c r="D4549"/>
    </row>
    <row r="4550" spans="4:4" x14ac:dyDescent="0.25">
      <c r="D4550"/>
    </row>
    <row r="4551" spans="4:4" x14ac:dyDescent="0.25">
      <c r="D4551"/>
    </row>
    <row r="4552" spans="4:4" x14ac:dyDescent="0.25">
      <c r="D4552"/>
    </row>
    <row r="4553" spans="4:4" x14ac:dyDescent="0.25">
      <c r="D4553"/>
    </row>
    <row r="4554" spans="4:4" x14ac:dyDescent="0.25">
      <c r="D4554"/>
    </row>
    <row r="4555" spans="4:4" x14ac:dyDescent="0.25">
      <c r="D4555"/>
    </row>
    <row r="4556" spans="4:4" x14ac:dyDescent="0.25">
      <c r="D4556"/>
    </row>
    <row r="4557" spans="4:4" x14ac:dyDescent="0.25">
      <c r="D4557"/>
    </row>
    <row r="4558" spans="4:4" x14ac:dyDescent="0.25">
      <c r="D4558"/>
    </row>
    <row r="4559" spans="4:4" x14ac:dyDescent="0.25">
      <c r="D4559"/>
    </row>
    <row r="4560" spans="4:4" x14ac:dyDescent="0.25">
      <c r="D4560"/>
    </row>
    <row r="4561" spans="4:4" x14ac:dyDescent="0.25">
      <c r="D4561"/>
    </row>
    <row r="4562" spans="4:4" x14ac:dyDescent="0.25">
      <c r="D4562"/>
    </row>
    <row r="4563" spans="4:4" x14ac:dyDescent="0.25">
      <c r="D4563"/>
    </row>
    <row r="4564" spans="4:4" x14ac:dyDescent="0.25">
      <c r="D4564"/>
    </row>
    <row r="4565" spans="4:4" x14ac:dyDescent="0.25">
      <c r="D4565"/>
    </row>
    <row r="4566" spans="4:4" x14ac:dyDescent="0.25">
      <c r="D4566"/>
    </row>
    <row r="4567" spans="4:4" x14ac:dyDescent="0.25">
      <c r="D4567"/>
    </row>
    <row r="4568" spans="4:4" x14ac:dyDescent="0.25">
      <c r="D4568"/>
    </row>
    <row r="4569" spans="4:4" x14ac:dyDescent="0.25">
      <c r="D4569"/>
    </row>
    <row r="4570" spans="4:4" x14ac:dyDescent="0.25">
      <c r="D4570"/>
    </row>
    <row r="4571" spans="4:4" x14ac:dyDescent="0.25">
      <c r="D4571"/>
    </row>
    <row r="4572" spans="4:4" x14ac:dyDescent="0.25">
      <c r="D4572"/>
    </row>
    <row r="4573" spans="4:4" x14ac:dyDescent="0.25">
      <c r="D4573"/>
    </row>
    <row r="4574" spans="4:4" x14ac:dyDescent="0.25">
      <c r="D4574"/>
    </row>
    <row r="4575" spans="4:4" x14ac:dyDescent="0.25">
      <c r="D4575"/>
    </row>
    <row r="4576" spans="4:4" x14ac:dyDescent="0.25">
      <c r="D4576"/>
    </row>
    <row r="4577" spans="4:4" x14ac:dyDescent="0.25">
      <c r="D4577"/>
    </row>
    <row r="4578" spans="4:4" x14ac:dyDescent="0.25">
      <c r="D4578"/>
    </row>
    <row r="4579" spans="4:4" x14ac:dyDescent="0.25">
      <c r="D4579"/>
    </row>
    <row r="4580" spans="4:4" x14ac:dyDescent="0.25">
      <c r="D4580"/>
    </row>
    <row r="4581" spans="4:4" x14ac:dyDescent="0.25">
      <c r="D4581"/>
    </row>
    <row r="4582" spans="4:4" x14ac:dyDescent="0.25">
      <c r="D4582"/>
    </row>
    <row r="4583" spans="4:4" x14ac:dyDescent="0.25">
      <c r="D4583"/>
    </row>
    <row r="4584" spans="4:4" x14ac:dyDescent="0.25">
      <c r="D4584"/>
    </row>
    <row r="4585" spans="4:4" x14ac:dyDescent="0.25">
      <c r="D4585"/>
    </row>
    <row r="4586" spans="4:4" x14ac:dyDescent="0.25">
      <c r="D4586"/>
    </row>
    <row r="4587" spans="4:4" x14ac:dyDescent="0.25">
      <c r="D4587"/>
    </row>
    <row r="4588" spans="4:4" x14ac:dyDescent="0.25">
      <c r="D4588"/>
    </row>
    <row r="4589" spans="4:4" x14ac:dyDescent="0.25">
      <c r="D4589"/>
    </row>
    <row r="4590" spans="4:4" x14ac:dyDescent="0.25">
      <c r="D4590"/>
    </row>
    <row r="4591" spans="4:4" x14ac:dyDescent="0.25">
      <c r="D4591"/>
    </row>
    <row r="4592" spans="4:4" x14ac:dyDescent="0.25">
      <c r="D4592"/>
    </row>
    <row r="4593" spans="4:4" x14ac:dyDescent="0.25">
      <c r="D4593"/>
    </row>
    <row r="4594" spans="4:4" x14ac:dyDescent="0.25">
      <c r="D4594"/>
    </row>
    <row r="4595" spans="4:4" x14ac:dyDescent="0.25">
      <c r="D4595"/>
    </row>
    <row r="4596" spans="4:4" x14ac:dyDescent="0.25">
      <c r="D4596"/>
    </row>
    <row r="4597" spans="4:4" x14ac:dyDescent="0.25">
      <c r="D4597"/>
    </row>
    <row r="4598" spans="4:4" x14ac:dyDescent="0.25">
      <c r="D4598"/>
    </row>
    <row r="4599" spans="4:4" x14ac:dyDescent="0.25">
      <c r="D4599"/>
    </row>
    <row r="4600" spans="4:4" x14ac:dyDescent="0.25">
      <c r="D4600"/>
    </row>
    <row r="4601" spans="4:4" x14ac:dyDescent="0.25">
      <c r="D4601"/>
    </row>
    <row r="4602" spans="4:4" x14ac:dyDescent="0.25">
      <c r="D4602"/>
    </row>
    <row r="4603" spans="4:4" x14ac:dyDescent="0.25">
      <c r="D4603"/>
    </row>
    <row r="4604" spans="4:4" x14ac:dyDescent="0.25">
      <c r="D4604"/>
    </row>
    <row r="4605" spans="4:4" x14ac:dyDescent="0.25">
      <c r="D4605"/>
    </row>
    <row r="4606" spans="4:4" x14ac:dyDescent="0.25">
      <c r="D4606"/>
    </row>
    <row r="4607" spans="4:4" x14ac:dyDescent="0.25">
      <c r="D4607"/>
    </row>
    <row r="4608" spans="4:4" x14ac:dyDescent="0.25">
      <c r="D4608"/>
    </row>
    <row r="4609" spans="4:4" x14ac:dyDescent="0.25">
      <c r="D4609"/>
    </row>
    <row r="4610" spans="4:4" x14ac:dyDescent="0.25">
      <c r="D4610"/>
    </row>
    <row r="4611" spans="4:4" x14ac:dyDescent="0.25">
      <c r="D4611"/>
    </row>
    <row r="4612" spans="4:4" x14ac:dyDescent="0.25">
      <c r="D4612"/>
    </row>
    <row r="4613" spans="4:4" x14ac:dyDescent="0.25">
      <c r="D4613"/>
    </row>
    <row r="4614" spans="4:4" x14ac:dyDescent="0.25">
      <c r="D4614"/>
    </row>
    <row r="4615" spans="4:4" x14ac:dyDescent="0.25">
      <c r="D4615"/>
    </row>
    <row r="4616" spans="4:4" x14ac:dyDescent="0.25">
      <c r="D4616"/>
    </row>
    <row r="4617" spans="4:4" x14ac:dyDescent="0.25">
      <c r="D4617"/>
    </row>
    <row r="4618" spans="4:4" x14ac:dyDescent="0.25">
      <c r="D4618"/>
    </row>
    <row r="4619" spans="4:4" x14ac:dyDescent="0.25">
      <c r="D4619"/>
    </row>
    <row r="4620" spans="4:4" x14ac:dyDescent="0.25">
      <c r="D4620"/>
    </row>
    <row r="4621" spans="4:4" x14ac:dyDescent="0.25">
      <c r="D4621"/>
    </row>
    <row r="4622" spans="4:4" x14ac:dyDescent="0.25">
      <c r="D4622"/>
    </row>
    <row r="4623" spans="4:4" x14ac:dyDescent="0.25">
      <c r="D4623"/>
    </row>
    <row r="4624" spans="4:4" x14ac:dyDescent="0.25">
      <c r="D4624"/>
    </row>
    <row r="4625" spans="4:4" x14ac:dyDescent="0.25">
      <c r="D4625"/>
    </row>
    <row r="4626" spans="4:4" x14ac:dyDescent="0.25">
      <c r="D4626"/>
    </row>
    <row r="4627" spans="4:4" x14ac:dyDescent="0.25">
      <c r="D4627"/>
    </row>
    <row r="4628" spans="4:4" x14ac:dyDescent="0.25">
      <c r="D4628"/>
    </row>
    <row r="4629" spans="4:4" x14ac:dyDescent="0.25">
      <c r="D4629"/>
    </row>
    <row r="4630" spans="4:4" x14ac:dyDescent="0.25">
      <c r="D4630"/>
    </row>
    <row r="4631" spans="4:4" x14ac:dyDescent="0.25">
      <c r="D4631"/>
    </row>
    <row r="4632" spans="4:4" x14ac:dyDescent="0.25">
      <c r="D4632"/>
    </row>
    <row r="4633" spans="4:4" x14ac:dyDescent="0.25">
      <c r="D4633"/>
    </row>
    <row r="4634" spans="4:4" x14ac:dyDescent="0.25">
      <c r="D4634"/>
    </row>
    <row r="4635" spans="4:4" x14ac:dyDescent="0.25">
      <c r="D4635"/>
    </row>
    <row r="4636" spans="4:4" x14ac:dyDescent="0.25">
      <c r="D4636"/>
    </row>
    <row r="4637" spans="4:4" x14ac:dyDescent="0.25">
      <c r="D4637"/>
    </row>
    <row r="4638" spans="4:4" x14ac:dyDescent="0.25">
      <c r="D4638"/>
    </row>
    <row r="4639" spans="4:4" x14ac:dyDescent="0.25">
      <c r="D4639"/>
    </row>
    <row r="4640" spans="4:4" x14ac:dyDescent="0.25">
      <c r="D4640"/>
    </row>
    <row r="4641" spans="4:4" x14ac:dyDescent="0.25">
      <c r="D4641"/>
    </row>
    <row r="4642" spans="4:4" x14ac:dyDescent="0.25">
      <c r="D4642"/>
    </row>
    <row r="4643" spans="4:4" x14ac:dyDescent="0.25">
      <c r="D4643"/>
    </row>
    <row r="4644" spans="4:4" x14ac:dyDescent="0.25">
      <c r="D4644"/>
    </row>
    <row r="4645" spans="4:4" x14ac:dyDescent="0.25">
      <c r="D4645"/>
    </row>
    <row r="4646" spans="4:4" x14ac:dyDescent="0.25">
      <c r="D4646"/>
    </row>
    <row r="4647" spans="4:4" x14ac:dyDescent="0.25">
      <c r="D4647"/>
    </row>
    <row r="4648" spans="4:4" x14ac:dyDescent="0.25">
      <c r="D4648"/>
    </row>
    <row r="4649" spans="4:4" x14ac:dyDescent="0.25">
      <c r="D4649"/>
    </row>
    <row r="4650" spans="4:4" x14ac:dyDescent="0.25">
      <c r="D4650"/>
    </row>
    <row r="4651" spans="4:4" x14ac:dyDescent="0.25">
      <c r="D4651"/>
    </row>
    <row r="4652" spans="4:4" x14ac:dyDescent="0.25">
      <c r="D4652"/>
    </row>
    <row r="4653" spans="4:4" x14ac:dyDescent="0.25">
      <c r="D4653"/>
    </row>
    <row r="4654" spans="4:4" x14ac:dyDescent="0.25">
      <c r="D4654"/>
    </row>
    <row r="4655" spans="4:4" x14ac:dyDescent="0.25">
      <c r="D4655"/>
    </row>
    <row r="4656" spans="4:4" x14ac:dyDescent="0.25">
      <c r="D4656"/>
    </row>
    <row r="4657" spans="4:4" x14ac:dyDescent="0.25">
      <c r="D4657"/>
    </row>
    <row r="4658" spans="4:4" x14ac:dyDescent="0.25">
      <c r="D4658"/>
    </row>
    <row r="4659" spans="4:4" x14ac:dyDescent="0.25">
      <c r="D4659"/>
    </row>
    <row r="4660" spans="4:4" x14ac:dyDescent="0.25">
      <c r="D4660"/>
    </row>
    <row r="4661" spans="4:4" x14ac:dyDescent="0.25">
      <c r="D4661"/>
    </row>
    <row r="4662" spans="4:4" x14ac:dyDescent="0.25">
      <c r="D4662"/>
    </row>
    <row r="4663" spans="4:4" x14ac:dyDescent="0.25">
      <c r="D4663"/>
    </row>
    <row r="4664" spans="4:4" x14ac:dyDescent="0.25">
      <c r="D4664"/>
    </row>
    <row r="4665" spans="4:4" x14ac:dyDescent="0.25">
      <c r="D4665"/>
    </row>
    <row r="4666" spans="4:4" x14ac:dyDescent="0.25">
      <c r="D4666"/>
    </row>
    <row r="4667" spans="4:4" x14ac:dyDescent="0.25">
      <c r="D4667"/>
    </row>
    <row r="4668" spans="4:4" x14ac:dyDescent="0.25">
      <c r="D4668"/>
    </row>
    <row r="4669" spans="4:4" x14ac:dyDescent="0.25">
      <c r="D4669"/>
    </row>
    <row r="4670" spans="4:4" x14ac:dyDescent="0.25">
      <c r="D4670"/>
    </row>
    <row r="4671" spans="4:4" x14ac:dyDescent="0.25">
      <c r="D4671"/>
    </row>
    <row r="4672" spans="4:4" x14ac:dyDescent="0.25">
      <c r="D4672"/>
    </row>
    <row r="4673" spans="4:4" x14ac:dyDescent="0.25">
      <c r="D4673"/>
    </row>
    <row r="4674" spans="4:4" x14ac:dyDescent="0.25">
      <c r="D4674"/>
    </row>
    <row r="4675" spans="4:4" x14ac:dyDescent="0.25">
      <c r="D4675"/>
    </row>
    <row r="4676" spans="4:4" x14ac:dyDescent="0.25">
      <c r="D4676"/>
    </row>
    <row r="4677" spans="4:4" x14ac:dyDescent="0.25">
      <c r="D4677"/>
    </row>
    <row r="4678" spans="4:4" x14ac:dyDescent="0.25">
      <c r="D4678"/>
    </row>
    <row r="4679" spans="4:4" x14ac:dyDescent="0.25">
      <c r="D4679"/>
    </row>
    <row r="4680" spans="4:4" x14ac:dyDescent="0.25">
      <c r="D4680"/>
    </row>
    <row r="4681" spans="4:4" x14ac:dyDescent="0.25">
      <c r="D4681"/>
    </row>
    <row r="4682" spans="4:4" x14ac:dyDescent="0.25">
      <c r="D4682"/>
    </row>
    <row r="4683" spans="4:4" x14ac:dyDescent="0.25">
      <c r="D4683"/>
    </row>
    <row r="4684" spans="4:4" x14ac:dyDescent="0.25">
      <c r="D4684"/>
    </row>
    <row r="4685" spans="4:4" x14ac:dyDescent="0.25">
      <c r="D4685"/>
    </row>
    <row r="4686" spans="4:4" x14ac:dyDescent="0.25">
      <c r="D4686"/>
    </row>
    <row r="4687" spans="4:4" x14ac:dyDescent="0.25">
      <c r="D4687"/>
    </row>
    <row r="4688" spans="4:4" x14ac:dyDescent="0.25">
      <c r="D4688"/>
    </row>
    <row r="4689" spans="4:4" x14ac:dyDescent="0.25">
      <c r="D4689"/>
    </row>
    <row r="4690" spans="4:4" x14ac:dyDescent="0.25">
      <c r="D4690"/>
    </row>
    <row r="4691" spans="4:4" x14ac:dyDescent="0.25">
      <c r="D4691"/>
    </row>
    <row r="4692" spans="4:4" x14ac:dyDescent="0.25">
      <c r="D4692"/>
    </row>
    <row r="4693" spans="4:4" x14ac:dyDescent="0.25">
      <c r="D4693"/>
    </row>
    <row r="4694" spans="4:4" x14ac:dyDescent="0.25">
      <c r="D4694"/>
    </row>
    <row r="4695" spans="4:4" x14ac:dyDescent="0.25">
      <c r="D4695"/>
    </row>
    <row r="4696" spans="4:4" x14ac:dyDescent="0.25">
      <c r="D4696"/>
    </row>
    <row r="4697" spans="4:4" x14ac:dyDescent="0.25">
      <c r="D4697"/>
    </row>
    <row r="4698" spans="4:4" x14ac:dyDescent="0.25">
      <c r="D4698"/>
    </row>
    <row r="4699" spans="4:4" x14ac:dyDescent="0.25">
      <c r="D4699"/>
    </row>
    <row r="4700" spans="4:4" x14ac:dyDescent="0.25">
      <c r="D4700"/>
    </row>
    <row r="4701" spans="4:4" x14ac:dyDescent="0.25">
      <c r="D4701"/>
    </row>
    <row r="4702" spans="4:4" x14ac:dyDescent="0.25">
      <c r="D4702"/>
    </row>
    <row r="4703" spans="4:4" x14ac:dyDescent="0.25">
      <c r="D4703"/>
    </row>
    <row r="4704" spans="4:4" x14ac:dyDescent="0.25">
      <c r="D4704"/>
    </row>
    <row r="4705" spans="4:4" x14ac:dyDescent="0.25">
      <c r="D4705"/>
    </row>
    <row r="4706" spans="4:4" x14ac:dyDescent="0.25">
      <c r="D4706"/>
    </row>
    <row r="4707" spans="4:4" x14ac:dyDescent="0.25">
      <c r="D4707"/>
    </row>
    <row r="4708" spans="4:4" x14ac:dyDescent="0.25">
      <c r="D4708"/>
    </row>
    <row r="4709" spans="4:4" x14ac:dyDescent="0.25">
      <c r="D4709"/>
    </row>
    <row r="4710" spans="4:4" x14ac:dyDescent="0.25">
      <c r="D4710"/>
    </row>
    <row r="4711" spans="4:4" x14ac:dyDescent="0.25">
      <c r="D4711"/>
    </row>
    <row r="4712" spans="4:4" x14ac:dyDescent="0.25">
      <c r="D4712"/>
    </row>
    <row r="4713" spans="4:4" x14ac:dyDescent="0.25">
      <c r="D4713"/>
    </row>
    <row r="4714" spans="4:4" x14ac:dyDescent="0.25">
      <c r="D4714"/>
    </row>
    <row r="4715" spans="4:4" x14ac:dyDescent="0.25">
      <c r="D4715"/>
    </row>
    <row r="4716" spans="4:4" x14ac:dyDescent="0.25">
      <c r="D4716"/>
    </row>
    <row r="4717" spans="4:4" x14ac:dyDescent="0.25">
      <c r="D4717"/>
    </row>
    <row r="4718" spans="4:4" x14ac:dyDescent="0.25">
      <c r="D4718"/>
    </row>
    <row r="4719" spans="4:4" x14ac:dyDescent="0.25">
      <c r="D4719"/>
    </row>
    <row r="4720" spans="4:4" x14ac:dyDescent="0.25">
      <c r="D4720"/>
    </row>
    <row r="4721" spans="4:4" x14ac:dyDescent="0.25">
      <c r="D4721"/>
    </row>
    <row r="4722" spans="4:4" x14ac:dyDescent="0.25">
      <c r="D4722"/>
    </row>
    <row r="4723" spans="4:4" x14ac:dyDescent="0.25">
      <c r="D4723"/>
    </row>
    <row r="4724" spans="4:4" x14ac:dyDescent="0.25">
      <c r="D4724"/>
    </row>
    <row r="4725" spans="4:4" x14ac:dyDescent="0.25">
      <c r="D4725"/>
    </row>
    <row r="4726" spans="4:4" x14ac:dyDescent="0.25">
      <c r="D4726"/>
    </row>
    <row r="4727" spans="4:4" x14ac:dyDescent="0.25">
      <c r="D4727"/>
    </row>
    <row r="4728" spans="4:4" x14ac:dyDescent="0.25">
      <c r="D4728"/>
    </row>
    <row r="4729" spans="4:4" x14ac:dyDescent="0.25">
      <c r="D4729"/>
    </row>
    <row r="4730" spans="4:4" x14ac:dyDescent="0.25">
      <c r="D4730"/>
    </row>
    <row r="4731" spans="4:4" x14ac:dyDescent="0.25">
      <c r="D4731"/>
    </row>
    <row r="4732" spans="4:4" x14ac:dyDescent="0.25">
      <c r="D4732"/>
    </row>
    <row r="4733" spans="4:4" x14ac:dyDescent="0.25">
      <c r="D4733"/>
    </row>
    <row r="4734" spans="4:4" x14ac:dyDescent="0.25">
      <c r="D4734"/>
    </row>
    <row r="4735" spans="4:4" x14ac:dyDescent="0.25">
      <c r="D4735"/>
    </row>
    <row r="4736" spans="4:4" x14ac:dyDescent="0.25">
      <c r="D4736"/>
    </row>
    <row r="4737" spans="4:4" x14ac:dyDescent="0.25">
      <c r="D4737"/>
    </row>
    <row r="4738" spans="4:4" x14ac:dyDescent="0.25">
      <c r="D4738"/>
    </row>
    <row r="4739" spans="4:4" x14ac:dyDescent="0.25">
      <c r="D4739"/>
    </row>
    <row r="4740" spans="4:4" x14ac:dyDescent="0.25">
      <c r="D4740"/>
    </row>
    <row r="4741" spans="4:4" x14ac:dyDescent="0.25">
      <c r="D4741"/>
    </row>
    <row r="4742" spans="4:4" x14ac:dyDescent="0.25">
      <c r="D4742"/>
    </row>
    <row r="4743" spans="4:4" x14ac:dyDescent="0.25">
      <c r="D4743"/>
    </row>
    <row r="4744" spans="4:4" x14ac:dyDescent="0.25">
      <c r="D4744"/>
    </row>
    <row r="4745" spans="4:4" x14ac:dyDescent="0.25">
      <c r="D4745"/>
    </row>
    <row r="4746" spans="4:4" x14ac:dyDescent="0.25">
      <c r="D4746"/>
    </row>
    <row r="4747" spans="4:4" x14ac:dyDescent="0.25">
      <c r="D4747"/>
    </row>
    <row r="4748" spans="4:4" x14ac:dyDescent="0.25">
      <c r="D4748"/>
    </row>
    <row r="4749" spans="4:4" x14ac:dyDescent="0.25">
      <c r="D4749"/>
    </row>
    <row r="4750" spans="4:4" x14ac:dyDescent="0.25">
      <c r="D4750"/>
    </row>
    <row r="4751" spans="4:4" x14ac:dyDescent="0.25">
      <c r="D4751"/>
    </row>
    <row r="4752" spans="4:4" x14ac:dyDescent="0.25">
      <c r="D4752"/>
    </row>
    <row r="4753" spans="4:4" x14ac:dyDescent="0.25">
      <c r="D4753"/>
    </row>
    <row r="4754" spans="4:4" x14ac:dyDescent="0.25">
      <c r="D4754"/>
    </row>
    <row r="4755" spans="4:4" x14ac:dyDescent="0.25">
      <c r="D4755"/>
    </row>
    <row r="4756" spans="4:4" x14ac:dyDescent="0.25">
      <c r="D4756"/>
    </row>
    <row r="4757" spans="4:4" x14ac:dyDescent="0.25">
      <c r="D4757"/>
    </row>
    <row r="4758" spans="4:4" x14ac:dyDescent="0.25">
      <c r="D4758"/>
    </row>
    <row r="4759" spans="4:4" x14ac:dyDescent="0.25">
      <c r="D4759"/>
    </row>
    <row r="4760" spans="4:4" x14ac:dyDescent="0.25">
      <c r="D4760"/>
    </row>
    <row r="4761" spans="4:4" x14ac:dyDescent="0.25">
      <c r="D4761"/>
    </row>
    <row r="4762" spans="4:4" x14ac:dyDescent="0.25">
      <c r="D4762"/>
    </row>
    <row r="4763" spans="4:4" x14ac:dyDescent="0.25">
      <c r="D4763"/>
    </row>
    <row r="4764" spans="4:4" x14ac:dyDescent="0.25">
      <c r="D4764"/>
    </row>
    <row r="4765" spans="4:4" x14ac:dyDescent="0.25">
      <c r="D4765"/>
    </row>
    <row r="4766" spans="4:4" x14ac:dyDescent="0.25">
      <c r="D4766"/>
    </row>
    <row r="4767" spans="4:4" x14ac:dyDescent="0.25">
      <c r="D4767"/>
    </row>
    <row r="4768" spans="4:4" x14ac:dyDescent="0.25">
      <c r="D4768"/>
    </row>
    <row r="4769" spans="4:4" x14ac:dyDescent="0.25">
      <c r="D4769"/>
    </row>
    <row r="4770" spans="4:4" x14ac:dyDescent="0.25">
      <c r="D4770"/>
    </row>
    <row r="4771" spans="4:4" x14ac:dyDescent="0.25">
      <c r="D4771"/>
    </row>
    <row r="4772" spans="4:4" x14ac:dyDescent="0.25">
      <c r="D4772"/>
    </row>
    <row r="4773" spans="4:4" x14ac:dyDescent="0.25">
      <c r="D4773"/>
    </row>
    <row r="4774" spans="4:4" x14ac:dyDescent="0.25">
      <c r="D4774"/>
    </row>
    <row r="4775" spans="4:4" x14ac:dyDescent="0.25">
      <c r="D4775"/>
    </row>
    <row r="4776" spans="4:4" x14ac:dyDescent="0.25">
      <c r="D4776"/>
    </row>
    <row r="4777" spans="4:4" x14ac:dyDescent="0.25">
      <c r="D4777"/>
    </row>
    <row r="4778" spans="4:4" x14ac:dyDescent="0.25">
      <c r="D4778"/>
    </row>
    <row r="4779" spans="4:4" x14ac:dyDescent="0.25">
      <c r="D4779"/>
    </row>
    <row r="4780" spans="4:4" x14ac:dyDescent="0.25">
      <c r="D4780"/>
    </row>
    <row r="4781" spans="4:4" x14ac:dyDescent="0.25">
      <c r="D4781"/>
    </row>
    <row r="4782" spans="4:4" x14ac:dyDescent="0.25">
      <c r="D4782"/>
    </row>
    <row r="4783" spans="4:4" x14ac:dyDescent="0.25">
      <c r="D4783"/>
    </row>
    <row r="4784" spans="4:4" x14ac:dyDescent="0.25">
      <c r="D4784"/>
    </row>
    <row r="4785" spans="4:4" x14ac:dyDescent="0.25">
      <c r="D4785"/>
    </row>
    <row r="4786" spans="4:4" x14ac:dyDescent="0.25">
      <c r="D4786"/>
    </row>
    <row r="4787" spans="4:4" x14ac:dyDescent="0.25">
      <c r="D4787"/>
    </row>
    <row r="4788" spans="4:4" x14ac:dyDescent="0.25">
      <c r="D4788"/>
    </row>
    <row r="4789" spans="4:4" x14ac:dyDescent="0.25">
      <c r="D4789"/>
    </row>
    <row r="4790" spans="4:4" x14ac:dyDescent="0.25">
      <c r="D4790"/>
    </row>
    <row r="4791" spans="4:4" x14ac:dyDescent="0.25">
      <c r="D4791"/>
    </row>
    <row r="4792" spans="4:4" x14ac:dyDescent="0.25">
      <c r="D4792"/>
    </row>
    <row r="4793" spans="4:4" x14ac:dyDescent="0.25">
      <c r="D4793"/>
    </row>
    <row r="4794" spans="4:4" x14ac:dyDescent="0.25">
      <c r="D4794"/>
    </row>
    <row r="4795" spans="4:4" x14ac:dyDescent="0.25">
      <c r="D4795"/>
    </row>
    <row r="4796" spans="4:4" x14ac:dyDescent="0.25">
      <c r="D4796"/>
    </row>
    <row r="4797" spans="4:4" x14ac:dyDescent="0.25">
      <c r="D4797"/>
    </row>
    <row r="4798" spans="4:4" x14ac:dyDescent="0.25">
      <c r="D4798"/>
    </row>
    <row r="4799" spans="4:4" x14ac:dyDescent="0.25">
      <c r="D4799"/>
    </row>
    <row r="4800" spans="4:4" x14ac:dyDescent="0.25">
      <c r="D4800"/>
    </row>
    <row r="4801" spans="4:4" x14ac:dyDescent="0.25">
      <c r="D4801"/>
    </row>
    <row r="4802" spans="4:4" x14ac:dyDescent="0.25">
      <c r="D4802"/>
    </row>
    <row r="4803" spans="4:4" x14ac:dyDescent="0.25">
      <c r="D4803"/>
    </row>
    <row r="4804" spans="4:4" x14ac:dyDescent="0.25">
      <c r="D4804"/>
    </row>
    <row r="4805" spans="4:4" x14ac:dyDescent="0.25">
      <c r="D4805"/>
    </row>
    <row r="4806" spans="4:4" x14ac:dyDescent="0.25">
      <c r="D4806"/>
    </row>
    <row r="4807" spans="4:4" x14ac:dyDescent="0.25">
      <c r="D4807"/>
    </row>
    <row r="4808" spans="4:4" x14ac:dyDescent="0.25">
      <c r="D4808"/>
    </row>
    <row r="4809" spans="4:4" x14ac:dyDescent="0.25">
      <c r="D4809"/>
    </row>
    <row r="4810" spans="4:4" x14ac:dyDescent="0.25">
      <c r="D4810"/>
    </row>
    <row r="4811" spans="4:4" x14ac:dyDescent="0.25">
      <c r="D4811"/>
    </row>
    <row r="4812" spans="4:4" x14ac:dyDescent="0.25">
      <c r="D4812"/>
    </row>
    <row r="4813" spans="4:4" x14ac:dyDescent="0.25">
      <c r="D4813"/>
    </row>
    <row r="4814" spans="4:4" x14ac:dyDescent="0.25">
      <c r="D4814"/>
    </row>
    <row r="4815" spans="4:4" x14ac:dyDescent="0.25">
      <c r="D4815"/>
    </row>
    <row r="4816" spans="4:4" x14ac:dyDescent="0.25">
      <c r="D4816"/>
    </row>
    <row r="4817" spans="4:4" x14ac:dyDescent="0.25">
      <c r="D4817"/>
    </row>
    <row r="4818" spans="4:4" x14ac:dyDescent="0.25">
      <c r="D4818"/>
    </row>
    <row r="4819" spans="4:4" x14ac:dyDescent="0.25">
      <c r="D4819"/>
    </row>
    <row r="4820" spans="4:4" x14ac:dyDescent="0.25">
      <c r="D4820"/>
    </row>
    <row r="4821" spans="4:4" x14ac:dyDescent="0.25">
      <c r="D4821"/>
    </row>
    <row r="4822" spans="4:4" x14ac:dyDescent="0.25">
      <c r="D4822"/>
    </row>
    <row r="4823" spans="4:4" x14ac:dyDescent="0.25">
      <c r="D4823"/>
    </row>
    <row r="4824" spans="4:4" x14ac:dyDescent="0.25">
      <c r="D4824"/>
    </row>
    <row r="4825" spans="4:4" x14ac:dyDescent="0.25">
      <c r="D4825"/>
    </row>
    <row r="4826" spans="4:4" x14ac:dyDescent="0.25">
      <c r="D4826"/>
    </row>
    <row r="4827" spans="4:4" x14ac:dyDescent="0.25">
      <c r="D4827"/>
    </row>
    <row r="4828" spans="4:4" x14ac:dyDescent="0.25">
      <c r="D4828"/>
    </row>
    <row r="4829" spans="4:4" x14ac:dyDescent="0.25">
      <c r="D4829"/>
    </row>
    <row r="4830" spans="4:4" x14ac:dyDescent="0.25">
      <c r="D4830"/>
    </row>
    <row r="4831" spans="4:4" x14ac:dyDescent="0.25">
      <c r="D4831"/>
    </row>
    <row r="4832" spans="4:4" x14ac:dyDescent="0.25">
      <c r="D4832"/>
    </row>
    <row r="4833" spans="4:4" x14ac:dyDescent="0.25">
      <c r="D4833"/>
    </row>
    <row r="4834" spans="4:4" x14ac:dyDescent="0.25">
      <c r="D4834"/>
    </row>
    <row r="4835" spans="4:4" x14ac:dyDescent="0.25">
      <c r="D4835"/>
    </row>
    <row r="4836" spans="4:4" x14ac:dyDescent="0.25">
      <c r="D4836"/>
    </row>
    <row r="4837" spans="4:4" x14ac:dyDescent="0.25">
      <c r="D4837"/>
    </row>
    <row r="4838" spans="4:4" x14ac:dyDescent="0.25">
      <c r="D4838"/>
    </row>
    <row r="4839" spans="4:4" x14ac:dyDescent="0.25">
      <c r="D4839"/>
    </row>
    <row r="4840" spans="4:4" x14ac:dyDescent="0.25">
      <c r="D4840"/>
    </row>
    <row r="4841" spans="4:4" x14ac:dyDescent="0.25">
      <c r="D4841"/>
    </row>
    <row r="4842" spans="4:4" x14ac:dyDescent="0.25">
      <c r="D4842"/>
    </row>
    <row r="4843" spans="4:4" x14ac:dyDescent="0.25">
      <c r="D4843"/>
    </row>
    <row r="4844" spans="4:4" x14ac:dyDescent="0.25">
      <c r="D4844"/>
    </row>
    <row r="4845" spans="4:4" x14ac:dyDescent="0.25">
      <c r="D4845"/>
    </row>
    <row r="4846" spans="4:4" x14ac:dyDescent="0.25">
      <c r="D4846"/>
    </row>
    <row r="4847" spans="4:4" x14ac:dyDescent="0.25">
      <c r="D4847"/>
    </row>
    <row r="4848" spans="4:4" x14ac:dyDescent="0.25">
      <c r="D4848"/>
    </row>
    <row r="4849" spans="4:4" x14ac:dyDescent="0.25">
      <c r="D4849"/>
    </row>
    <row r="4850" spans="4:4" x14ac:dyDescent="0.25">
      <c r="D4850"/>
    </row>
    <row r="4851" spans="4:4" x14ac:dyDescent="0.25">
      <c r="D4851"/>
    </row>
    <row r="4852" spans="4:4" x14ac:dyDescent="0.25">
      <c r="D4852"/>
    </row>
    <row r="4853" spans="4:4" x14ac:dyDescent="0.25">
      <c r="D4853"/>
    </row>
    <row r="4854" spans="4:4" x14ac:dyDescent="0.25">
      <c r="D4854"/>
    </row>
    <row r="4855" spans="4:4" x14ac:dyDescent="0.25">
      <c r="D4855"/>
    </row>
    <row r="4856" spans="4:4" x14ac:dyDescent="0.25">
      <c r="D4856"/>
    </row>
    <row r="4857" spans="4:4" x14ac:dyDescent="0.25">
      <c r="D4857"/>
    </row>
    <row r="4858" spans="4:4" x14ac:dyDescent="0.25">
      <c r="D4858"/>
    </row>
    <row r="4859" spans="4:4" x14ac:dyDescent="0.25">
      <c r="D4859"/>
    </row>
    <row r="4860" spans="4:4" x14ac:dyDescent="0.25">
      <c r="D4860"/>
    </row>
    <row r="4861" spans="4:4" x14ac:dyDescent="0.25">
      <c r="D4861"/>
    </row>
    <row r="4862" spans="4:4" x14ac:dyDescent="0.25">
      <c r="D4862"/>
    </row>
    <row r="4863" spans="4:4" x14ac:dyDescent="0.25">
      <c r="D4863"/>
    </row>
    <row r="4864" spans="4:4" x14ac:dyDescent="0.25">
      <c r="D4864"/>
    </row>
    <row r="4865" spans="4:4" x14ac:dyDescent="0.25">
      <c r="D4865"/>
    </row>
    <row r="4866" spans="4:4" x14ac:dyDescent="0.25">
      <c r="D4866"/>
    </row>
    <row r="4867" spans="4:4" x14ac:dyDescent="0.25">
      <c r="D4867"/>
    </row>
    <row r="4868" spans="4:4" x14ac:dyDescent="0.25">
      <c r="D4868"/>
    </row>
    <row r="4869" spans="4:4" x14ac:dyDescent="0.25">
      <c r="D4869"/>
    </row>
    <row r="4870" spans="4:4" x14ac:dyDescent="0.25">
      <c r="D4870"/>
    </row>
    <row r="4871" spans="4:4" x14ac:dyDescent="0.25">
      <c r="D4871"/>
    </row>
    <row r="4872" spans="4:4" x14ac:dyDescent="0.25">
      <c r="D4872"/>
    </row>
    <row r="4873" spans="4:4" x14ac:dyDescent="0.25">
      <c r="D4873"/>
    </row>
    <row r="4874" spans="4:4" x14ac:dyDescent="0.25">
      <c r="D4874"/>
    </row>
    <row r="4875" spans="4:4" x14ac:dyDescent="0.25">
      <c r="D4875"/>
    </row>
    <row r="4876" spans="4:4" x14ac:dyDescent="0.25">
      <c r="D4876"/>
    </row>
    <row r="4877" spans="4:4" x14ac:dyDescent="0.25">
      <c r="D4877"/>
    </row>
    <row r="4878" spans="4:4" x14ac:dyDescent="0.25">
      <c r="D4878"/>
    </row>
    <row r="4879" spans="4:4" x14ac:dyDescent="0.25">
      <c r="D4879"/>
    </row>
    <row r="4880" spans="4:4" x14ac:dyDescent="0.25">
      <c r="D4880"/>
    </row>
    <row r="4881" spans="4:4" x14ac:dyDescent="0.25">
      <c r="D4881"/>
    </row>
    <row r="4882" spans="4:4" x14ac:dyDescent="0.25">
      <c r="D4882"/>
    </row>
    <row r="4883" spans="4:4" x14ac:dyDescent="0.25">
      <c r="D4883"/>
    </row>
    <row r="4884" spans="4:4" x14ac:dyDescent="0.25">
      <c r="D4884"/>
    </row>
    <row r="4885" spans="4:4" x14ac:dyDescent="0.25">
      <c r="D4885"/>
    </row>
    <row r="4886" spans="4:4" x14ac:dyDescent="0.25">
      <c r="D4886"/>
    </row>
    <row r="4887" spans="4:4" x14ac:dyDescent="0.25">
      <c r="D4887"/>
    </row>
    <row r="4888" spans="4:4" x14ac:dyDescent="0.25">
      <c r="D4888"/>
    </row>
    <row r="4889" spans="4:4" x14ac:dyDescent="0.25">
      <c r="D4889"/>
    </row>
    <row r="4890" spans="4:4" x14ac:dyDescent="0.25">
      <c r="D4890"/>
    </row>
    <row r="4891" spans="4:4" x14ac:dyDescent="0.25">
      <c r="D4891"/>
    </row>
    <row r="4892" spans="4:4" x14ac:dyDescent="0.25">
      <c r="D4892"/>
    </row>
    <row r="4893" spans="4:4" x14ac:dyDescent="0.25">
      <c r="D4893"/>
    </row>
    <row r="4894" spans="4:4" x14ac:dyDescent="0.25">
      <c r="D4894"/>
    </row>
    <row r="4895" spans="4:4" x14ac:dyDescent="0.25">
      <c r="D4895"/>
    </row>
    <row r="4896" spans="4:4" x14ac:dyDescent="0.25">
      <c r="D4896"/>
    </row>
    <row r="4897" spans="4:4" x14ac:dyDescent="0.25">
      <c r="D4897"/>
    </row>
    <row r="4898" spans="4:4" x14ac:dyDescent="0.25">
      <c r="D4898"/>
    </row>
    <row r="4899" spans="4:4" x14ac:dyDescent="0.25">
      <c r="D4899"/>
    </row>
    <row r="4900" spans="4:4" x14ac:dyDescent="0.25">
      <c r="D4900"/>
    </row>
    <row r="4901" spans="4:4" x14ac:dyDescent="0.25">
      <c r="D4901"/>
    </row>
    <row r="4902" spans="4:4" x14ac:dyDescent="0.25">
      <c r="D4902"/>
    </row>
    <row r="4903" spans="4:4" x14ac:dyDescent="0.25">
      <c r="D4903"/>
    </row>
    <row r="4904" spans="4:4" x14ac:dyDescent="0.25">
      <c r="D4904"/>
    </row>
    <row r="4905" spans="4:4" x14ac:dyDescent="0.25">
      <c r="D4905"/>
    </row>
    <row r="4906" spans="4:4" x14ac:dyDescent="0.25">
      <c r="D4906"/>
    </row>
    <row r="4907" spans="4:4" x14ac:dyDescent="0.25">
      <c r="D4907"/>
    </row>
    <row r="4908" spans="4:4" x14ac:dyDescent="0.25">
      <c r="D4908"/>
    </row>
    <row r="4909" spans="4:4" x14ac:dyDescent="0.25">
      <c r="D4909"/>
    </row>
    <row r="4910" spans="4:4" x14ac:dyDescent="0.25">
      <c r="D4910"/>
    </row>
    <row r="4911" spans="4:4" x14ac:dyDescent="0.25">
      <c r="D4911"/>
    </row>
    <row r="4912" spans="4:4" x14ac:dyDescent="0.25">
      <c r="D4912"/>
    </row>
    <row r="4913" spans="4:4" x14ac:dyDescent="0.25">
      <c r="D4913"/>
    </row>
    <row r="4914" spans="4:4" x14ac:dyDescent="0.25">
      <c r="D4914"/>
    </row>
    <row r="4915" spans="4:4" x14ac:dyDescent="0.25">
      <c r="D4915"/>
    </row>
    <row r="4916" spans="4:4" x14ac:dyDescent="0.25">
      <c r="D4916"/>
    </row>
    <row r="4917" spans="4:4" x14ac:dyDescent="0.25">
      <c r="D4917"/>
    </row>
    <row r="4918" spans="4:4" x14ac:dyDescent="0.25">
      <c r="D4918"/>
    </row>
    <row r="4919" spans="4:4" x14ac:dyDescent="0.25">
      <c r="D4919"/>
    </row>
    <row r="4920" spans="4:4" x14ac:dyDescent="0.25">
      <c r="D4920"/>
    </row>
    <row r="4921" spans="4:4" x14ac:dyDescent="0.25">
      <c r="D4921"/>
    </row>
    <row r="4922" spans="4:4" x14ac:dyDescent="0.25">
      <c r="D4922"/>
    </row>
    <row r="4923" spans="4:4" x14ac:dyDescent="0.25">
      <c r="D4923"/>
    </row>
    <row r="4924" spans="4:4" x14ac:dyDescent="0.25">
      <c r="D4924"/>
    </row>
    <row r="4925" spans="4:4" x14ac:dyDescent="0.25">
      <c r="D4925"/>
    </row>
    <row r="4926" spans="4:4" x14ac:dyDescent="0.25">
      <c r="D4926"/>
    </row>
    <row r="4927" spans="4:4" x14ac:dyDescent="0.25">
      <c r="D4927"/>
    </row>
    <row r="4928" spans="4:4" x14ac:dyDescent="0.25">
      <c r="D4928"/>
    </row>
    <row r="4929" spans="4:4" x14ac:dyDescent="0.25">
      <c r="D4929"/>
    </row>
    <row r="4930" spans="4:4" x14ac:dyDescent="0.25">
      <c r="D4930"/>
    </row>
    <row r="4931" spans="4:4" x14ac:dyDescent="0.25">
      <c r="D4931"/>
    </row>
    <row r="4932" spans="4:4" x14ac:dyDescent="0.25">
      <c r="D4932"/>
    </row>
    <row r="4933" spans="4:4" x14ac:dyDescent="0.25">
      <c r="D4933"/>
    </row>
    <row r="4934" spans="4:4" x14ac:dyDescent="0.25">
      <c r="D4934"/>
    </row>
    <row r="4935" spans="4:4" x14ac:dyDescent="0.25">
      <c r="D4935"/>
    </row>
    <row r="4936" spans="4:4" x14ac:dyDescent="0.25">
      <c r="D4936"/>
    </row>
    <row r="4937" spans="4:4" x14ac:dyDescent="0.25">
      <c r="D4937"/>
    </row>
    <row r="4938" spans="4:4" x14ac:dyDescent="0.25">
      <c r="D4938"/>
    </row>
    <row r="4939" spans="4:4" x14ac:dyDescent="0.25">
      <c r="D4939"/>
    </row>
    <row r="4940" spans="4:4" x14ac:dyDescent="0.25">
      <c r="D4940"/>
    </row>
    <row r="4941" spans="4:4" x14ac:dyDescent="0.25">
      <c r="D4941"/>
    </row>
    <row r="4942" spans="4:4" x14ac:dyDescent="0.25">
      <c r="D4942"/>
    </row>
    <row r="4943" spans="4:4" x14ac:dyDescent="0.25">
      <c r="D4943"/>
    </row>
    <row r="4944" spans="4:4" x14ac:dyDescent="0.25">
      <c r="D4944"/>
    </row>
    <row r="4945" spans="4:4" x14ac:dyDescent="0.25">
      <c r="D4945"/>
    </row>
    <row r="4946" spans="4:4" x14ac:dyDescent="0.25">
      <c r="D4946"/>
    </row>
    <row r="4947" spans="4:4" x14ac:dyDescent="0.25">
      <c r="D4947"/>
    </row>
    <row r="4948" spans="4:4" x14ac:dyDescent="0.25">
      <c r="D4948"/>
    </row>
    <row r="4949" spans="4:4" x14ac:dyDescent="0.25">
      <c r="D4949"/>
    </row>
    <row r="4950" spans="4:4" x14ac:dyDescent="0.25">
      <c r="D4950"/>
    </row>
    <row r="4951" spans="4:4" x14ac:dyDescent="0.25">
      <c r="D4951"/>
    </row>
    <row r="4952" spans="4:4" x14ac:dyDescent="0.25">
      <c r="D4952"/>
    </row>
    <row r="4953" spans="4:4" x14ac:dyDescent="0.25">
      <c r="D4953"/>
    </row>
    <row r="4954" spans="4:4" x14ac:dyDescent="0.25">
      <c r="D4954"/>
    </row>
    <row r="4955" spans="4:4" x14ac:dyDescent="0.25">
      <c r="D4955"/>
    </row>
    <row r="4956" spans="4:4" x14ac:dyDescent="0.25">
      <c r="D4956"/>
    </row>
    <row r="4957" spans="4:4" x14ac:dyDescent="0.25">
      <c r="D4957"/>
    </row>
    <row r="4958" spans="4:4" x14ac:dyDescent="0.25">
      <c r="D4958"/>
    </row>
    <row r="4959" spans="4:4" x14ac:dyDescent="0.25">
      <c r="D4959"/>
    </row>
    <row r="4960" spans="4:4" x14ac:dyDescent="0.25">
      <c r="D4960"/>
    </row>
    <row r="4961" spans="4:4" x14ac:dyDescent="0.25">
      <c r="D4961"/>
    </row>
    <row r="4962" spans="4:4" x14ac:dyDescent="0.25">
      <c r="D4962"/>
    </row>
    <row r="4963" spans="4:4" x14ac:dyDescent="0.25">
      <c r="D4963"/>
    </row>
    <row r="4964" spans="4:4" x14ac:dyDescent="0.25">
      <c r="D4964"/>
    </row>
    <row r="4965" spans="4:4" x14ac:dyDescent="0.25">
      <c r="D4965"/>
    </row>
    <row r="4966" spans="4:4" x14ac:dyDescent="0.25">
      <c r="D4966"/>
    </row>
    <row r="4967" spans="4:4" x14ac:dyDescent="0.25">
      <c r="D4967"/>
    </row>
    <row r="4968" spans="4:4" x14ac:dyDescent="0.25">
      <c r="D4968"/>
    </row>
    <row r="4969" spans="4:4" x14ac:dyDescent="0.25">
      <c r="D4969"/>
    </row>
    <row r="4970" spans="4:4" x14ac:dyDescent="0.25">
      <c r="D4970"/>
    </row>
    <row r="4971" spans="4:4" x14ac:dyDescent="0.25">
      <c r="D4971"/>
    </row>
    <row r="4972" spans="4:4" x14ac:dyDescent="0.25">
      <c r="D4972"/>
    </row>
    <row r="4973" spans="4:4" x14ac:dyDescent="0.25">
      <c r="D4973"/>
    </row>
    <row r="4974" spans="4:4" x14ac:dyDescent="0.25">
      <c r="D4974"/>
    </row>
    <row r="4975" spans="4:4" x14ac:dyDescent="0.25">
      <c r="D4975"/>
    </row>
    <row r="4976" spans="4:4" x14ac:dyDescent="0.25">
      <c r="D4976"/>
    </row>
    <row r="4977" spans="4:4" x14ac:dyDescent="0.25">
      <c r="D4977"/>
    </row>
    <row r="4978" spans="4:4" x14ac:dyDescent="0.25">
      <c r="D4978"/>
    </row>
    <row r="4979" spans="4:4" x14ac:dyDescent="0.25">
      <c r="D4979"/>
    </row>
    <row r="4980" spans="4:4" x14ac:dyDescent="0.25">
      <c r="D4980"/>
    </row>
    <row r="4981" spans="4:4" x14ac:dyDescent="0.25">
      <c r="D4981"/>
    </row>
    <row r="4982" spans="4:4" x14ac:dyDescent="0.25">
      <c r="D4982"/>
    </row>
    <row r="4983" spans="4:4" x14ac:dyDescent="0.25">
      <c r="D4983"/>
    </row>
    <row r="4984" spans="4:4" x14ac:dyDescent="0.25">
      <c r="D4984"/>
    </row>
    <row r="4985" spans="4:4" x14ac:dyDescent="0.25">
      <c r="D4985"/>
    </row>
    <row r="4986" spans="4:4" x14ac:dyDescent="0.25">
      <c r="D4986"/>
    </row>
    <row r="4987" spans="4:4" x14ac:dyDescent="0.25">
      <c r="D4987"/>
    </row>
    <row r="4988" spans="4:4" x14ac:dyDescent="0.25">
      <c r="D4988"/>
    </row>
    <row r="4989" spans="4:4" x14ac:dyDescent="0.25">
      <c r="D4989"/>
    </row>
    <row r="4990" spans="4:4" x14ac:dyDescent="0.25">
      <c r="D4990"/>
    </row>
    <row r="4991" spans="4:4" x14ac:dyDescent="0.25">
      <c r="D4991"/>
    </row>
    <row r="4992" spans="4:4" x14ac:dyDescent="0.25">
      <c r="D4992"/>
    </row>
    <row r="4993" spans="4:4" x14ac:dyDescent="0.25">
      <c r="D4993"/>
    </row>
    <row r="4994" spans="4:4" x14ac:dyDescent="0.25">
      <c r="D4994"/>
    </row>
    <row r="4995" spans="4:4" x14ac:dyDescent="0.25">
      <c r="D4995"/>
    </row>
    <row r="4996" spans="4:4" x14ac:dyDescent="0.25">
      <c r="D4996"/>
    </row>
    <row r="4997" spans="4:4" x14ac:dyDescent="0.25">
      <c r="D4997"/>
    </row>
    <row r="4998" spans="4:4" x14ac:dyDescent="0.25">
      <c r="D4998"/>
    </row>
    <row r="4999" spans="4:4" x14ac:dyDescent="0.25">
      <c r="D4999"/>
    </row>
    <row r="5000" spans="4:4" x14ac:dyDescent="0.25">
      <c r="D5000"/>
    </row>
    <row r="5001" spans="4:4" x14ac:dyDescent="0.25">
      <c r="D5001"/>
    </row>
    <row r="5002" spans="4:4" x14ac:dyDescent="0.25">
      <c r="D5002"/>
    </row>
    <row r="5003" spans="4:4" x14ac:dyDescent="0.25">
      <c r="D5003"/>
    </row>
    <row r="5004" spans="4:4" x14ac:dyDescent="0.25">
      <c r="D5004"/>
    </row>
    <row r="5005" spans="4:4" x14ac:dyDescent="0.25">
      <c r="D5005"/>
    </row>
    <row r="5006" spans="4:4" x14ac:dyDescent="0.25">
      <c r="D5006"/>
    </row>
    <row r="5007" spans="4:4" x14ac:dyDescent="0.25">
      <c r="D5007"/>
    </row>
    <row r="5008" spans="4:4" x14ac:dyDescent="0.25">
      <c r="D5008"/>
    </row>
    <row r="5009" spans="4:4" x14ac:dyDescent="0.25">
      <c r="D5009"/>
    </row>
    <row r="5010" spans="4:4" x14ac:dyDescent="0.25">
      <c r="D5010"/>
    </row>
    <row r="5011" spans="4:4" x14ac:dyDescent="0.25">
      <c r="D5011"/>
    </row>
    <row r="5012" spans="4:4" x14ac:dyDescent="0.25">
      <c r="D5012"/>
    </row>
    <row r="5013" spans="4:4" x14ac:dyDescent="0.25">
      <c r="D5013"/>
    </row>
    <row r="5014" spans="4:4" x14ac:dyDescent="0.25">
      <c r="D5014"/>
    </row>
    <row r="5015" spans="4:4" x14ac:dyDescent="0.25">
      <c r="D5015"/>
    </row>
    <row r="5016" spans="4:4" x14ac:dyDescent="0.25">
      <c r="D5016"/>
    </row>
    <row r="5017" spans="4:4" x14ac:dyDescent="0.25">
      <c r="D5017"/>
    </row>
    <row r="5018" spans="4:4" x14ac:dyDescent="0.25">
      <c r="D5018"/>
    </row>
    <row r="5019" spans="4:4" x14ac:dyDescent="0.25">
      <c r="D5019"/>
    </row>
    <row r="5020" spans="4:4" x14ac:dyDescent="0.25">
      <c r="D5020"/>
    </row>
    <row r="5021" spans="4:4" x14ac:dyDescent="0.25">
      <c r="D5021"/>
    </row>
    <row r="5022" spans="4:4" x14ac:dyDescent="0.25">
      <c r="D5022"/>
    </row>
    <row r="5023" spans="4:4" x14ac:dyDescent="0.25">
      <c r="D5023"/>
    </row>
    <row r="5024" spans="4:4" x14ac:dyDescent="0.25">
      <c r="D5024"/>
    </row>
    <row r="5025" spans="4:4" x14ac:dyDescent="0.25">
      <c r="D5025"/>
    </row>
    <row r="5026" spans="4:4" x14ac:dyDescent="0.25">
      <c r="D5026"/>
    </row>
    <row r="5027" spans="4:4" x14ac:dyDescent="0.25">
      <c r="D5027"/>
    </row>
    <row r="5028" spans="4:4" x14ac:dyDescent="0.25">
      <c r="D5028"/>
    </row>
    <row r="5029" spans="4:4" x14ac:dyDescent="0.25">
      <c r="D5029"/>
    </row>
    <row r="5030" spans="4:4" x14ac:dyDescent="0.25">
      <c r="D5030"/>
    </row>
    <row r="5031" spans="4:4" x14ac:dyDescent="0.25">
      <c r="D5031"/>
    </row>
    <row r="5032" spans="4:4" x14ac:dyDescent="0.25">
      <c r="D5032"/>
    </row>
    <row r="5033" spans="4:4" x14ac:dyDescent="0.25">
      <c r="D5033"/>
    </row>
    <row r="5034" spans="4:4" x14ac:dyDescent="0.25">
      <c r="D5034"/>
    </row>
    <row r="5035" spans="4:4" x14ac:dyDescent="0.25">
      <c r="D5035"/>
    </row>
    <row r="5036" spans="4:4" x14ac:dyDescent="0.25">
      <c r="D5036"/>
    </row>
    <row r="5037" spans="4:4" x14ac:dyDescent="0.25">
      <c r="D5037"/>
    </row>
    <row r="5038" spans="4:4" x14ac:dyDescent="0.25">
      <c r="D5038"/>
    </row>
    <row r="5039" spans="4:4" x14ac:dyDescent="0.25">
      <c r="D5039"/>
    </row>
    <row r="5040" spans="4:4" x14ac:dyDescent="0.25">
      <c r="D5040"/>
    </row>
    <row r="5041" spans="4:4" x14ac:dyDescent="0.25">
      <c r="D5041"/>
    </row>
    <row r="5042" spans="4:4" x14ac:dyDescent="0.25">
      <c r="D5042"/>
    </row>
    <row r="5043" spans="4:4" x14ac:dyDescent="0.25">
      <c r="D5043"/>
    </row>
    <row r="5044" spans="4:4" x14ac:dyDescent="0.25">
      <c r="D5044"/>
    </row>
    <row r="5045" spans="4:4" x14ac:dyDescent="0.25">
      <c r="D5045"/>
    </row>
    <row r="5046" spans="4:4" x14ac:dyDescent="0.25">
      <c r="D5046"/>
    </row>
    <row r="5047" spans="4:4" x14ac:dyDescent="0.25">
      <c r="D5047"/>
    </row>
    <row r="5048" spans="4:4" x14ac:dyDescent="0.25">
      <c r="D5048"/>
    </row>
    <row r="5049" spans="4:4" x14ac:dyDescent="0.25">
      <c r="D5049"/>
    </row>
    <row r="5050" spans="4:4" x14ac:dyDescent="0.25">
      <c r="D5050"/>
    </row>
    <row r="5051" spans="4:4" x14ac:dyDescent="0.25">
      <c r="D5051"/>
    </row>
    <row r="5052" spans="4:4" x14ac:dyDescent="0.25">
      <c r="D5052"/>
    </row>
    <row r="5053" spans="4:4" x14ac:dyDescent="0.25">
      <c r="D5053"/>
    </row>
    <row r="5054" spans="4:4" x14ac:dyDescent="0.25">
      <c r="D5054"/>
    </row>
    <row r="5055" spans="4:4" x14ac:dyDescent="0.25">
      <c r="D5055"/>
    </row>
    <row r="5056" spans="4:4" x14ac:dyDescent="0.25">
      <c r="D5056"/>
    </row>
    <row r="5057" spans="4:4" x14ac:dyDescent="0.25">
      <c r="D5057"/>
    </row>
    <row r="5058" spans="4:4" x14ac:dyDescent="0.25">
      <c r="D5058"/>
    </row>
    <row r="5059" spans="4:4" x14ac:dyDescent="0.25">
      <c r="D5059"/>
    </row>
    <row r="5060" spans="4:4" x14ac:dyDescent="0.25">
      <c r="D5060"/>
    </row>
    <row r="5061" spans="4:4" x14ac:dyDescent="0.25">
      <c r="D5061"/>
    </row>
    <row r="5062" spans="4:4" x14ac:dyDescent="0.25">
      <c r="D5062"/>
    </row>
    <row r="5063" spans="4:4" x14ac:dyDescent="0.25">
      <c r="D5063"/>
    </row>
    <row r="5064" spans="4:4" x14ac:dyDescent="0.25">
      <c r="D5064"/>
    </row>
    <row r="5065" spans="4:4" x14ac:dyDescent="0.25">
      <c r="D5065"/>
    </row>
    <row r="5066" spans="4:4" x14ac:dyDescent="0.25">
      <c r="D5066"/>
    </row>
    <row r="5067" spans="4:4" x14ac:dyDescent="0.25">
      <c r="D5067"/>
    </row>
    <row r="5068" spans="4:4" x14ac:dyDescent="0.25">
      <c r="D5068"/>
    </row>
    <row r="5069" spans="4:4" x14ac:dyDescent="0.25">
      <c r="D5069"/>
    </row>
    <row r="5070" spans="4:4" x14ac:dyDescent="0.25">
      <c r="D5070"/>
    </row>
    <row r="5071" spans="4:4" x14ac:dyDescent="0.25">
      <c r="D5071"/>
    </row>
    <row r="5072" spans="4:4" x14ac:dyDescent="0.25">
      <c r="D5072"/>
    </row>
    <row r="5073" spans="4:4" x14ac:dyDescent="0.25">
      <c r="D5073"/>
    </row>
    <row r="5074" spans="4:4" x14ac:dyDescent="0.25">
      <c r="D5074"/>
    </row>
    <row r="5075" spans="4:4" x14ac:dyDescent="0.25">
      <c r="D5075"/>
    </row>
    <row r="5076" spans="4:4" x14ac:dyDescent="0.25">
      <c r="D5076"/>
    </row>
    <row r="5077" spans="4:4" x14ac:dyDescent="0.25">
      <c r="D5077"/>
    </row>
    <row r="5078" spans="4:4" x14ac:dyDescent="0.25">
      <c r="D5078"/>
    </row>
    <row r="5079" spans="4:4" x14ac:dyDescent="0.25">
      <c r="D5079"/>
    </row>
    <row r="5080" spans="4:4" x14ac:dyDescent="0.25">
      <c r="D5080"/>
    </row>
    <row r="5081" spans="4:4" x14ac:dyDescent="0.25">
      <c r="D5081"/>
    </row>
    <row r="5082" spans="4:4" x14ac:dyDescent="0.25">
      <c r="D5082"/>
    </row>
    <row r="5083" spans="4:4" x14ac:dyDescent="0.25">
      <c r="D5083"/>
    </row>
    <row r="5084" spans="4:4" x14ac:dyDescent="0.25">
      <c r="D5084"/>
    </row>
    <row r="5085" spans="4:4" x14ac:dyDescent="0.25">
      <c r="D5085"/>
    </row>
    <row r="5086" spans="4:4" x14ac:dyDescent="0.25">
      <c r="D5086"/>
    </row>
    <row r="5087" spans="4:4" x14ac:dyDescent="0.25">
      <c r="D5087"/>
    </row>
    <row r="5088" spans="4:4" x14ac:dyDescent="0.25">
      <c r="D5088"/>
    </row>
    <row r="5089" spans="4:4" x14ac:dyDescent="0.25">
      <c r="D5089"/>
    </row>
    <row r="5090" spans="4:4" x14ac:dyDescent="0.25">
      <c r="D5090"/>
    </row>
    <row r="5091" spans="4:4" x14ac:dyDescent="0.25">
      <c r="D5091"/>
    </row>
    <row r="5092" spans="4:4" x14ac:dyDescent="0.25">
      <c r="D5092"/>
    </row>
    <row r="5093" spans="4:4" x14ac:dyDescent="0.25">
      <c r="D5093"/>
    </row>
    <row r="5094" spans="4:4" x14ac:dyDescent="0.25">
      <c r="D5094"/>
    </row>
    <row r="5095" spans="4:4" x14ac:dyDescent="0.25">
      <c r="D5095"/>
    </row>
    <row r="5096" spans="4:4" x14ac:dyDescent="0.25">
      <c r="D5096"/>
    </row>
    <row r="5097" spans="4:4" x14ac:dyDescent="0.25">
      <c r="D5097"/>
    </row>
    <row r="5098" spans="4:4" x14ac:dyDescent="0.25">
      <c r="D5098"/>
    </row>
    <row r="5099" spans="4:4" x14ac:dyDescent="0.25">
      <c r="D5099"/>
    </row>
    <row r="5100" spans="4:4" x14ac:dyDescent="0.25">
      <c r="D5100"/>
    </row>
    <row r="5101" spans="4:4" x14ac:dyDescent="0.25">
      <c r="D5101"/>
    </row>
    <row r="5102" spans="4:4" x14ac:dyDescent="0.25">
      <c r="D5102"/>
    </row>
    <row r="5103" spans="4:4" x14ac:dyDescent="0.25">
      <c r="D5103"/>
    </row>
    <row r="5104" spans="4:4" x14ac:dyDescent="0.25">
      <c r="D5104"/>
    </row>
    <row r="5105" spans="4:4" x14ac:dyDescent="0.25">
      <c r="D5105"/>
    </row>
    <row r="5106" spans="4:4" x14ac:dyDescent="0.25">
      <c r="D5106"/>
    </row>
    <row r="5107" spans="4:4" x14ac:dyDescent="0.25">
      <c r="D5107"/>
    </row>
    <row r="5108" spans="4:4" x14ac:dyDescent="0.25">
      <c r="D5108"/>
    </row>
    <row r="5109" spans="4:4" x14ac:dyDescent="0.25">
      <c r="D5109"/>
    </row>
    <row r="5110" spans="4:4" x14ac:dyDescent="0.25">
      <c r="D5110"/>
    </row>
    <row r="5111" spans="4:4" x14ac:dyDescent="0.25">
      <c r="D5111"/>
    </row>
    <row r="5112" spans="4:4" x14ac:dyDescent="0.25">
      <c r="D5112"/>
    </row>
    <row r="5113" spans="4:4" x14ac:dyDescent="0.25">
      <c r="D5113"/>
    </row>
    <row r="5114" spans="4:4" x14ac:dyDescent="0.25">
      <c r="D5114"/>
    </row>
    <row r="5115" spans="4:4" x14ac:dyDescent="0.25">
      <c r="D5115"/>
    </row>
    <row r="5116" spans="4:4" x14ac:dyDescent="0.25">
      <c r="D5116"/>
    </row>
    <row r="5117" spans="4:4" x14ac:dyDescent="0.25">
      <c r="D5117"/>
    </row>
    <row r="5118" spans="4:4" x14ac:dyDescent="0.25">
      <c r="D5118"/>
    </row>
    <row r="5119" spans="4:4" x14ac:dyDescent="0.25">
      <c r="D5119"/>
    </row>
    <row r="5120" spans="4:4" x14ac:dyDescent="0.25">
      <c r="D5120"/>
    </row>
    <row r="5121" spans="4:4" x14ac:dyDescent="0.25">
      <c r="D5121"/>
    </row>
    <row r="5122" spans="4:4" x14ac:dyDescent="0.25">
      <c r="D5122"/>
    </row>
    <row r="5123" spans="4:4" x14ac:dyDescent="0.25">
      <c r="D5123"/>
    </row>
    <row r="5124" spans="4:4" x14ac:dyDescent="0.25">
      <c r="D5124"/>
    </row>
    <row r="5125" spans="4:4" x14ac:dyDescent="0.25">
      <c r="D5125"/>
    </row>
    <row r="5126" spans="4:4" x14ac:dyDescent="0.25">
      <c r="D5126"/>
    </row>
    <row r="5127" spans="4:4" x14ac:dyDescent="0.25">
      <c r="D5127"/>
    </row>
    <row r="5128" spans="4:4" x14ac:dyDescent="0.25">
      <c r="D5128"/>
    </row>
    <row r="5129" spans="4:4" x14ac:dyDescent="0.25">
      <c r="D5129"/>
    </row>
    <row r="5130" spans="4:4" x14ac:dyDescent="0.25">
      <c r="D5130"/>
    </row>
    <row r="5131" spans="4:4" x14ac:dyDescent="0.25">
      <c r="D5131"/>
    </row>
    <row r="5132" spans="4:4" x14ac:dyDescent="0.25">
      <c r="D5132"/>
    </row>
    <row r="5133" spans="4:4" x14ac:dyDescent="0.25">
      <c r="D5133"/>
    </row>
    <row r="5134" spans="4:4" x14ac:dyDescent="0.25">
      <c r="D5134"/>
    </row>
    <row r="5135" spans="4:4" x14ac:dyDescent="0.25">
      <c r="D5135"/>
    </row>
    <row r="5136" spans="4:4" x14ac:dyDescent="0.25">
      <c r="D5136"/>
    </row>
    <row r="5137" spans="4:4" x14ac:dyDescent="0.25">
      <c r="D5137"/>
    </row>
    <row r="5138" spans="4:4" x14ac:dyDescent="0.25">
      <c r="D5138"/>
    </row>
    <row r="5139" spans="4:4" x14ac:dyDescent="0.25">
      <c r="D5139"/>
    </row>
    <row r="5140" spans="4:4" x14ac:dyDescent="0.25">
      <c r="D5140"/>
    </row>
    <row r="5141" spans="4:4" x14ac:dyDescent="0.25">
      <c r="D5141"/>
    </row>
    <row r="5142" spans="4:4" x14ac:dyDescent="0.25">
      <c r="D5142"/>
    </row>
    <row r="5143" spans="4:4" x14ac:dyDescent="0.25">
      <c r="D5143"/>
    </row>
    <row r="5144" spans="4:4" x14ac:dyDescent="0.25">
      <c r="D5144"/>
    </row>
    <row r="5145" spans="4:4" x14ac:dyDescent="0.25">
      <c r="D5145"/>
    </row>
    <row r="5146" spans="4:4" x14ac:dyDescent="0.25">
      <c r="D5146"/>
    </row>
    <row r="5147" spans="4:4" x14ac:dyDescent="0.25">
      <c r="D5147"/>
    </row>
    <row r="5148" spans="4:4" x14ac:dyDescent="0.25">
      <c r="D5148"/>
    </row>
    <row r="5149" spans="4:4" x14ac:dyDescent="0.25">
      <c r="D5149"/>
    </row>
    <row r="5150" spans="4:4" x14ac:dyDescent="0.25">
      <c r="D5150"/>
    </row>
    <row r="5151" spans="4:4" x14ac:dyDescent="0.25">
      <c r="D5151"/>
    </row>
    <row r="5152" spans="4:4" x14ac:dyDescent="0.25">
      <c r="D5152"/>
    </row>
    <row r="5153" spans="4:4" x14ac:dyDescent="0.25">
      <c r="D5153"/>
    </row>
    <row r="5154" spans="4:4" x14ac:dyDescent="0.25">
      <c r="D5154"/>
    </row>
    <row r="5155" spans="4:4" x14ac:dyDescent="0.25">
      <c r="D5155"/>
    </row>
    <row r="5156" spans="4:4" x14ac:dyDescent="0.25">
      <c r="D5156"/>
    </row>
    <row r="5157" spans="4:4" x14ac:dyDescent="0.25">
      <c r="D5157"/>
    </row>
    <row r="5158" spans="4:4" x14ac:dyDescent="0.25">
      <c r="D5158"/>
    </row>
    <row r="5159" spans="4:4" x14ac:dyDescent="0.25">
      <c r="D5159"/>
    </row>
    <row r="5160" spans="4:4" x14ac:dyDescent="0.25">
      <c r="D5160"/>
    </row>
    <row r="5161" spans="4:4" x14ac:dyDescent="0.25">
      <c r="D5161"/>
    </row>
    <row r="5162" spans="4:4" x14ac:dyDescent="0.25">
      <c r="D5162"/>
    </row>
    <row r="5163" spans="4:4" x14ac:dyDescent="0.25">
      <c r="D5163"/>
    </row>
    <row r="5164" spans="4:4" x14ac:dyDescent="0.25">
      <c r="D5164"/>
    </row>
    <row r="5165" spans="4:4" x14ac:dyDescent="0.25">
      <c r="D5165"/>
    </row>
    <row r="5166" spans="4:4" x14ac:dyDescent="0.25">
      <c r="D5166"/>
    </row>
    <row r="5167" spans="4:4" x14ac:dyDescent="0.25">
      <c r="D5167"/>
    </row>
    <row r="5168" spans="4:4" x14ac:dyDescent="0.25">
      <c r="D5168"/>
    </row>
    <row r="5169" spans="4:4" x14ac:dyDescent="0.25">
      <c r="D5169"/>
    </row>
    <row r="5170" spans="4:4" x14ac:dyDescent="0.25">
      <c r="D5170"/>
    </row>
    <row r="5171" spans="4:4" x14ac:dyDescent="0.25">
      <c r="D5171"/>
    </row>
    <row r="5172" spans="4:4" x14ac:dyDescent="0.25">
      <c r="D5172"/>
    </row>
    <row r="5173" spans="4:4" x14ac:dyDescent="0.25">
      <c r="D5173"/>
    </row>
    <row r="5174" spans="4:4" x14ac:dyDescent="0.25">
      <c r="D5174"/>
    </row>
    <row r="5175" spans="4:4" x14ac:dyDescent="0.25">
      <c r="D5175"/>
    </row>
    <row r="5176" spans="4:4" x14ac:dyDescent="0.25">
      <c r="D5176"/>
    </row>
    <row r="5177" spans="4:4" x14ac:dyDescent="0.25">
      <c r="D5177"/>
    </row>
    <row r="5178" spans="4:4" x14ac:dyDescent="0.25">
      <c r="D5178"/>
    </row>
    <row r="5179" spans="4:4" x14ac:dyDescent="0.25">
      <c r="D5179"/>
    </row>
    <row r="5180" spans="4:4" x14ac:dyDescent="0.25">
      <c r="D5180"/>
    </row>
    <row r="5181" spans="4:4" x14ac:dyDescent="0.25">
      <c r="D5181"/>
    </row>
    <row r="5182" spans="4:4" x14ac:dyDescent="0.25">
      <c r="D5182"/>
    </row>
    <row r="5183" spans="4:4" x14ac:dyDescent="0.25">
      <c r="D5183"/>
    </row>
    <row r="5184" spans="4:4" x14ac:dyDescent="0.25">
      <c r="D5184"/>
    </row>
    <row r="5185" spans="4:4" x14ac:dyDescent="0.25">
      <c r="D5185"/>
    </row>
    <row r="5186" spans="4:4" x14ac:dyDescent="0.25">
      <c r="D5186"/>
    </row>
    <row r="5187" spans="4:4" x14ac:dyDescent="0.25">
      <c r="D5187"/>
    </row>
    <row r="5188" spans="4:4" x14ac:dyDescent="0.25">
      <c r="D5188"/>
    </row>
    <row r="5189" spans="4:4" x14ac:dyDescent="0.25">
      <c r="D5189"/>
    </row>
    <row r="5190" spans="4:4" x14ac:dyDescent="0.25">
      <c r="D5190"/>
    </row>
    <row r="5191" spans="4:4" x14ac:dyDescent="0.25">
      <c r="D5191"/>
    </row>
    <row r="5192" spans="4:4" x14ac:dyDescent="0.25">
      <c r="D5192"/>
    </row>
    <row r="5193" spans="4:4" x14ac:dyDescent="0.25">
      <c r="D5193"/>
    </row>
    <row r="5194" spans="4:4" x14ac:dyDescent="0.25">
      <c r="D5194"/>
    </row>
    <row r="5195" spans="4:4" x14ac:dyDescent="0.25">
      <c r="D5195"/>
    </row>
    <row r="5196" spans="4:4" x14ac:dyDescent="0.25">
      <c r="D5196"/>
    </row>
    <row r="5197" spans="4:4" x14ac:dyDescent="0.25">
      <c r="D5197"/>
    </row>
    <row r="5198" spans="4:4" x14ac:dyDescent="0.25">
      <c r="D5198"/>
    </row>
    <row r="5199" spans="4:4" x14ac:dyDescent="0.25">
      <c r="D5199"/>
    </row>
    <row r="5200" spans="4:4" x14ac:dyDescent="0.25">
      <c r="D5200"/>
    </row>
    <row r="5201" spans="4:4" x14ac:dyDescent="0.25">
      <c r="D5201"/>
    </row>
    <row r="5202" spans="4:4" x14ac:dyDescent="0.25">
      <c r="D5202"/>
    </row>
    <row r="5203" spans="4:4" x14ac:dyDescent="0.25">
      <c r="D5203"/>
    </row>
    <row r="5204" spans="4:4" x14ac:dyDescent="0.25">
      <c r="D5204"/>
    </row>
    <row r="5205" spans="4:4" x14ac:dyDescent="0.25">
      <c r="D5205"/>
    </row>
    <row r="5206" spans="4:4" x14ac:dyDescent="0.25">
      <c r="D5206"/>
    </row>
    <row r="5207" spans="4:4" x14ac:dyDescent="0.25">
      <c r="D5207"/>
    </row>
    <row r="5208" spans="4:4" x14ac:dyDescent="0.25">
      <c r="D5208"/>
    </row>
    <row r="5209" spans="4:4" x14ac:dyDescent="0.25">
      <c r="D5209"/>
    </row>
    <row r="5210" spans="4:4" x14ac:dyDescent="0.25">
      <c r="D5210"/>
    </row>
    <row r="5211" spans="4:4" x14ac:dyDescent="0.25">
      <c r="D5211"/>
    </row>
    <row r="5212" spans="4:4" x14ac:dyDescent="0.25">
      <c r="D5212"/>
    </row>
    <row r="5213" spans="4:4" x14ac:dyDescent="0.25">
      <c r="D5213"/>
    </row>
    <row r="5214" spans="4:4" x14ac:dyDescent="0.25">
      <c r="D5214"/>
    </row>
    <row r="5215" spans="4:4" x14ac:dyDescent="0.25">
      <c r="D5215"/>
    </row>
    <row r="5216" spans="4:4" x14ac:dyDescent="0.25">
      <c r="D5216"/>
    </row>
    <row r="5217" spans="4:4" x14ac:dyDescent="0.25">
      <c r="D5217"/>
    </row>
    <row r="5218" spans="4:4" x14ac:dyDescent="0.25">
      <c r="D5218"/>
    </row>
    <row r="5219" spans="4:4" x14ac:dyDescent="0.25">
      <c r="D5219"/>
    </row>
    <row r="5220" spans="4:4" x14ac:dyDescent="0.25">
      <c r="D5220"/>
    </row>
    <row r="5221" spans="4:4" x14ac:dyDescent="0.25">
      <c r="D5221"/>
    </row>
    <row r="5222" spans="4:4" x14ac:dyDescent="0.25">
      <c r="D5222"/>
    </row>
    <row r="5223" spans="4:4" x14ac:dyDescent="0.25">
      <c r="D5223"/>
    </row>
    <row r="5224" spans="4:4" x14ac:dyDescent="0.25">
      <c r="D5224"/>
    </row>
    <row r="5225" spans="4:4" x14ac:dyDescent="0.25">
      <c r="D5225"/>
    </row>
    <row r="5226" spans="4:4" x14ac:dyDescent="0.25">
      <c r="D5226"/>
    </row>
    <row r="5227" spans="4:4" x14ac:dyDescent="0.25">
      <c r="D5227"/>
    </row>
    <row r="5228" spans="4:4" x14ac:dyDescent="0.25">
      <c r="D5228"/>
    </row>
    <row r="5229" spans="4:4" x14ac:dyDescent="0.25">
      <c r="D5229"/>
    </row>
    <row r="5230" spans="4:4" x14ac:dyDescent="0.25">
      <c r="D5230"/>
    </row>
    <row r="5231" spans="4:4" x14ac:dyDescent="0.25">
      <c r="D5231"/>
    </row>
    <row r="5232" spans="4:4" x14ac:dyDescent="0.25">
      <c r="D5232"/>
    </row>
    <row r="5233" spans="4:4" x14ac:dyDescent="0.25">
      <c r="D5233"/>
    </row>
    <row r="5234" spans="4:4" x14ac:dyDescent="0.25">
      <c r="D5234"/>
    </row>
    <row r="5235" spans="4:4" x14ac:dyDescent="0.25">
      <c r="D5235"/>
    </row>
    <row r="5236" spans="4:4" x14ac:dyDescent="0.25">
      <c r="D5236"/>
    </row>
    <row r="5237" spans="4:4" x14ac:dyDescent="0.25">
      <c r="D5237"/>
    </row>
    <row r="5238" spans="4:4" x14ac:dyDescent="0.25">
      <c r="D5238"/>
    </row>
    <row r="5239" spans="4:4" x14ac:dyDescent="0.25">
      <c r="D5239"/>
    </row>
    <row r="5240" spans="4:4" x14ac:dyDescent="0.25">
      <c r="D5240"/>
    </row>
    <row r="5241" spans="4:4" x14ac:dyDescent="0.25">
      <c r="D5241"/>
    </row>
    <row r="5242" spans="4:4" x14ac:dyDescent="0.25">
      <c r="D5242"/>
    </row>
    <row r="5243" spans="4:4" x14ac:dyDescent="0.25">
      <c r="D5243"/>
    </row>
    <row r="5244" spans="4:4" x14ac:dyDescent="0.25">
      <c r="D5244"/>
    </row>
    <row r="5245" spans="4:4" x14ac:dyDescent="0.25">
      <c r="D5245"/>
    </row>
    <row r="5246" spans="4:4" x14ac:dyDescent="0.25">
      <c r="D5246"/>
    </row>
    <row r="5247" spans="4:4" x14ac:dyDescent="0.25">
      <c r="D5247"/>
    </row>
    <row r="5248" spans="4:4" x14ac:dyDescent="0.25">
      <c r="D5248"/>
    </row>
    <row r="5249" spans="4:4" x14ac:dyDescent="0.25">
      <c r="D5249"/>
    </row>
    <row r="5250" spans="4:4" x14ac:dyDescent="0.25">
      <c r="D5250"/>
    </row>
    <row r="5251" spans="4:4" x14ac:dyDescent="0.25">
      <c r="D5251"/>
    </row>
    <row r="5252" spans="4:4" x14ac:dyDescent="0.25">
      <c r="D5252"/>
    </row>
    <row r="5253" spans="4:4" x14ac:dyDescent="0.25">
      <c r="D5253"/>
    </row>
    <row r="5254" spans="4:4" x14ac:dyDescent="0.25">
      <c r="D5254"/>
    </row>
    <row r="5255" spans="4:4" x14ac:dyDescent="0.25">
      <c r="D5255"/>
    </row>
    <row r="5256" spans="4:4" x14ac:dyDescent="0.25">
      <c r="D5256"/>
    </row>
    <row r="5257" spans="4:4" x14ac:dyDescent="0.25">
      <c r="D5257"/>
    </row>
    <row r="5258" spans="4:4" x14ac:dyDescent="0.25">
      <c r="D5258"/>
    </row>
    <row r="5259" spans="4:4" x14ac:dyDescent="0.25">
      <c r="D5259"/>
    </row>
    <row r="5260" spans="4:4" x14ac:dyDescent="0.25">
      <c r="D5260"/>
    </row>
    <row r="5261" spans="4:4" x14ac:dyDescent="0.25">
      <c r="D5261"/>
    </row>
    <row r="5262" spans="4:4" x14ac:dyDescent="0.25">
      <c r="D5262"/>
    </row>
    <row r="5263" spans="4:4" x14ac:dyDescent="0.25">
      <c r="D5263"/>
    </row>
    <row r="5264" spans="4:4" x14ac:dyDescent="0.25">
      <c r="D5264"/>
    </row>
    <row r="5265" spans="4:4" x14ac:dyDescent="0.25">
      <c r="D5265"/>
    </row>
    <row r="5266" spans="4:4" x14ac:dyDescent="0.25">
      <c r="D5266"/>
    </row>
    <row r="5267" spans="4:4" x14ac:dyDescent="0.25">
      <c r="D5267"/>
    </row>
    <row r="5268" spans="4:4" x14ac:dyDescent="0.25">
      <c r="D5268"/>
    </row>
    <row r="5269" spans="4:4" x14ac:dyDescent="0.25">
      <c r="D5269"/>
    </row>
    <row r="5270" spans="4:4" x14ac:dyDescent="0.25">
      <c r="D5270"/>
    </row>
    <row r="5271" spans="4:4" x14ac:dyDescent="0.25">
      <c r="D5271"/>
    </row>
    <row r="5272" spans="4:4" x14ac:dyDescent="0.25">
      <c r="D5272"/>
    </row>
    <row r="5273" spans="4:4" x14ac:dyDescent="0.25">
      <c r="D5273"/>
    </row>
    <row r="5274" spans="4:4" x14ac:dyDescent="0.25">
      <c r="D5274"/>
    </row>
    <row r="5275" spans="4:4" x14ac:dyDescent="0.25">
      <c r="D5275"/>
    </row>
    <row r="5276" spans="4:4" x14ac:dyDescent="0.25">
      <c r="D5276"/>
    </row>
    <row r="5277" spans="4:4" x14ac:dyDescent="0.25">
      <c r="D5277"/>
    </row>
    <row r="5278" spans="4:4" x14ac:dyDescent="0.25">
      <c r="D5278"/>
    </row>
    <row r="5279" spans="4:4" x14ac:dyDescent="0.25">
      <c r="D5279"/>
    </row>
    <row r="5280" spans="4:4" x14ac:dyDescent="0.25">
      <c r="D5280"/>
    </row>
    <row r="5281" spans="4:4" x14ac:dyDescent="0.25">
      <c r="D5281"/>
    </row>
    <row r="5282" spans="4:4" x14ac:dyDescent="0.25">
      <c r="D5282"/>
    </row>
    <row r="5283" spans="4:4" x14ac:dyDescent="0.25">
      <c r="D5283"/>
    </row>
    <row r="5284" spans="4:4" x14ac:dyDescent="0.25">
      <c r="D5284"/>
    </row>
    <row r="5285" spans="4:4" x14ac:dyDescent="0.25">
      <c r="D5285"/>
    </row>
    <row r="5286" spans="4:4" x14ac:dyDescent="0.25">
      <c r="D5286"/>
    </row>
    <row r="5287" spans="4:4" x14ac:dyDescent="0.25">
      <c r="D5287"/>
    </row>
    <row r="5288" spans="4:4" x14ac:dyDescent="0.25">
      <c r="D5288"/>
    </row>
    <row r="5289" spans="4:4" x14ac:dyDescent="0.25">
      <c r="D5289"/>
    </row>
    <row r="5290" spans="4:4" x14ac:dyDescent="0.25">
      <c r="D5290"/>
    </row>
    <row r="5291" spans="4:4" x14ac:dyDescent="0.25">
      <c r="D5291"/>
    </row>
    <row r="5292" spans="4:4" x14ac:dyDescent="0.25">
      <c r="D5292"/>
    </row>
    <row r="5293" spans="4:4" x14ac:dyDescent="0.25">
      <c r="D5293"/>
    </row>
    <row r="5294" spans="4:4" x14ac:dyDescent="0.25">
      <c r="D5294"/>
    </row>
    <row r="5295" spans="4:4" x14ac:dyDescent="0.25">
      <c r="D5295"/>
    </row>
    <row r="5296" spans="4:4" x14ac:dyDescent="0.25">
      <c r="D5296"/>
    </row>
    <row r="5297" spans="4:4" x14ac:dyDescent="0.25">
      <c r="D5297"/>
    </row>
    <row r="5298" spans="4:4" x14ac:dyDescent="0.25">
      <c r="D5298"/>
    </row>
    <row r="5299" spans="4:4" x14ac:dyDescent="0.25">
      <c r="D5299"/>
    </row>
    <row r="5300" spans="4:4" x14ac:dyDescent="0.25">
      <c r="D5300"/>
    </row>
    <row r="5301" spans="4:4" x14ac:dyDescent="0.25">
      <c r="D5301"/>
    </row>
    <row r="5302" spans="4:4" x14ac:dyDescent="0.25">
      <c r="D5302"/>
    </row>
    <row r="5303" spans="4:4" x14ac:dyDescent="0.25">
      <c r="D5303"/>
    </row>
    <row r="5304" spans="4:4" x14ac:dyDescent="0.25">
      <c r="D5304"/>
    </row>
    <row r="5305" spans="4:4" x14ac:dyDescent="0.25">
      <c r="D5305"/>
    </row>
    <row r="5306" spans="4:4" x14ac:dyDescent="0.25">
      <c r="D5306"/>
    </row>
    <row r="5307" spans="4:4" x14ac:dyDescent="0.25">
      <c r="D5307"/>
    </row>
    <row r="5308" spans="4:4" x14ac:dyDescent="0.25">
      <c r="D5308"/>
    </row>
    <row r="5309" spans="4:4" x14ac:dyDescent="0.25">
      <c r="D5309"/>
    </row>
    <row r="5310" spans="4:4" x14ac:dyDescent="0.25">
      <c r="D5310"/>
    </row>
    <row r="5311" spans="4:4" x14ac:dyDescent="0.25">
      <c r="D5311"/>
    </row>
    <row r="5312" spans="4:4" x14ac:dyDescent="0.25">
      <c r="D5312"/>
    </row>
    <row r="5313" spans="4:4" x14ac:dyDescent="0.25">
      <c r="D5313"/>
    </row>
    <row r="5314" spans="4:4" x14ac:dyDescent="0.25">
      <c r="D5314"/>
    </row>
    <row r="5315" spans="4:4" x14ac:dyDescent="0.25">
      <c r="D5315"/>
    </row>
    <row r="5316" spans="4:4" x14ac:dyDescent="0.25">
      <c r="D5316"/>
    </row>
    <row r="5317" spans="4:4" x14ac:dyDescent="0.25">
      <c r="D5317"/>
    </row>
    <row r="5318" spans="4:4" x14ac:dyDescent="0.25">
      <c r="D5318"/>
    </row>
    <row r="5319" spans="4:4" x14ac:dyDescent="0.25">
      <c r="D5319"/>
    </row>
    <row r="5320" spans="4:4" x14ac:dyDescent="0.25">
      <c r="D5320"/>
    </row>
    <row r="5321" spans="4:4" x14ac:dyDescent="0.25">
      <c r="D5321"/>
    </row>
    <row r="5322" spans="4:4" x14ac:dyDescent="0.25">
      <c r="D5322"/>
    </row>
    <row r="5323" spans="4:4" x14ac:dyDescent="0.25">
      <c r="D5323"/>
    </row>
    <row r="5324" spans="4:4" x14ac:dyDescent="0.25">
      <c r="D5324"/>
    </row>
    <row r="5325" spans="4:4" x14ac:dyDescent="0.25">
      <c r="D5325"/>
    </row>
    <row r="5326" spans="4:4" x14ac:dyDescent="0.25">
      <c r="D5326"/>
    </row>
    <row r="5327" spans="4:4" x14ac:dyDescent="0.25">
      <c r="D5327"/>
    </row>
    <row r="5328" spans="4:4" x14ac:dyDescent="0.25">
      <c r="D5328"/>
    </row>
    <row r="5329" spans="4:4" x14ac:dyDescent="0.25">
      <c r="D5329"/>
    </row>
    <row r="5330" spans="4:4" x14ac:dyDescent="0.25">
      <c r="D5330"/>
    </row>
    <row r="5331" spans="4:4" x14ac:dyDescent="0.25">
      <c r="D5331"/>
    </row>
    <row r="5332" spans="4:4" x14ac:dyDescent="0.25">
      <c r="D5332"/>
    </row>
    <row r="5333" spans="4:4" x14ac:dyDescent="0.25">
      <c r="D5333"/>
    </row>
    <row r="5334" spans="4:4" x14ac:dyDescent="0.25">
      <c r="D5334"/>
    </row>
    <row r="5335" spans="4:4" x14ac:dyDescent="0.25">
      <c r="D5335"/>
    </row>
    <row r="5336" spans="4:4" x14ac:dyDescent="0.25">
      <c r="D5336"/>
    </row>
    <row r="5337" spans="4:4" x14ac:dyDescent="0.25">
      <c r="D5337"/>
    </row>
    <row r="5338" spans="4:4" x14ac:dyDescent="0.25">
      <c r="D5338"/>
    </row>
    <row r="5339" spans="4:4" x14ac:dyDescent="0.25">
      <c r="D5339"/>
    </row>
    <row r="5340" spans="4:4" x14ac:dyDescent="0.25">
      <c r="D5340"/>
    </row>
    <row r="5341" spans="4:4" x14ac:dyDescent="0.25">
      <c r="D5341"/>
    </row>
    <row r="5342" spans="4:4" x14ac:dyDescent="0.25">
      <c r="D5342"/>
    </row>
    <row r="5343" spans="4:4" x14ac:dyDescent="0.25">
      <c r="D5343"/>
    </row>
    <row r="5344" spans="4:4" x14ac:dyDescent="0.25">
      <c r="D5344"/>
    </row>
    <row r="5345" spans="4:4" x14ac:dyDescent="0.25">
      <c r="D5345"/>
    </row>
    <row r="5346" spans="4:4" x14ac:dyDescent="0.25">
      <c r="D5346"/>
    </row>
    <row r="5347" spans="4:4" x14ac:dyDescent="0.25">
      <c r="D5347"/>
    </row>
    <row r="5348" spans="4:4" x14ac:dyDescent="0.25">
      <c r="D5348"/>
    </row>
    <row r="5349" spans="4:4" x14ac:dyDescent="0.25">
      <c r="D5349"/>
    </row>
    <row r="5350" spans="4:4" x14ac:dyDescent="0.25">
      <c r="D5350"/>
    </row>
    <row r="5351" spans="4:4" x14ac:dyDescent="0.25">
      <c r="D5351"/>
    </row>
    <row r="5352" spans="4:4" x14ac:dyDescent="0.25">
      <c r="D5352"/>
    </row>
    <row r="5353" spans="4:4" x14ac:dyDescent="0.25">
      <c r="D5353"/>
    </row>
    <row r="5354" spans="4:4" x14ac:dyDescent="0.25">
      <c r="D5354"/>
    </row>
    <row r="5355" spans="4:4" x14ac:dyDescent="0.25">
      <c r="D5355"/>
    </row>
    <row r="5356" spans="4:4" x14ac:dyDescent="0.25">
      <c r="D5356"/>
    </row>
    <row r="5357" spans="4:4" x14ac:dyDescent="0.25">
      <c r="D5357"/>
    </row>
    <row r="5358" spans="4:4" x14ac:dyDescent="0.25">
      <c r="D5358"/>
    </row>
    <row r="5359" spans="4:4" x14ac:dyDescent="0.25">
      <c r="D5359"/>
    </row>
    <row r="5360" spans="4:4" x14ac:dyDescent="0.25">
      <c r="D5360"/>
    </row>
    <row r="5361" spans="4:4" x14ac:dyDescent="0.25">
      <c r="D5361"/>
    </row>
    <row r="5362" spans="4:4" x14ac:dyDescent="0.25">
      <c r="D5362"/>
    </row>
    <row r="5363" spans="4:4" x14ac:dyDescent="0.25">
      <c r="D5363"/>
    </row>
    <row r="5364" spans="4:4" x14ac:dyDescent="0.25">
      <c r="D5364"/>
    </row>
    <row r="5365" spans="4:4" x14ac:dyDescent="0.25">
      <c r="D5365"/>
    </row>
    <row r="5366" spans="4:4" x14ac:dyDescent="0.25">
      <c r="D5366"/>
    </row>
    <row r="5367" spans="4:4" x14ac:dyDescent="0.25">
      <c r="D5367"/>
    </row>
    <row r="5368" spans="4:4" x14ac:dyDescent="0.25">
      <c r="D5368"/>
    </row>
    <row r="5369" spans="4:4" x14ac:dyDescent="0.25">
      <c r="D5369"/>
    </row>
    <row r="5370" spans="4:4" x14ac:dyDescent="0.25">
      <c r="D5370"/>
    </row>
    <row r="5371" spans="4:4" x14ac:dyDescent="0.25">
      <c r="D5371"/>
    </row>
    <row r="5372" spans="4:4" x14ac:dyDescent="0.25">
      <c r="D5372"/>
    </row>
    <row r="5373" spans="4:4" x14ac:dyDescent="0.25">
      <c r="D5373"/>
    </row>
    <row r="5374" spans="4:4" x14ac:dyDescent="0.25">
      <c r="D5374"/>
    </row>
    <row r="5375" spans="4:4" x14ac:dyDescent="0.25">
      <c r="D5375"/>
    </row>
    <row r="5376" spans="4:4" x14ac:dyDescent="0.25">
      <c r="D5376"/>
    </row>
    <row r="5377" spans="4:4" x14ac:dyDescent="0.25">
      <c r="D5377"/>
    </row>
    <row r="5378" spans="4:4" x14ac:dyDescent="0.25">
      <c r="D5378"/>
    </row>
    <row r="5379" spans="4:4" x14ac:dyDescent="0.25">
      <c r="D5379"/>
    </row>
    <row r="5380" spans="4:4" x14ac:dyDescent="0.25">
      <c r="D5380"/>
    </row>
    <row r="5381" spans="4:4" x14ac:dyDescent="0.25">
      <c r="D5381"/>
    </row>
    <row r="5382" spans="4:4" x14ac:dyDescent="0.25">
      <c r="D5382"/>
    </row>
    <row r="5383" spans="4:4" x14ac:dyDescent="0.25">
      <c r="D5383"/>
    </row>
    <row r="5384" spans="4:4" x14ac:dyDescent="0.25">
      <c r="D5384"/>
    </row>
    <row r="5385" spans="4:4" x14ac:dyDescent="0.25">
      <c r="D5385"/>
    </row>
    <row r="5386" spans="4:4" x14ac:dyDescent="0.25">
      <c r="D5386"/>
    </row>
    <row r="5387" spans="4:4" x14ac:dyDescent="0.25">
      <c r="D5387"/>
    </row>
    <row r="5388" spans="4:4" x14ac:dyDescent="0.25">
      <c r="D5388"/>
    </row>
    <row r="5389" spans="4:4" x14ac:dyDescent="0.25">
      <c r="D5389"/>
    </row>
    <row r="5390" spans="4:4" x14ac:dyDescent="0.25">
      <c r="D5390"/>
    </row>
    <row r="5391" spans="4:4" x14ac:dyDescent="0.25">
      <c r="D5391"/>
    </row>
    <row r="5392" spans="4:4" x14ac:dyDescent="0.25">
      <c r="D5392"/>
    </row>
    <row r="5393" spans="4:4" x14ac:dyDescent="0.25">
      <c r="D5393"/>
    </row>
    <row r="5394" spans="4:4" x14ac:dyDescent="0.25">
      <c r="D5394"/>
    </row>
    <row r="5395" spans="4:4" x14ac:dyDescent="0.25">
      <c r="D5395"/>
    </row>
    <row r="5396" spans="4:4" x14ac:dyDescent="0.25">
      <c r="D5396"/>
    </row>
    <row r="5397" spans="4:4" x14ac:dyDescent="0.25">
      <c r="D5397"/>
    </row>
    <row r="5398" spans="4:4" x14ac:dyDescent="0.25">
      <c r="D5398"/>
    </row>
    <row r="5399" spans="4:4" x14ac:dyDescent="0.25">
      <c r="D5399"/>
    </row>
    <row r="5400" spans="4:4" x14ac:dyDescent="0.25">
      <c r="D5400"/>
    </row>
    <row r="5401" spans="4:4" x14ac:dyDescent="0.25">
      <c r="D5401"/>
    </row>
    <row r="5402" spans="4:4" x14ac:dyDescent="0.25">
      <c r="D5402"/>
    </row>
    <row r="5403" spans="4:4" x14ac:dyDescent="0.25">
      <c r="D5403"/>
    </row>
    <row r="5404" spans="4:4" x14ac:dyDescent="0.25">
      <c r="D5404"/>
    </row>
    <row r="5405" spans="4:4" x14ac:dyDescent="0.25">
      <c r="D5405"/>
    </row>
    <row r="5406" spans="4:4" x14ac:dyDescent="0.25">
      <c r="D5406"/>
    </row>
    <row r="5407" spans="4:4" x14ac:dyDescent="0.25">
      <c r="D5407"/>
    </row>
    <row r="5408" spans="4:4" x14ac:dyDescent="0.25">
      <c r="D5408"/>
    </row>
    <row r="5409" spans="4:4" x14ac:dyDescent="0.25">
      <c r="D5409"/>
    </row>
    <row r="5410" spans="4:4" x14ac:dyDescent="0.25">
      <c r="D5410"/>
    </row>
    <row r="5411" spans="4:4" x14ac:dyDescent="0.25">
      <c r="D5411"/>
    </row>
    <row r="5412" spans="4:4" x14ac:dyDescent="0.25">
      <c r="D5412"/>
    </row>
    <row r="5413" spans="4:4" x14ac:dyDescent="0.25">
      <c r="D5413"/>
    </row>
    <row r="5414" spans="4:4" x14ac:dyDescent="0.25">
      <c r="D5414"/>
    </row>
    <row r="5415" spans="4:4" x14ac:dyDescent="0.25">
      <c r="D5415"/>
    </row>
    <row r="5416" spans="4:4" x14ac:dyDescent="0.25">
      <c r="D5416"/>
    </row>
    <row r="5417" spans="4:4" x14ac:dyDescent="0.25">
      <c r="D5417"/>
    </row>
    <row r="5418" spans="4:4" x14ac:dyDescent="0.25">
      <c r="D5418"/>
    </row>
    <row r="5419" spans="4:4" x14ac:dyDescent="0.25">
      <c r="D5419"/>
    </row>
    <row r="5420" spans="4:4" x14ac:dyDescent="0.25">
      <c r="D5420"/>
    </row>
    <row r="5421" spans="4:4" x14ac:dyDescent="0.25">
      <c r="D5421"/>
    </row>
    <row r="5422" spans="4:4" x14ac:dyDescent="0.25">
      <c r="D5422"/>
    </row>
    <row r="5423" spans="4:4" x14ac:dyDescent="0.25">
      <c r="D5423"/>
    </row>
    <row r="5424" spans="4:4" x14ac:dyDescent="0.25">
      <c r="D5424"/>
    </row>
    <row r="5425" spans="4:4" x14ac:dyDescent="0.25">
      <c r="D5425"/>
    </row>
    <row r="5426" spans="4:4" x14ac:dyDescent="0.25">
      <c r="D5426"/>
    </row>
    <row r="5427" spans="4:4" x14ac:dyDescent="0.25">
      <c r="D5427"/>
    </row>
    <row r="5428" spans="4:4" x14ac:dyDescent="0.25">
      <c r="D5428"/>
    </row>
    <row r="5429" spans="4:4" x14ac:dyDescent="0.25">
      <c r="D5429"/>
    </row>
    <row r="5430" spans="4:4" x14ac:dyDescent="0.25">
      <c r="D5430"/>
    </row>
    <row r="5431" spans="4:4" x14ac:dyDescent="0.25">
      <c r="D5431"/>
    </row>
    <row r="5432" spans="4:4" x14ac:dyDescent="0.25">
      <c r="D5432"/>
    </row>
    <row r="5433" spans="4:4" x14ac:dyDescent="0.25">
      <c r="D5433"/>
    </row>
    <row r="5434" spans="4:4" x14ac:dyDescent="0.25">
      <c r="D5434"/>
    </row>
    <row r="5435" spans="4:4" x14ac:dyDescent="0.25">
      <c r="D5435"/>
    </row>
    <row r="5436" spans="4:4" x14ac:dyDescent="0.25">
      <c r="D5436"/>
    </row>
    <row r="5437" spans="4:4" x14ac:dyDescent="0.25">
      <c r="D5437"/>
    </row>
    <row r="5438" spans="4:4" x14ac:dyDescent="0.25">
      <c r="D5438"/>
    </row>
    <row r="5439" spans="4:4" x14ac:dyDescent="0.25">
      <c r="D5439"/>
    </row>
    <row r="5440" spans="4:4" x14ac:dyDescent="0.25">
      <c r="D5440"/>
    </row>
    <row r="5441" spans="4:4" x14ac:dyDescent="0.25">
      <c r="D5441"/>
    </row>
    <row r="5442" spans="4:4" x14ac:dyDescent="0.25">
      <c r="D5442"/>
    </row>
    <row r="5443" spans="4:4" x14ac:dyDescent="0.25">
      <c r="D5443"/>
    </row>
    <row r="5444" spans="4:4" x14ac:dyDescent="0.25">
      <c r="D5444"/>
    </row>
    <row r="5445" spans="4:4" x14ac:dyDescent="0.25">
      <c r="D5445"/>
    </row>
    <row r="5446" spans="4:4" x14ac:dyDescent="0.25">
      <c r="D5446"/>
    </row>
    <row r="5447" spans="4:4" x14ac:dyDescent="0.25">
      <c r="D5447"/>
    </row>
    <row r="5448" spans="4:4" x14ac:dyDescent="0.25">
      <c r="D5448"/>
    </row>
    <row r="5449" spans="4:4" x14ac:dyDescent="0.25">
      <c r="D5449"/>
    </row>
    <row r="5450" spans="4:4" x14ac:dyDescent="0.25">
      <c r="D5450"/>
    </row>
    <row r="5451" spans="4:4" x14ac:dyDescent="0.25">
      <c r="D5451"/>
    </row>
    <row r="5452" spans="4:4" x14ac:dyDescent="0.25">
      <c r="D5452"/>
    </row>
    <row r="5453" spans="4:4" x14ac:dyDescent="0.25">
      <c r="D5453"/>
    </row>
    <row r="5454" spans="4:4" x14ac:dyDescent="0.25">
      <c r="D5454"/>
    </row>
    <row r="5455" spans="4:4" x14ac:dyDescent="0.25">
      <c r="D5455"/>
    </row>
    <row r="5456" spans="4:4" x14ac:dyDescent="0.25">
      <c r="D5456"/>
    </row>
    <row r="5457" spans="4:4" x14ac:dyDescent="0.25">
      <c r="D5457"/>
    </row>
    <row r="5458" spans="4:4" x14ac:dyDescent="0.25">
      <c r="D5458"/>
    </row>
    <row r="5459" spans="4:4" x14ac:dyDescent="0.25">
      <c r="D5459"/>
    </row>
    <row r="5460" spans="4:4" x14ac:dyDescent="0.25">
      <c r="D5460"/>
    </row>
    <row r="5461" spans="4:4" x14ac:dyDescent="0.25">
      <c r="D5461"/>
    </row>
    <row r="5462" spans="4:4" x14ac:dyDescent="0.25">
      <c r="D5462"/>
    </row>
    <row r="5463" spans="4:4" x14ac:dyDescent="0.25">
      <c r="D5463"/>
    </row>
    <row r="5464" spans="4:4" x14ac:dyDescent="0.25">
      <c r="D5464"/>
    </row>
    <row r="5465" spans="4:4" x14ac:dyDescent="0.25">
      <c r="D5465"/>
    </row>
    <row r="5466" spans="4:4" x14ac:dyDescent="0.25">
      <c r="D5466"/>
    </row>
    <row r="5467" spans="4:4" x14ac:dyDescent="0.25">
      <c r="D5467"/>
    </row>
    <row r="5468" spans="4:4" x14ac:dyDescent="0.25">
      <c r="D5468"/>
    </row>
    <row r="5469" spans="4:4" x14ac:dyDescent="0.25">
      <c r="D5469"/>
    </row>
    <row r="5470" spans="4:4" x14ac:dyDescent="0.25">
      <c r="D5470"/>
    </row>
    <row r="5471" spans="4:4" x14ac:dyDescent="0.25">
      <c r="D5471"/>
    </row>
    <row r="5472" spans="4:4" x14ac:dyDescent="0.25">
      <c r="D5472"/>
    </row>
    <row r="5473" spans="4:4" x14ac:dyDescent="0.25">
      <c r="D5473"/>
    </row>
    <row r="5474" spans="4:4" x14ac:dyDescent="0.25">
      <c r="D5474"/>
    </row>
    <row r="5475" spans="4:4" x14ac:dyDescent="0.25">
      <c r="D5475"/>
    </row>
    <row r="5476" spans="4:4" x14ac:dyDescent="0.25">
      <c r="D5476"/>
    </row>
    <row r="5477" spans="4:4" x14ac:dyDescent="0.25">
      <c r="D5477"/>
    </row>
    <row r="5478" spans="4:4" x14ac:dyDescent="0.25">
      <c r="D5478"/>
    </row>
    <row r="5479" spans="4:4" x14ac:dyDescent="0.25">
      <c r="D5479"/>
    </row>
    <row r="5480" spans="4:4" x14ac:dyDescent="0.25">
      <c r="D5480"/>
    </row>
    <row r="5481" spans="4:4" x14ac:dyDescent="0.25">
      <c r="D5481"/>
    </row>
    <row r="5482" spans="4:4" x14ac:dyDescent="0.25">
      <c r="D5482"/>
    </row>
    <row r="5483" spans="4:4" x14ac:dyDescent="0.25">
      <c r="D5483"/>
    </row>
    <row r="5484" spans="4:4" x14ac:dyDescent="0.25">
      <c r="D5484"/>
    </row>
    <row r="5485" spans="4:4" x14ac:dyDescent="0.25">
      <c r="D5485"/>
    </row>
    <row r="5486" spans="4:4" x14ac:dyDescent="0.25">
      <c r="D5486"/>
    </row>
    <row r="5487" spans="4:4" x14ac:dyDescent="0.25">
      <c r="D5487"/>
    </row>
    <row r="5488" spans="4:4" x14ac:dyDescent="0.25">
      <c r="D5488"/>
    </row>
    <row r="5489" spans="4:4" x14ac:dyDescent="0.25">
      <c r="D5489"/>
    </row>
    <row r="5490" spans="4:4" x14ac:dyDescent="0.25">
      <c r="D5490"/>
    </row>
    <row r="5491" spans="4:4" x14ac:dyDescent="0.25">
      <c r="D5491"/>
    </row>
    <row r="5492" spans="4:4" x14ac:dyDescent="0.25">
      <c r="D5492"/>
    </row>
    <row r="5493" spans="4:4" x14ac:dyDescent="0.25">
      <c r="D5493"/>
    </row>
    <row r="5494" spans="4:4" x14ac:dyDescent="0.25">
      <c r="D5494"/>
    </row>
    <row r="5495" spans="4:4" x14ac:dyDescent="0.25">
      <c r="D5495"/>
    </row>
    <row r="5496" spans="4:4" x14ac:dyDescent="0.25">
      <c r="D5496"/>
    </row>
    <row r="5497" spans="4:4" x14ac:dyDescent="0.25">
      <c r="D5497"/>
    </row>
    <row r="5498" spans="4:4" x14ac:dyDescent="0.25">
      <c r="D5498"/>
    </row>
    <row r="5499" spans="4:4" x14ac:dyDescent="0.25">
      <c r="D5499"/>
    </row>
    <row r="5500" spans="4:4" x14ac:dyDescent="0.25">
      <c r="D5500"/>
    </row>
    <row r="5501" spans="4:4" x14ac:dyDescent="0.25">
      <c r="D5501"/>
    </row>
    <row r="5502" spans="4:4" x14ac:dyDescent="0.25">
      <c r="D5502"/>
    </row>
    <row r="5503" spans="4:4" x14ac:dyDescent="0.25">
      <c r="D5503"/>
    </row>
    <row r="5504" spans="4:4" x14ac:dyDescent="0.25">
      <c r="D5504"/>
    </row>
    <row r="5505" spans="4:4" x14ac:dyDescent="0.25">
      <c r="D5505"/>
    </row>
    <row r="5506" spans="4:4" x14ac:dyDescent="0.25">
      <c r="D5506"/>
    </row>
    <row r="5507" spans="4:4" x14ac:dyDescent="0.25">
      <c r="D5507"/>
    </row>
    <row r="5508" spans="4:4" x14ac:dyDescent="0.25">
      <c r="D5508"/>
    </row>
    <row r="5509" spans="4:4" x14ac:dyDescent="0.25">
      <c r="D5509"/>
    </row>
    <row r="5510" spans="4:4" x14ac:dyDescent="0.25">
      <c r="D5510"/>
    </row>
    <row r="5511" spans="4:4" x14ac:dyDescent="0.25">
      <c r="D5511"/>
    </row>
    <row r="5512" spans="4:4" x14ac:dyDescent="0.25">
      <c r="D5512"/>
    </row>
    <row r="5513" spans="4:4" x14ac:dyDescent="0.25">
      <c r="D5513"/>
    </row>
    <row r="5514" spans="4:4" x14ac:dyDescent="0.25">
      <c r="D5514"/>
    </row>
    <row r="5515" spans="4:4" x14ac:dyDescent="0.25">
      <c r="D5515"/>
    </row>
    <row r="5516" spans="4:4" x14ac:dyDescent="0.25">
      <c r="D5516"/>
    </row>
    <row r="5517" spans="4:4" x14ac:dyDescent="0.25">
      <c r="D5517"/>
    </row>
    <row r="5518" spans="4:4" x14ac:dyDescent="0.25">
      <c r="D5518"/>
    </row>
    <row r="5519" spans="4:4" x14ac:dyDescent="0.25">
      <c r="D5519"/>
    </row>
    <row r="5520" spans="4:4" x14ac:dyDescent="0.25">
      <c r="D5520"/>
    </row>
    <row r="5521" spans="4:4" x14ac:dyDescent="0.25">
      <c r="D5521"/>
    </row>
    <row r="5522" spans="4:4" x14ac:dyDescent="0.25">
      <c r="D5522"/>
    </row>
    <row r="5523" spans="4:4" x14ac:dyDescent="0.25">
      <c r="D5523"/>
    </row>
    <row r="5524" spans="4:4" x14ac:dyDescent="0.25">
      <c r="D5524"/>
    </row>
    <row r="5525" spans="4:4" x14ac:dyDescent="0.25">
      <c r="D5525"/>
    </row>
    <row r="5526" spans="4:4" x14ac:dyDescent="0.25">
      <c r="D5526"/>
    </row>
    <row r="5527" spans="4:4" x14ac:dyDescent="0.25">
      <c r="D5527"/>
    </row>
    <row r="5528" spans="4:4" x14ac:dyDescent="0.25">
      <c r="D5528"/>
    </row>
    <row r="5529" spans="4:4" x14ac:dyDescent="0.25">
      <c r="D5529"/>
    </row>
    <row r="5530" spans="4:4" x14ac:dyDescent="0.25">
      <c r="D5530"/>
    </row>
    <row r="5531" spans="4:4" x14ac:dyDescent="0.25">
      <c r="D5531"/>
    </row>
    <row r="5532" spans="4:4" x14ac:dyDescent="0.25">
      <c r="D5532"/>
    </row>
    <row r="5533" spans="4:4" x14ac:dyDescent="0.25">
      <c r="D5533"/>
    </row>
    <row r="5534" spans="4:4" x14ac:dyDescent="0.25">
      <c r="D5534"/>
    </row>
    <row r="5535" spans="4:4" x14ac:dyDescent="0.25">
      <c r="D5535"/>
    </row>
    <row r="5536" spans="4:4" x14ac:dyDescent="0.25">
      <c r="D5536"/>
    </row>
    <row r="5537" spans="4:4" x14ac:dyDescent="0.25">
      <c r="D5537"/>
    </row>
    <row r="5538" spans="4:4" x14ac:dyDescent="0.25">
      <c r="D5538"/>
    </row>
    <row r="5539" spans="4:4" x14ac:dyDescent="0.25">
      <c r="D5539"/>
    </row>
    <row r="5540" spans="4:4" x14ac:dyDescent="0.25">
      <c r="D5540"/>
    </row>
    <row r="5541" spans="4:4" x14ac:dyDescent="0.25">
      <c r="D5541"/>
    </row>
    <row r="5542" spans="4:4" x14ac:dyDescent="0.25">
      <c r="D5542"/>
    </row>
    <row r="5543" spans="4:4" x14ac:dyDescent="0.25">
      <c r="D5543"/>
    </row>
    <row r="5544" spans="4:4" x14ac:dyDescent="0.25">
      <c r="D5544"/>
    </row>
    <row r="5545" spans="4:4" x14ac:dyDescent="0.25">
      <c r="D5545"/>
    </row>
    <row r="5546" spans="4:4" x14ac:dyDescent="0.25">
      <c r="D5546"/>
    </row>
    <row r="5547" spans="4:4" x14ac:dyDescent="0.25">
      <c r="D5547"/>
    </row>
    <row r="5548" spans="4:4" x14ac:dyDescent="0.25">
      <c r="D5548"/>
    </row>
    <row r="5549" spans="4:4" x14ac:dyDescent="0.25">
      <c r="D5549"/>
    </row>
    <row r="5550" spans="4:4" x14ac:dyDescent="0.25">
      <c r="D5550"/>
    </row>
    <row r="5551" spans="4:4" x14ac:dyDescent="0.25">
      <c r="D5551"/>
    </row>
    <row r="5552" spans="4:4" x14ac:dyDescent="0.25">
      <c r="D5552"/>
    </row>
    <row r="5553" spans="4:4" x14ac:dyDescent="0.25">
      <c r="D5553"/>
    </row>
    <row r="5554" spans="4:4" x14ac:dyDescent="0.25">
      <c r="D5554"/>
    </row>
    <row r="5555" spans="4:4" x14ac:dyDescent="0.25">
      <c r="D5555"/>
    </row>
    <row r="5556" spans="4:4" x14ac:dyDescent="0.25">
      <c r="D5556"/>
    </row>
    <row r="5557" spans="4:4" x14ac:dyDescent="0.25">
      <c r="D5557"/>
    </row>
    <row r="5558" spans="4:4" x14ac:dyDescent="0.25">
      <c r="D5558"/>
    </row>
    <row r="5559" spans="4:4" x14ac:dyDescent="0.25">
      <c r="D5559"/>
    </row>
    <row r="5560" spans="4:4" x14ac:dyDescent="0.25">
      <c r="D5560"/>
    </row>
    <row r="5561" spans="4:4" x14ac:dyDescent="0.25">
      <c r="D5561"/>
    </row>
    <row r="5562" spans="4:4" x14ac:dyDescent="0.25">
      <c r="D5562"/>
    </row>
    <row r="5563" spans="4:4" x14ac:dyDescent="0.25">
      <c r="D5563"/>
    </row>
    <row r="5564" spans="4:4" x14ac:dyDescent="0.25">
      <c r="D5564"/>
    </row>
    <row r="5565" spans="4:4" x14ac:dyDescent="0.25">
      <c r="D5565"/>
    </row>
    <row r="5566" spans="4:4" x14ac:dyDescent="0.25">
      <c r="D5566"/>
    </row>
    <row r="5567" spans="4:4" x14ac:dyDescent="0.25">
      <c r="D5567"/>
    </row>
    <row r="5568" spans="4:4" x14ac:dyDescent="0.25">
      <c r="D5568"/>
    </row>
    <row r="5569" spans="4:4" x14ac:dyDescent="0.25">
      <c r="D5569"/>
    </row>
    <row r="5570" spans="4:4" x14ac:dyDescent="0.25">
      <c r="D5570"/>
    </row>
    <row r="5571" spans="4:4" x14ac:dyDescent="0.25">
      <c r="D5571"/>
    </row>
    <row r="5572" spans="4:4" x14ac:dyDescent="0.25">
      <c r="D5572"/>
    </row>
    <row r="5573" spans="4:4" x14ac:dyDescent="0.25">
      <c r="D5573"/>
    </row>
    <row r="5574" spans="4:4" x14ac:dyDescent="0.25">
      <c r="D5574"/>
    </row>
    <row r="5575" spans="4:4" x14ac:dyDescent="0.25">
      <c r="D5575"/>
    </row>
    <row r="5576" spans="4:4" x14ac:dyDescent="0.25">
      <c r="D5576"/>
    </row>
    <row r="5577" spans="4:4" x14ac:dyDescent="0.25">
      <c r="D5577"/>
    </row>
    <row r="5578" spans="4:4" x14ac:dyDescent="0.25">
      <c r="D5578"/>
    </row>
    <row r="5579" spans="4:4" x14ac:dyDescent="0.25">
      <c r="D5579"/>
    </row>
    <row r="5580" spans="4:4" x14ac:dyDescent="0.25">
      <c r="D5580"/>
    </row>
    <row r="5581" spans="4:4" x14ac:dyDescent="0.25">
      <c r="D5581"/>
    </row>
    <row r="5582" spans="4:4" x14ac:dyDescent="0.25">
      <c r="D5582"/>
    </row>
    <row r="5583" spans="4:4" x14ac:dyDescent="0.25">
      <c r="D5583"/>
    </row>
    <row r="5584" spans="4:4" x14ac:dyDescent="0.25">
      <c r="D5584"/>
    </row>
    <row r="5585" spans="4:4" x14ac:dyDescent="0.25">
      <c r="D5585"/>
    </row>
    <row r="5586" spans="4:4" x14ac:dyDescent="0.25">
      <c r="D5586"/>
    </row>
    <row r="5587" spans="4:4" x14ac:dyDescent="0.25">
      <c r="D5587"/>
    </row>
    <row r="5588" spans="4:4" x14ac:dyDescent="0.25">
      <c r="D5588"/>
    </row>
    <row r="5589" spans="4:4" x14ac:dyDescent="0.25">
      <c r="D5589"/>
    </row>
    <row r="5590" spans="4:4" x14ac:dyDescent="0.25">
      <c r="D5590"/>
    </row>
    <row r="5591" spans="4:4" x14ac:dyDescent="0.25">
      <c r="D5591"/>
    </row>
    <row r="5592" spans="4:4" x14ac:dyDescent="0.25">
      <c r="D5592"/>
    </row>
    <row r="5593" spans="4:4" x14ac:dyDescent="0.25">
      <c r="D5593"/>
    </row>
    <row r="5594" spans="4:4" x14ac:dyDescent="0.25">
      <c r="D5594"/>
    </row>
    <row r="5595" spans="4:4" x14ac:dyDescent="0.25">
      <c r="D5595"/>
    </row>
    <row r="5596" spans="4:4" x14ac:dyDescent="0.25">
      <c r="D5596"/>
    </row>
    <row r="5597" spans="4:4" x14ac:dyDescent="0.25">
      <c r="D5597"/>
    </row>
    <row r="5598" spans="4:4" x14ac:dyDescent="0.25">
      <c r="D5598"/>
    </row>
    <row r="5599" spans="4:4" x14ac:dyDescent="0.25">
      <c r="D5599"/>
    </row>
    <row r="5600" spans="4:4" x14ac:dyDescent="0.25">
      <c r="D5600"/>
    </row>
    <row r="5601" spans="4:4" x14ac:dyDescent="0.25">
      <c r="D5601"/>
    </row>
    <row r="5602" spans="4:4" x14ac:dyDescent="0.25">
      <c r="D5602"/>
    </row>
    <row r="5603" spans="4:4" x14ac:dyDescent="0.25">
      <c r="D5603"/>
    </row>
    <row r="5604" spans="4:4" x14ac:dyDescent="0.25">
      <c r="D5604"/>
    </row>
    <row r="5605" spans="4:4" x14ac:dyDescent="0.25">
      <c r="D5605"/>
    </row>
    <row r="5606" spans="4:4" x14ac:dyDescent="0.25">
      <c r="D5606"/>
    </row>
    <row r="5607" spans="4:4" x14ac:dyDescent="0.25">
      <c r="D5607"/>
    </row>
    <row r="5608" spans="4:4" x14ac:dyDescent="0.25">
      <c r="D5608"/>
    </row>
    <row r="5609" spans="4:4" x14ac:dyDescent="0.25">
      <c r="D5609"/>
    </row>
    <row r="5610" spans="4:4" x14ac:dyDescent="0.25">
      <c r="D5610"/>
    </row>
    <row r="5611" spans="4:4" x14ac:dyDescent="0.25">
      <c r="D5611"/>
    </row>
    <row r="5612" spans="4:4" x14ac:dyDescent="0.25">
      <c r="D5612"/>
    </row>
    <row r="5613" spans="4:4" x14ac:dyDescent="0.25">
      <c r="D5613"/>
    </row>
    <row r="5614" spans="4:4" x14ac:dyDescent="0.25">
      <c r="D5614"/>
    </row>
    <row r="5615" spans="4:4" x14ac:dyDescent="0.25">
      <c r="D5615"/>
    </row>
    <row r="5616" spans="4:4" x14ac:dyDescent="0.25">
      <c r="D5616"/>
    </row>
    <row r="5617" spans="4:4" x14ac:dyDescent="0.25">
      <c r="D5617"/>
    </row>
    <row r="5618" spans="4:4" x14ac:dyDescent="0.25">
      <c r="D5618"/>
    </row>
    <row r="5619" spans="4:4" x14ac:dyDescent="0.25">
      <c r="D5619"/>
    </row>
    <row r="5620" spans="4:4" x14ac:dyDescent="0.25">
      <c r="D5620"/>
    </row>
    <row r="5621" spans="4:4" x14ac:dyDescent="0.25">
      <c r="D5621"/>
    </row>
    <row r="5622" spans="4:4" x14ac:dyDescent="0.25">
      <c r="D5622"/>
    </row>
    <row r="5623" spans="4:4" x14ac:dyDescent="0.25">
      <c r="D5623"/>
    </row>
    <row r="5624" spans="4:4" x14ac:dyDescent="0.25">
      <c r="D5624"/>
    </row>
    <row r="5625" spans="4:4" x14ac:dyDescent="0.25">
      <c r="D5625"/>
    </row>
    <row r="5626" spans="4:4" x14ac:dyDescent="0.25">
      <c r="D5626"/>
    </row>
    <row r="5627" spans="4:4" x14ac:dyDescent="0.25">
      <c r="D5627"/>
    </row>
    <row r="5628" spans="4:4" x14ac:dyDescent="0.25">
      <c r="D5628"/>
    </row>
    <row r="5629" spans="4:4" x14ac:dyDescent="0.25">
      <c r="D5629"/>
    </row>
    <row r="5630" spans="4:4" x14ac:dyDescent="0.25">
      <c r="D5630"/>
    </row>
    <row r="5631" spans="4:4" x14ac:dyDescent="0.25">
      <c r="D5631"/>
    </row>
    <row r="5632" spans="4:4" x14ac:dyDescent="0.25">
      <c r="D5632"/>
    </row>
    <row r="5633" spans="4:4" x14ac:dyDescent="0.25">
      <c r="D5633"/>
    </row>
    <row r="5634" spans="4:4" x14ac:dyDescent="0.25">
      <c r="D5634"/>
    </row>
    <row r="5635" spans="4:4" x14ac:dyDescent="0.25">
      <c r="D5635"/>
    </row>
    <row r="5636" spans="4:4" x14ac:dyDescent="0.25">
      <c r="D5636"/>
    </row>
    <row r="5637" spans="4:4" x14ac:dyDescent="0.25">
      <c r="D5637"/>
    </row>
    <row r="5638" spans="4:4" x14ac:dyDescent="0.25">
      <c r="D5638"/>
    </row>
    <row r="5639" spans="4:4" x14ac:dyDescent="0.25">
      <c r="D5639"/>
    </row>
    <row r="5640" spans="4:4" x14ac:dyDescent="0.25">
      <c r="D5640"/>
    </row>
    <row r="5641" spans="4:4" x14ac:dyDescent="0.25">
      <c r="D5641"/>
    </row>
    <row r="5642" spans="4:4" x14ac:dyDescent="0.25">
      <c r="D5642"/>
    </row>
    <row r="5643" spans="4:4" x14ac:dyDescent="0.25">
      <c r="D5643"/>
    </row>
    <row r="5644" spans="4:4" x14ac:dyDescent="0.25">
      <c r="D5644"/>
    </row>
    <row r="5645" spans="4:4" x14ac:dyDescent="0.25">
      <c r="D5645"/>
    </row>
    <row r="5646" spans="4:4" x14ac:dyDescent="0.25">
      <c r="D5646"/>
    </row>
    <row r="5647" spans="4:4" x14ac:dyDescent="0.25">
      <c r="D5647"/>
    </row>
    <row r="5648" spans="4:4" x14ac:dyDescent="0.25">
      <c r="D5648"/>
    </row>
    <row r="5649" spans="4:4" x14ac:dyDescent="0.25">
      <c r="D5649"/>
    </row>
    <row r="5650" spans="4:4" x14ac:dyDescent="0.25">
      <c r="D5650"/>
    </row>
    <row r="5651" spans="4:4" x14ac:dyDescent="0.25">
      <c r="D5651"/>
    </row>
    <row r="5652" spans="4:4" x14ac:dyDescent="0.25">
      <c r="D5652"/>
    </row>
    <row r="5653" spans="4:4" x14ac:dyDescent="0.25">
      <c r="D5653"/>
    </row>
    <row r="5654" spans="4:4" x14ac:dyDescent="0.25">
      <c r="D5654"/>
    </row>
    <row r="5655" spans="4:4" x14ac:dyDescent="0.25">
      <c r="D5655"/>
    </row>
    <row r="5656" spans="4:4" x14ac:dyDescent="0.25">
      <c r="D5656"/>
    </row>
    <row r="5657" spans="4:4" x14ac:dyDescent="0.25">
      <c r="D5657"/>
    </row>
    <row r="5658" spans="4:4" x14ac:dyDescent="0.25">
      <c r="D5658"/>
    </row>
    <row r="5659" spans="4:4" x14ac:dyDescent="0.25">
      <c r="D5659"/>
    </row>
    <row r="5660" spans="4:4" x14ac:dyDescent="0.25">
      <c r="D5660"/>
    </row>
    <row r="5661" spans="4:4" x14ac:dyDescent="0.25">
      <c r="D5661"/>
    </row>
    <row r="5662" spans="4:4" x14ac:dyDescent="0.25">
      <c r="D5662"/>
    </row>
    <row r="5663" spans="4:4" x14ac:dyDescent="0.25">
      <c r="D5663"/>
    </row>
    <row r="5664" spans="4:4" x14ac:dyDescent="0.25">
      <c r="D5664"/>
    </row>
    <row r="5665" spans="4:4" x14ac:dyDescent="0.25">
      <c r="D5665"/>
    </row>
    <row r="5666" spans="4:4" x14ac:dyDescent="0.25">
      <c r="D5666"/>
    </row>
    <row r="5667" spans="4:4" x14ac:dyDescent="0.25">
      <c r="D5667"/>
    </row>
    <row r="5668" spans="4:4" x14ac:dyDescent="0.25">
      <c r="D5668"/>
    </row>
    <row r="5669" spans="4:4" x14ac:dyDescent="0.25">
      <c r="D5669"/>
    </row>
    <row r="5670" spans="4:4" x14ac:dyDescent="0.25">
      <c r="D5670"/>
    </row>
    <row r="5671" spans="4:4" x14ac:dyDescent="0.25">
      <c r="D5671"/>
    </row>
    <row r="5672" spans="4:4" x14ac:dyDescent="0.25">
      <c r="D5672"/>
    </row>
    <row r="5673" spans="4:4" x14ac:dyDescent="0.25">
      <c r="D5673"/>
    </row>
    <row r="5674" spans="4:4" x14ac:dyDescent="0.25">
      <c r="D5674"/>
    </row>
    <row r="5675" spans="4:4" x14ac:dyDescent="0.25">
      <c r="D5675"/>
    </row>
    <row r="5676" spans="4:4" x14ac:dyDescent="0.25">
      <c r="D5676"/>
    </row>
    <row r="5677" spans="4:4" x14ac:dyDescent="0.25">
      <c r="D5677"/>
    </row>
    <row r="5678" spans="4:4" x14ac:dyDescent="0.25">
      <c r="D5678"/>
    </row>
    <row r="5679" spans="4:4" x14ac:dyDescent="0.25">
      <c r="D5679"/>
    </row>
    <row r="5680" spans="4:4" x14ac:dyDescent="0.25">
      <c r="D5680"/>
    </row>
    <row r="5681" spans="4:4" x14ac:dyDescent="0.25">
      <c r="D5681"/>
    </row>
    <row r="5682" spans="4:4" x14ac:dyDescent="0.25">
      <c r="D5682"/>
    </row>
    <row r="5683" spans="4:4" x14ac:dyDescent="0.25">
      <c r="D5683"/>
    </row>
    <row r="5684" spans="4:4" x14ac:dyDescent="0.25">
      <c r="D5684"/>
    </row>
    <row r="5685" spans="4:4" x14ac:dyDescent="0.25">
      <c r="D5685"/>
    </row>
    <row r="5686" spans="4:4" x14ac:dyDescent="0.25">
      <c r="D5686"/>
    </row>
    <row r="5687" spans="4:4" x14ac:dyDescent="0.25">
      <c r="D5687"/>
    </row>
    <row r="5688" spans="4:4" x14ac:dyDescent="0.25">
      <c r="D5688"/>
    </row>
    <row r="5689" spans="4:4" x14ac:dyDescent="0.25">
      <c r="D5689"/>
    </row>
    <row r="5690" spans="4:4" x14ac:dyDescent="0.25">
      <c r="D5690"/>
    </row>
    <row r="5691" spans="4:4" x14ac:dyDescent="0.25">
      <c r="D5691"/>
    </row>
    <row r="5692" spans="4:4" x14ac:dyDescent="0.25">
      <c r="D5692"/>
    </row>
    <row r="5693" spans="4:4" x14ac:dyDescent="0.25">
      <c r="D5693"/>
    </row>
    <row r="5694" spans="4:4" x14ac:dyDescent="0.25">
      <c r="D5694"/>
    </row>
    <row r="5695" spans="4:4" x14ac:dyDescent="0.25">
      <c r="D5695"/>
    </row>
    <row r="5696" spans="4:4" x14ac:dyDescent="0.25">
      <c r="D5696"/>
    </row>
    <row r="5697" spans="4:4" x14ac:dyDescent="0.25">
      <c r="D5697"/>
    </row>
    <row r="5698" spans="4:4" x14ac:dyDescent="0.25">
      <c r="D5698"/>
    </row>
    <row r="5699" spans="4:4" x14ac:dyDescent="0.25">
      <c r="D5699"/>
    </row>
    <row r="5700" spans="4:4" x14ac:dyDescent="0.25">
      <c r="D5700"/>
    </row>
    <row r="5701" spans="4:4" x14ac:dyDescent="0.25">
      <c r="D5701"/>
    </row>
    <row r="5702" spans="4:4" x14ac:dyDescent="0.25">
      <c r="D5702"/>
    </row>
    <row r="5703" spans="4:4" x14ac:dyDescent="0.25">
      <c r="D5703"/>
    </row>
    <row r="5704" spans="4:4" x14ac:dyDescent="0.25">
      <c r="D5704"/>
    </row>
    <row r="5705" spans="4:4" x14ac:dyDescent="0.25">
      <c r="D5705"/>
    </row>
    <row r="5706" spans="4:4" x14ac:dyDescent="0.25">
      <c r="D5706"/>
    </row>
    <row r="5707" spans="4:4" x14ac:dyDescent="0.25">
      <c r="D5707"/>
    </row>
    <row r="5708" spans="4:4" x14ac:dyDescent="0.25">
      <c r="D5708"/>
    </row>
    <row r="5709" spans="4:4" x14ac:dyDescent="0.25">
      <c r="D5709"/>
    </row>
    <row r="5710" spans="4:4" x14ac:dyDescent="0.25">
      <c r="D5710"/>
    </row>
    <row r="5711" spans="4:4" x14ac:dyDescent="0.25">
      <c r="D5711"/>
    </row>
    <row r="5712" spans="4:4" x14ac:dyDescent="0.25">
      <c r="D5712"/>
    </row>
    <row r="5713" spans="4:4" x14ac:dyDescent="0.25">
      <c r="D5713"/>
    </row>
    <row r="5714" spans="4:4" x14ac:dyDescent="0.25">
      <c r="D5714"/>
    </row>
    <row r="5715" spans="4:4" x14ac:dyDescent="0.25">
      <c r="D5715"/>
    </row>
    <row r="5716" spans="4:4" x14ac:dyDescent="0.25">
      <c r="D5716"/>
    </row>
    <row r="5717" spans="4:4" x14ac:dyDescent="0.25">
      <c r="D5717"/>
    </row>
    <row r="5718" spans="4:4" x14ac:dyDescent="0.25">
      <c r="D5718"/>
    </row>
    <row r="5719" spans="4:4" x14ac:dyDescent="0.25">
      <c r="D5719"/>
    </row>
    <row r="5720" spans="4:4" x14ac:dyDescent="0.25">
      <c r="D5720"/>
    </row>
    <row r="5721" spans="4:4" x14ac:dyDescent="0.25">
      <c r="D5721"/>
    </row>
    <row r="5722" spans="4:4" x14ac:dyDescent="0.25">
      <c r="D5722"/>
    </row>
    <row r="5723" spans="4:4" x14ac:dyDescent="0.25">
      <c r="D5723"/>
    </row>
    <row r="5724" spans="4:4" x14ac:dyDescent="0.25">
      <c r="D5724"/>
    </row>
    <row r="5725" spans="4:4" x14ac:dyDescent="0.25">
      <c r="D5725"/>
    </row>
    <row r="5726" spans="4:4" x14ac:dyDescent="0.25">
      <c r="D5726"/>
    </row>
    <row r="5727" spans="4:4" x14ac:dyDescent="0.25">
      <c r="D5727"/>
    </row>
    <row r="5728" spans="4:4" x14ac:dyDescent="0.25">
      <c r="D5728"/>
    </row>
    <row r="5729" spans="4:4" x14ac:dyDescent="0.25">
      <c r="D5729"/>
    </row>
    <row r="5730" spans="4:4" x14ac:dyDescent="0.25">
      <c r="D5730"/>
    </row>
    <row r="5731" spans="4:4" x14ac:dyDescent="0.25">
      <c r="D5731"/>
    </row>
    <row r="5732" spans="4:4" x14ac:dyDescent="0.25">
      <c r="D5732"/>
    </row>
    <row r="5733" spans="4:4" x14ac:dyDescent="0.25">
      <c r="D5733"/>
    </row>
    <row r="5734" spans="4:4" x14ac:dyDescent="0.25">
      <c r="D5734"/>
    </row>
    <row r="5735" spans="4:4" x14ac:dyDescent="0.25">
      <c r="D5735"/>
    </row>
    <row r="5736" spans="4:4" x14ac:dyDescent="0.25">
      <c r="D5736"/>
    </row>
    <row r="5737" spans="4:4" x14ac:dyDescent="0.25">
      <c r="D5737"/>
    </row>
    <row r="5738" spans="4:4" x14ac:dyDescent="0.25">
      <c r="D5738"/>
    </row>
    <row r="5739" spans="4:4" x14ac:dyDescent="0.25">
      <c r="D5739"/>
    </row>
    <row r="5740" spans="4:4" x14ac:dyDescent="0.25">
      <c r="D5740"/>
    </row>
    <row r="5741" spans="4:4" x14ac:dyDescent="0.25">
      <c r="D5741"/>
    </row>
    <row r="5742" spans="4:4" x14ac:dyDescent="0.25">
      <c r="D5742"/>
    </row>
    <row r="5743" spans="4:4" x14ac:dyDescent="0.25">
      <c r="D5743"/>
    </row>
    <row r="5744" spans="4:4" x14ac:dyDescent="0.25">
      <c r="D5744"/>
    </row>
    <row r="5745" spans="4:4" x14ac:dyDescent="0.25">
      <c r="D5745"/>
    </row>
    <row r="5746" spans="4:4" x14ac:dyDescent="0.25">
      <c r="D5746"/>
    </row>
    <row r="5747" spans="4:4" x14ac:dyDescent="0.25">
      <c r="D5747"/>
    </row>
    <row r="5748" spans="4:4" x14ac:dyDescent="0.25">
      <c r="D5748"/>
    </row>
    <row r="5749" spans="4:4" x14ac:dyDescent="0.25">
      <c r="D5749"/>
    </row>
    <row r="5750" spans="4:4" x14ac:dyDescent="0.25">
      <c r="D5750"/>
    </row>
    <row r="5751" spans="4:4" x14ac:dyDescent="0.25">
      <c r="D5751"/>
    </row>
    <row r="5752" spans="4:4" x14ac:dyDescent="0.25">
      <c r="D5752"/>
    </row>
    <row r="5753" spans="4:4" x14ac:dyDescent="0.25">
      <c r="D5753"/>
    </row>
    <row r="5754" spans="4:4" x14ac:dyDescent="0.25">
      <c r="D5754"/>
    </row>
    <row r="5755" spans="4:4" x14ac:dyDescent="0.25">
      <c r="D5755"/>
    </row>
    <row r="5756" spans="4:4" x14ac:dyDescent="0.25">
      <c r="D5756"/>
    </row>
    <row r="5757" spans="4:4" x14ac:dyDescent="0.25">
      <c r="D5757"/>
    </row>
    <row r="5758" spans="4:4" x14ac:dyDescent="0.25">
      <c r="D5758"/>
    </row>
    <row r="5759" spans="4:4" x14ac:dyDescent="0.25">
      <c r="D5759"/>
    </row>
    <row r="5760" spans="4:4" x14ac:dyDescent="0.25">
      <c r="D5760"/>
    </row>
    <row r="5761" spans="4:4" x14ac:dyDescent="0.25">
      <c r="D5761"/>
    </row>
    <row r="5762" spans="4:4" x14ac:dyDescent="0.25">
      <c r="D5762"/>
    </row>
    <row r="5763" spans="4:4" x14ac:dyDescent="0.25">
      <c r="D5763"/>
    </row>
    <row r="5764" spans="4:4" x14ac:dyDescent="0.25">
      <c r="D5764"/>
    </row>
    <row r="5765" spans="4:4" x14ac:dyDescent="0.25">
      <c r="D5765"/>
    </row>
    <row r="5766" spans="4:4" x14ac:dyDescent="0.25">
      <c r="D5766"/>
    </row>
    <row r="5767" spans="4:4" x14ac:dyDescent="0.25">
      <c r="D5767"/>
    </row>
    <row r="5768" spans="4:4" x14ac:dyDescent="0.25">
      <c r="D5768"/>
    </row>
    <row r="5769" spans="4:4" x14ac:dyDescent="0.25">
      <c r="D5769"/>
    </row>
    <row r="5770" spans="4:4" x14ac:dyDescent="0.25">
      <c r="D5770"/>
    </row>
    <row r="5771" spans="4:4" x14ac:dyDescent="0.25">
      <c r="D5771"/>
    </row>
    <row r="5772" spans="4:4" x14ac:dyDescent="0.25">
      <c r="D5772"/>
    </row>
    <row r="5773" spans="4:4" x14ac:dyDescent="0.25">
      <c r="D5773"/>
    </row>
    <row r="5774" spans="4:4" x14ac:dyDescent="0.25">
      <c r="D5774"/>
    </row>
    <row r="5775" spans="4:4" x14ac:dyDescent="0.25">
      <c r="D5775"/>
    </row>
    <row r="5776" spans="4:4" x14ac:dyDescent="0.25">
      <c r="D5776"/>
    </row>
    <row r="5777" spans="4:4" x14ac:dyDescent="0.25">
      <c r="D5777"/>
    </row>
    <row r="5778" spans="4:4" x14ac:dyDescent="0.25">
      <c r="D5778"/>
    </row>
    <row r="5779" spans="4:4" x14ac:dyDescent="0.25">
      <c r="D5779"/>
    </row>
    <row r="5780" spans="4:4" x14ac:dyDescent="0.25">
      <c r="D5780"/>
    </row>
    <row r="5781" spans="4:4" x14ac:dyDescent="0.25">
      <c r="D5781"/>
    </row>
    <row r="5782" spans="4:4" x14ac:dyDescent="0.25">
      <c r="D5782"/>
    </row>
    <row r="5783" spans="4:4" x14ac:dyDescent="0.25">
      <c r="D5783"/>
    </row>
    <row r="5784" spans="4:4" x14ac:dyDescent="0.25">
      <c r="D5784"/>
    </row>
    <row r="5785" spans="4:4" x14ac:dyDescent="0.25">
      <c r="D5785"/>
    </row>
    <row r="5786" spans="4:4" x14ac:dyDescent="0.25">
      <c r="D5786"/>
    </row>
    <row r="5787" spans="4:4" x14ac:dyDescent="0.25">
      <c r="D5787"/>
    </row>
    <row r="5788" spans="4:4" x14ac:dyDescent="0.25">
      <c r="D5788"/>
    </row>
    <row r="5789" spans="4:4" x14ac:dyDescent="0.25">
      <c r="D5789"/>
    </row>
    <row r="5790" spans="4:4" x14ac:dyDescent="0.25">
      <c r="D5790"/>
    </row>
    <row r="5791" spans="4:4" x14ac:dyDescent="0.25">
      <c r="D5791"/>
    </row>
    <row r="5792" spans="4:4" x14ac:dyDescent="0.25">
      <c r="D5792"/>
    </row>
    <row r="5793" spans="4:4" x14ac:dyDescent="0.25">
      <c r="D5793"/>
    </row>
    <row r="5794" spans="4:4" x14ac:dyDescent="0.25">
      <c r="D5794"/>
    </row>
    <row r="5795" spans="4:4" x14ac:dyDescent="0.25">
      <c r="D5795"/>
    </row>
    <row r="5796" spans="4:4" x14ac:dyDescent="0.25">
      <c r="D5796"/>
    </row>
    <row r="5797" spans="4:4" x14ac:dyDescent="0.25">
      <c r="D5797"/>
    </row>
    <row r="5798" spans="4:4" x14ac:dyDescent="0.25">
      <c r="D5798"/>
    </row>
    <row r="5799" spans="4:4" x14ac:dyDescent="0.25">
      <c r="D5799"/>
    </row>
    <row r="5800" spans="4:4" x14ac:dyDescent="0.25">
      <c r="D5800"/>
    </row>
    <row r="5801" spans="4:4" x14ac:dyDescent="0.25">
      <c r="D5801"/>
    </row>
    <row r="5802" spans="4:4" x14ac:dyDescent="0.25">
      <c r="D5802"/>
    </row>
    <row r="5803" spans="4:4" x14ac:dyDescent="0.25">
      <c r="D5803"/>
    </row>
    <row r="5804" spans="4:4" x14ac:dyDescent="0.25">
      <c r="D5804"/>
    </row>
    <row r="5805" spans="4:4" x14ac:dyDescent="0.25">
      <c r="D5805"/>
    </row>
    <row r="5806" spans="4:4" x14ac:dyDescent="0.25">
      <c r="D5806"/>
    </row>
    <row r="5807" spans="4:4" x14ac:dyDescent="0.25">
      <c r="D5807"/>
    </row>
    <row r="5808" spans="4:4" x14ac:dyDescent="0.25">
      <c r="D5808"/>
    </row>
    <row r="5809" spans="4:4" x14ac:dyDescent="0.25">
      <c r="D5809"/>
    </row>
    <row r="5810" spans="4:4" x14ac:dyDescent="0.25">
      <c r="D5810"/>
    </row>
    <row r="5811" spans="4:4" x14ac:dyDescent="0.25">
      <c r="D5811"/>
    </row>
    <row r="5812" spans="4:4" x14ac:dyDescent="0.25">
      <c r="D5812"/>
    </row>
    <row r="5813" spans="4:4" x14ac:dyDescent="0.25">
      <c r="D5813"/>
    </row>
    <row r="5814" spans="4:4" x14ac:dyDescent="0.25">
      <c r="D5814"/>
    </row>
    <row r="5815" spans="4:4" x14ac:dyDescent="0.25">
      <c r="D5815"/>
    </row>
    <row r="5816" spans="4:4" x14ac:dyDescent="0.25">
      <c r="D5816"/>
    </row>
    <row r="5817" spans="4:4" x14ac:dyDescent="0.25">
      <c r="D5817"/>
    </row>
    <row r="5818" spans="4:4" x14ac:dyDescent="0.25">
      <c r="D5818"/>
    </row>
    <row r="5819" spans="4:4" x14ac:dyDescent="0.25">
      <c r="D5819"/>
    </row>
    <row r="5820" spans="4:4" x14ac:dyDescent="0.25">
      <c r="D5820"/>
    </row>
    <row r="5821" spans="4:4" x14ac:dyDescent="0.25">
      <c r="D5821"/>
    </row>
    <row r="5822" spans="4:4" x14ac:dyDescent="0.25">
      <c r="D5822"/>
    </row>
    <row r="5823" spans="4:4" x14ac:dyDescent="0.25">
      <c r="D5823"/>
    </row>
    <row r="5824" spans="4:4" x14ac:dyDescent="0.25">
      <c r="D5824"/>
    </row>
    <row r="5825" spans="4:4" x14ac:dyDescent="0.25">
      <c r="D5825"/>
    </row>
    <row r="5826" spans="4:4" x14ac:dyDescent="0.25">
      <c r="D5826"/>
    </row>
    <row r="5827" spans="4:4" x14ac:dyDescent="0.25">
      <c r="D5827"/>
    </row>
    <row r="5828" spans="4:4" x14ac:dyDescent="0.25">
      <c r="D5828"/>
    </row>
    <row r="5829" spans="4:4" x14ac:dyDescent="0.25">
      <c r="D5829"/>
    </row>
    <row r="5830" spans="4:4" x14ac:dyDescent="0.25">
      <c r="D5830"/>
    </row>
    <row r="5831" spans="4:4" x14ac:dyDescent="0.25">
      <c r="D5831"/>
    </row>
    <row r="5832" spans="4:4" x14ac:dyDescent="0.25">
      <c r="D5832"/>
    </row>
    <row r="5833" spans="4:4" x14ac:dyDescent="0.25">
      <c r="D5833"/>
    </row>
    <row r="5834" spans="4:4" x14ac:dyDescent="0.25">
      <c r="D5834"/>
    </row>
    <row r="5835" spans="4:4" x14ac:dyDescent="0.25">
      <c r="D5835"/>
    </row>
    <row r="5836" spans="4:4" x14ac:dyDescent="0.25">
      <c r="D5836"/>
    </row>
    <row r="5837" spans="4:4" x14ac:dyDescent="0.25">
      <c r="D5837"/>
    </row>
    <row r="5838" spans="4:4" x14ac:dyDescent="0.25">
      <c r="D5838"/>
    </row>
    <row r="5839" spans="4:4" x14ac:dyDescent="0.25">
      <c r="D5839"/>
    </row>
    <row r="5840" spans="4:4" x14ac:dyDescent="0.25">
      <c r="D5840"/>
    </row>
    <row r="5841" spans="4:4" x14ac:dyDescent="0.25">
      <c r="D5841"/>
    </row>
    <row r="5842" spans="4:4" x14ac:dyDescent="0.25">
      <c r="D5842"/>
    </row>
    <row r="5843" spans="4:4" x14ac:dyDescent="0.25">
      <c r="D5843"/>
    </row>
    <row r="5844" spans="4:4" x14ac:dyDescent="0.25">
      <c r="D5844"/>
    </row>
    <row r="5845" spans="4:4" x14ac:dyDescent="0.25">
      <c r="D5845"/>
    </row>
    <row r="5846" spans="4:4" x14ac:dyDescent="0.25">
      <c r="D5846"/>
    </row>
    <row r="5847" spans="4:4" x14ac:dyDescent="0.25">
      <c r="D5847"/>
    </row>
    <row r="5848" spans="4:4" x14ac:dyDescent="0.25">
      <c r="D5848"/>
    </row>
    <row r="5849" spans="4:4" x14ac:dyDescent="0.25">
      <c r="D5849"/>
    </row>
    <row r="5850" spans="4:4" x14ac:dyDescent="0.25">
      <c r="D5850"/>
    </row>
    <row r="5851" spans="4:4" x14ac:dyDescent="0.25">
      <c r="D5851"/>
    </row>
    <row r="5852" spans="4:4" x14ac:dyDescent="0.25">
      <c r="D5852"/>
    </row>
    <row r="5853" spans="4:4" x14ac:dyDescent="0.25">
      <c r="D5853"/>
    </row>
    <row r="5854" spans="4:4" x14ac:dyDescent="0.25">
      <c r="D5854"/>
    </row>
    <row r="5855" spans="4:4" x14ac:dyDescent="0.25">
      <c r="D5855"/>
    </row>
    <row r="5856" spans="4:4" x14ac:dyDescent="0.25">
      <c r="D5856"/>
    </row>
    <row r="5857" spans="4:4" x14ac:dyDescent="0.25">
      <c r="D5857"/>
    </row>
    <row r="5858" spans="4:4" x14ac:dyDescent="0.25">
      <c r="D5858"/>
    </row>
    <row r="5859" spans="4:4" x14ac:dyDescent="0.25">
      <c r="D5859"/>
    </row>
    <row r="5860" spans="4:4" x14ac:dyDescent="0.25">
      <c r="D5860"/>
    </row>
    <row r="5861" spans="4:4" x14ac:dyDescent="0.25">
      <c r="D5861"/>
    </row>
    <row r="5862" spans="4:4" x14ac:dyDescent="0.25">
      <c r="D5862"/>
    </row>
    <row r="5863" spans="4:4" x14ac:dyDescent="0.25">
      <c r="D5863"/>
    </row>
    <row r="5864" spans="4:4" x14ac:dyDescent="0.25">
      <c r="D5864"/>
    </row>
    <row r="5865" spans="4:4" x14ac:dyDescent="0.25">
      <c r="D5865"/>
    </row>
    <row r="5866" spans="4:4" x14ac:dyDescent="0.25">
      <c r="D5866"/>
    </row>
    <row r="5867" spans="4:4" x14ac:dyDescent="0.25">
      <c r="D5867"/>
    </row>
    <row r="5868" spans="4:4" x14ac:dyDescent="0.25">
      <c r="D5868"/>
    </row>
    <row r="5869" spans="4:4" x14ac:dyDescent="0.25">
      <c r="D5869"/>
    </row>
    <row r="5870" spans="4:4" x14ac:dyDescent="0.25">
      <c r="D5870"/>
    </row>
    <row r="5871" spans="4:4" x14ac:dyDescent="0.25">
      <c r="D5871"/>
    </row>
    <row r="5872" spans="4:4" x14ac:dyDescent="0.25">
      <c r="D5872"/>
    </row>
    <row r="5873" spans="4:4" x14ac:dyDescent="0.25">
      <c r="D5873"/>
    </row>
    <row r="5874" spans="4:4" x14ac:dyDescent="0.25">
      <c r="D5874"/>
    </row>
    <row r="5875" spans="4:4" x14ac:dyDescent="0.25">
      <c r="D5875"/>
    </row>
    <row r="5876" spans="4:4" x14ac:dyDescent="0.25">
      <c r="D5876"/>
    </row>
    <row r="5877" spans="4:4" x14ac:dyDescent="0.25">
      <c r="D5877"/>
    </row>
    <row r="5878" spans="4:4" x14ac:dyDescent="0.25">
      <c r="D5878"/>
    </row>
    <row r="5879" spans="4:4" x14ac:dyDescent="0.25">
      <c r="D5879"/>
    </row>
    <row r="5880" spans="4:4" x14ac:dyDescent="0.25">
      <c r="D5880"/>
    </row>
    <row r="5881" spans="4:4" x14ac:dyDescent="0.25">
      <c r="D5881"/>
    </row>
    <row r="5882" spans="4:4" x14ac:dyDescent="0.25">
      <c r="D5882"/>
    </row>
    <row r="5883" spans="4:4" x14ac:dyDescent="0.25">
      <c r="D5883"/>
    </row>
    <row r="5884" spans="4:4" x14ac:dyDescent="0.25">
      <c r="D5884"/>
    </row>
    <row r="5885" spans="4:4" x14ac:dyDescent="0.25">
      <c r="D5885"/>
    </row>
    <row r="5886" spans="4:4" x14ac:dyDescent="0.25">
      <c r="D5886"/>
    </row>
    <row r="5887" spans="4:4" x14ac:dyDescent="0.25">
      <c r="D5887"/>
    </row>
    <row r="5888" spans="4:4" x14ac:dyDescent="0.25">
      <c r="D5888"/>
    </row>
    <row r="5889" spans="4:4" x14ac:dyDescent="0.25">
      <c r="D5889"/>
    </row>
    <row r="5890" spans="4:4" x14ac:dyDescent="0.25">
      <c r="D5890"/>
    </row>
    <row r="5891" spans="4:4" x14ac:dyDescent="0.25">
      <c r="D5891"/>
    </row>
    <row r="5892" spans="4:4" x14ac:dyDescent="0.25">
      <c r="D5892"/>
    </row>
    <row r="5893" spans="4:4" x14ac:dyDescent="0.25">
      <c r="D5893"/>
    </row>
    <row r="5894" spans="4:4" x14ac:dyDescent="0.25">
      <c r="D5894"/>
    </row>
    <row r="5895" spans="4:4" x14ac:dyDescent="0.25">
      <c r="D5895"/>
    </row>
    <row r="5896" spans="4:4" x14ac:dyDescent="0.25">
      <c r="D5896"/>
    </row>
    <row r="5897" spans="4:4" x14ac:dyDescent="0.25">
      <c r="D5897"/>
    </row>
    <row r="5898" spans="4:4" x14ac:dyDescent="0.25">
      <c r="D5898"/>
    </row>
    <row r="5899" spans="4:4" x14ac:dyDescent="0.25">
      <c r="D5899"/>
    </row>
    <row r="5900" spans="4:4" x14ac:dyDescent="0.25">
      <c r="D5900"/>
    </row>
    <row r="5901" spans="4:4" x14ac:dyDescent="0.25">
      <c r="D5901"/>
    </row>
    <row r="5902" spans="4:4" x14ac:dyDescent="0.25">
      <c r="D5902"/>
    </row>
    <row r="5903" spans="4:4" x14ac:dyDescent="0.25">
      <c r="D5903"/>
    </row>
    <row r="5904" spans="4:4" x14ac:dyDescent="0.25">
      <c r="D5904"/>
    </row>
    <row r="5905" spans="4:4" x14ac:dyDescent="0.25">
      <c r="D5905"/>
    </row>
    <row r="5906" spans="4:4" x14ac:dyDescent="0.25">
      <c r="D5906"/>
    </row>
    <row r="5907" spans="4:4" x14ac:dyDescent="0.25">
      <c r="D5907"/>
    </row>
    <row r="5908" spans="4:4" x14ac:dyDescent="0.25">
      <c r="D5908"/>
    </row>
    <row r="5909" spans="4:4" x14ac:dyDescent="0.25">
      <c r="D5909"/>
    </row>
    <row r="5910" spans="4:4" x14ac:dyDescent="0.25">
      <c r="D5910"/>
    </row>
    <row r="5911" spans="4:4" x14ac:dyDescent="0.25">
      <c r="D5911"/>
    </row>
    <row r="5912" spans="4:4" x14ac:dyDescent="0.25">
      <c r="D5912"/>
    </row>
    <row r="5913" spans="4:4" x14ac:dyDescent="0.25">
      <c r="D5913"/>
    </row>
    <row r="5914" spans="4:4" x14ac:dyDescent="0.25">
      <c r="D5914"/>
    </row>
    <row r="5915" spans="4:4" x14ac:dyDescent="0.25">
      <c r="D5915"/>
    </row>
    <row r="5916" spans="4:4" x14ac:dyDescent="0.25">
      <c r="D5916"/>
    </row>
    <row r="5917" spans="4:4" x14ac:dyDescent="0.25">
      <c r="D5917"/>
    </row>
    <row r="5918" spans="4:4" x14ac:dyDescent="0.25">
      <c r="D5918"/>
    </row>
    <row r="5919" spans="4:4" x14ac:dyDescent="0.25">
      <c r="D5919"/>
    </row>
    <row r="5920" spans="4:4" x14ac:dyDescent="0.25">
      <c r="D5920"/>
    </row>
    <row r="5921" spans="4:4" x14ac:dyDescent="0.25">
      <c r="D5921"/>
    </row>
    <row r="5922" spans="4:4" x14ac:dyDescent="0.25">
      <c r="D5922"/>
    </row>
    <row r="5923" spans="4:4" x14ac:dyDescent="0.25">
      <c r="D5923"/>
    </row>
    <row r="5924" spans="4:4" x14ac:dyDescent="0.25">
      <c r="D5924"/>
    </row>
    <row r="5925" spans="4:4" x14ac:dyDescent="0.25">
      <c r="D5925"/>
    </row>
    <row r="5926" spans="4:4" x14ac:dyDescent="0.25">
      <c r="D5926"/>
    </row>
    <row r="5927" spans="4:4" x14ac:dyDescent="0.25">
      <c r="D5927"/>
    </row>
    <row r="5928" spans="4:4" x14ac:dyDescent="0.25">
      <c r="D5928"/>
    </row>
    <row r="5929" spans="4:4" x14ac:dyDescent="0.25">
      <c r="D5929"/>
    </row>
    <row r="5930" spans="4:4" x14ac:dyDescent="0.25">
      <c r="D5930"/>
    </row>
    <row r="5931" spans="4:4" x14ac:dyDescent="0.25">
      <c r="D5931"/>
    </row>
    <row r="5932" spans="4:4" x14ac:dyDescent="0.25">
      <c r="D5932"/>
    </row>
    <row r="5933" spans="4:4" x14ac:dyDescent="0.25">
      <c r="D5933"/>
    </row>
    <row r="5934" spans="4:4" x14ac:dyDescent="0.25">
      <c r="D5934"/>
    </row>
    <row r="5935" spans="4:4" x14ac:dyDescent="0.25">
      <c r="D5935"/>
    </row>
    <row r="5936" spans="4:4" x14ac:dyDescent="0.25">
      <c r="D5936"/>
    </row>
    <row r="5937" spans="4:4" x14ac:dyDescent="0.25">
      <c r="D5937"/>
    </row>
    <row r="5938" spans="4:4" x14ac:dyDescent="0.25">
      <c r="D5938"/>
    </row>
    <row r="5939" spans="4:4" x14ac:dyDescent="0.25">
      <c r="D5939"/>
    </row>
    <row r="5940" spans="4:4" x14ac:dyDescent="0.25">
      <c r="D5940"/>
    </row>
    <row r="5941" spans="4:4" x14ac:dyDescent="0.25">
      <c r="D5941"/>
    </row>
    <row r="5942" spans="4:4" x14ac:dyDescent="0.25">
      <c r="D5942"/>
    </row>
    <row r="5943" spans="4:4" x14ac:dyDescent="0.25">
      <c r="D5943"/>
    </row>
    <row r="5944" spans="4:4" x14ac:dyDescent="0.25">
      <c r="D5944"/>
    </row>
    <row r="5945" spans="4:4" x14ac:dyDescent="0.25">
      <c r="D5945"/>
    </row>
    <row r="5946" spans="4:4" x14ac:dyDescent="0.25">
      <c r="D5946"/>
    </row>
    <row r="5947" spans="4:4" x14ac:dyDescent="0.25">
      <c r="D5947"/>
    </row>
    <row r="5948" spans="4:4" x14ac:dyDescent="0.25">
      <c r="D5948"/>
    </row>
    <row r="5949" spans="4:4" x14ac:dyDescent="0.25">
      <c r="D5949"/>
    </row>
    <row r="5950" spans="4:4" x14ac:dyDescent="0.25">
      <c r="D5950"/>
    </row>
    <row r="5951" spans="4:4" x14ac:dyDescent="0.25">
      <c r="D5951"/>
    </row>
    <row r="5952" spans="4:4" x14ac:dyDescent="0.25">
      <c r="D5952"/>
    </row>
    <row r="5953" spans="4:4" x14ac:dyDescent="0.25">
      <c r="D5953"/>
    </row>
    <row r="5954" spans="4:4" x14ac:dyDescent="0.25">
      <c r="D5954"/>
    </row>
    <row r="5955" spans="4:4" x14ac:dyDescent="0.25">
      <c r="D5955"/>
    </row>
    <row r="5956" spans="4:4" x14ac:dyDescent="0.25">
      <c r="D5956"/>
    </row>
    <row r="5957" spans="4:4" x14ac:dyDescent="0.25">
      <c r="D5957"/>
    </row>
    <row r="5958" spans="4:4" x14ac:dyDescent="0.25">
      <c r="D5958"/>
    </row>
    <row r="5959" spans="4:4" x14ac:dyDescent="0.25">
      <c r="D5959"/>
    </row>
    <row r="5960" spans="4:4" x14ac:dyDescent="0.25">
      <c r="D5960"/>
    </row>
    <row r="5961" spans="4:4" x14ac:dyDescent="0.25">
      <c r="D5961"/>
    </row>
    <row r="5962" spans="4:4" x14ac:dyDescent="0.25">
      <c r="D5962"/>
    </row>
    <row r="5963" spans="4:4" x14ac:dyDescent="0.25">
      <c r="D5963"/>
    </row>
    <row r="5964" spans="4:4" x14ac:dyDescent="0.25">
      <c r="D5964"/>
    </row>
    <row r="5965" spans="4:4" x14ac:dyDescent="0.25">
      <c r="D5965"/>
    </row>
    <row r="5966" spans="4:4" x14ac:dyDescent="0.25">
      <c r="D5966"/>
    </row>
    <row r="5967" spans="4:4" x14ac:dyDescent="0.25">
      <c r="D5967"/>
    </row>
    <row r="5968" spans="4:4" x14ac:dyDescent="0.25">
      <c r="D5968"/>
    </row>
    <row r="5969" spans="4:4" x14ac:dyDescent="0.25">
      <c r="D5969"/>
    </row>
    <row r="5970" spans="4:4" x14ac:dyDescent="0.25">
      <c r="D5970"/>
    </row>
    <row r="5971" spans="4:4" x14ac:dyDescent="0.25">
      <c r="D5971"/>
    </row>
    <row r="5972" spans="4:4" x14ac:dyDescent="0.25">
      <c r="D5972"/>
    </row>
    <row r="5973" spans="4:4" x14ac:dyDescent="0.25">
      <c r="D5973"/>
    </row>
    <row r="5974" spans="4:4" x14ac:dyDescent="0.25">
      <c r="D5974"/>
    </row>
    <row r="5975" spans="4:4" x14ac:dyDescent="0.25">
      <c r="D5975"/>
    </row>
    <row r="5976" spans="4:4" x14ac:dyDescent="0.25">
      <c r="D5976"/>
    </row>
    <row r="5977" spans="4:4" x14ac:dyDescent="0.25">
      <c r="D5977"/>
    </row>
    <row r="5978" spans="4:4" x14ac:dyDescent="0.25">
      <c r="D5978"/>
    </row>
    <row r="5979" spans="4:4" x14ac:dyDescent="0.25">
      <c r="D5979"/>
    </row>
    <row r="5980" spans="4:4" x14ac:dyDescent="0.25">
      <c r="D5980"/>
    </row>
    <row r="5981" spans="4:4" x14ac:dyDescent="0.25">
      <c r="D5981"/>
    </row>
    <row r="5982" spans="4:4" x14ac:dyDescent="0.25">
      <c r="D5982"/>
    </row>
    <row r="5983" spans="4:4" x14ac:dyDescent="0.25">
      <c r="D5983"/>
    </row>
    <row r="5984" spans="4:4" x14ac:dyDescent="0.25">
      <c r="D5984"/>
    </row>
    <row r="5985" spans="4:4" x14ac:dyDescent="0.25">
      <c r="D5985"/>
    </row>
    <row r="5986" spans="4:4" x14ac:dyDescent="0.25">
      <c r="D5986"/>
    </row>
    <row r="5987" spans="4:4" x14ac:dyDescent="0.25">
      <c r="D5987"/>
    </row>
    <row r="5988" spans="4:4" x14ac:dyDescent="0.25">
      <c r="D5988"/>
    </row>
    <row r="5989" spans="4:4" x14ac:dyDescent="0.25">
      <c r="D5989"/>
    </row>
    <row r="5990" spans="4:4" x14ac:dyDescent="0.25">
      <c r="D5990"/>
    </row>
    <row r="5991" spans="4:4" x14ac:dyDescent="0.25">
      <c r="D5991"/>
    </row>
    <row r="5992" spans="4:4" x14ac:dyDescent="0.25">
      <c r="D5992"/>
    </row>
    <row r="5993" spans="4:4" x14ac:dyDescent="0.25">
      <c r="D5993"/>
    </row>
    <row r="5994" spans="4:4" x14ac:dyDescent="0.25">
      <c r="D5994"/>
    </row>
    <row r="5995" spans="4:4" x14ac:dyDescent="0.25">
      <c r="D5995"/>
    </row>
    <row r="5996" spans="4:4" x14ac:dyDescent="0.25">
      <c r="D5996"/>
    </row>
    <row r="5997" spans="4:4" x14ac:dyDescent="0.25">
      <c r="D5997"/>
    </row>
    <row r="5998" spans="4:4" x14ac:dyDescent="0.25">
      <c r="D5998"/>
    </row>
    <row r="5999" spans="4:4" x14ac:dyDescent="0.25">
      <c r="D5999"/>
    </row>
    <row r="6000" spans="4:4" x14ac:dyDescent="0.25">
      <c r="D6000"/>
    </row>
    <row r="6001" spans="4:4" x14ac:dyDescent="0.25">
      <c r="D6001"/>
    </row>
    <row r="6002" spans="4:4" x14ac:dyDescent="0.25">
      <c r="D6002"/>
    </row>
    <row r="6003" spans="4:4" x14ac:dyDescent="0.25">
      <c r="D6003"/>
    </row>
    <row r="6004" spans="4:4" x14ac:dyDescent="0.25">
      <c r="D6004"/>
    </row>
    <row r="6005" spans="4:4" x14ac:dyDescent="0.25">
      <c r="D6005"/>
    </row>
    <row r="6006" spans="4:4" x14ac:dyDescent="0.25">
      <c r="D6006"/>
    </row>
    <row r="6007" spans="4:4" x14ac:dyDescent="0.25">
      <c r="D6007"/>
    </row>
    <row r="6008" spans="4:4" x14ac:dyDescent="0.25">
      <c r="D6008"/>
    </row>
    <row r="6009" spans="4:4" x14ac:dyDescent="0.25">
      <c r="D6009"/>
    </row>
    <row r="6010" spans="4:4" x14ac:dyDescent="0.25">
      <c r="D6010"/>
    </row>
    <row r="6011" spans="4:4" x14ac:dyDescent="0.25">
      <c r="D6011"/>
    </row>
    <row r="6012" spans="4:4" x14ac:dyDescent="0.25">
      <c r="D6012"/>
    </row>
    <row r="6013" spans="4:4" x14ac:dyDescent="0.25">
      <c r="D6013"/>
    </row>
    <row r="6014" spans="4:4" x14ac:dyDescent="0.25">
      <c r="D6014"/>
    </row>
    <row r="6015" spans="4:4" x14ac:dyDescent="0.25">
      <c r="D6015"/>
    </row>
    <row r="6016" spans="4:4" x14ac:dyDescent="0.25">
      <c r="D6016"/>
    </row>
    <row r="6017" spans="4:4" x14ac:dyDescent="0.25">
      <c r="D6017"/>
    </row>
    <row r="6018" spans="4:4" x14ac:dyDescent="0.25">
      <c r="D6018"/>
    </row>
    <row r="6019" spans="4:4" x14ac:dyDescent="0.25">
      <c r="D6019"/>
    </row>
    <row r="6020" spans="4:4" x14ac:dyDescent="0.25">
      <c r="D6020"/>
    </row>
    <row r="6021" spans="4:4" x14ac:dyDescent="0.25">
      <c r="D6021"/>
    </row>
    <row r="6022" spans="4:4" x14ac:dyDescent="0.25">
      <c r="D6022"/>
    </row>
    <row r="6023" spans="4:4" x14ac:dyDescent="0.25">
      <c r="D6023"/>
    </row>
    <row r="6024" spans="4:4" x14ac:dyDescent="0.25">
      <c r="D6024"/>
    </row>
    <row r="6025" spans="4:4" x14ac:dyDescent="0.25">
      <c r="D6025"/>
    </row>
    <row r="6026" spans="4:4" x14ac:dyDescent="0.25">
      <c r="D6026"/>
    </row>
    <row r="6027" spans="4:4" x14ac:dyDescent="0.25">
      <c r="D6027"/>
    </row>
    <row r="6028" spans="4:4" x14ac:dyDescent="0.25">
      <c r="D6028"/>
    </row>
    <row r="6029" spans="4:4" x14ac:dyDescent="0.25">
      <c r="D6029"/>
    </row>
    <row r="6030" spans="4:4" x14ac:dyDescent="0.25">
      <c r="D6030"/>
    </row>
    <row r="6031" spans="4:4" x14ac:dyDescent="0.25">
      <c r="D6031"/>
    </row>
    <row r="6032" spans="4:4" x14ac:dyDescent="0.25">
      <c r="D6032"/>
    </row>
    <row r="6033" spans="4:4" x14ac:dyDescent="0.25">
      <c r="D6033"/>
    </row>
    <row r="6034" spans="4:4" x14ac:dyDescent="0.25">
      <c r="D6034"/>
    </row>
    <row r="6035" spans="4:4" x14ac:dyDescent="0.25">
      <c r="D6035"/>
    </row>
    <row r="6036" spans="4:4" x14ac:dyDescent="0.25">
      <c r="D6036"/>
    </row>
    <row r="6037" spans="4:4" x14ac:dyDescent="0.25">
      <c r="D6037"/>
    </row>
    <row r="6038" spans="4:4" x14ac:dyDescent="0.25">
      <c r="D6038"/>
    </row>
    <row r="6039" spans="4:4" x14ac:dyDescent="0.25">
      <c r="D6039"/>
    </row>
    <row r="6040" spans="4:4" x14ac:dyDescent="0.25">
      <c r="D6040"/>
    </row>
    <row r="6041" spans="4:4" x14ac:dyDescent="0.25">
      <c r="D6041"/>
    </row>
    <row r="6042" spans="4:4" x14ac:dyDescent="0.25">
      <c r="D6042"/>
    </row>
    <row r="6043" spans="4:4" x14ac:dyDescent="0.25">
      <c r="D6043"/>
    </row>
    <row r="6044" spans="4:4" x14ac:dyDescent="0.25">
      <c r="D6044"/>
    </row>
    <row r="6045" spans="4:4" x14ac:dyDescent="0.25">
      <c r="D6045"/>
    </row>
    <row r="6046" spans="4:4" x14ac:dyDescent="0.25">
      <c r="D6046"/>
    </row>
    <row r="6047" spans="4:4" x14ac:dyDescent="0.25">
      <c r="D6047"/>
    </row>
    <row r="6048" spans="4:4" x14ac:dyDescent="0.25">
      <c r="D6048"/>
    </row>
    <row r="6049" spans="4:4" x14ac:dyDescent="0.25">
      <c r="D6049"/>
    </row>
    <row r="6050" spans="4:4" x14ac:dyDescent="0.25">
      <c r="D6050"/>
    </row>
    <row r="6051" spans="4:4" x14ac:dyDescent="0.25">
      <c r="D6051"/>
    </row>
    <row r="6052" spans="4:4" x14ac:dyDescent="0.25">
      <c r="D6052"/>
    </row>
    <row r="6053" spans="4:4" x14ac:dyDescent="0.25">
      <c r="D6053"/>
    </row>
    <row r="6054" spans="4:4" x14ac:dyDescent="0.25">
      <c r="D6054"/>
    </row>
    <row r="6055" spans="4:4" x14ac:dyDescent="0.25">
      <c r="D6055"/>
    </row>
    <row r="6056" spans="4:4" x14ac:dyDescent="0.25">
      <c r="D6056"/>
    </row>
    <row r="6057" spans="4:4" x14ac:dyDescent="0.25">
      <c r="D6057"/>
    </row>
    <row r="6058" spans="4:4" x14ac:dyDescent="0.25">
      <c r="D6058"/>
    </row>
    <row r="6059" spans="4:4" x14ac:dyDescent="0.25">
      <c r="D6059"/>
    </row>
    <row r="6060" spans="4:4" x14ac:dyDescent="0.25">
      <c r="D6060"/>
    </row>
    <row r="6061" spans="4:4" x14ac:dyDescent="0.25">
      <c r="D6061"/>
    </row>
    <row r="6062" spans="4:4" x14ac:dyDescent="0.25">
      <c r="D6062"/>
    </row>
    <row r="6063" spans="4:4" x14ac:dyDescent="0.25">
      <c r="D6063"/>
    </row>
    <row r="6064" spans="4:4" x14ac:dyDescent="0.25">
      <c r="D6064"/>
    </row>
    <row r="6065" spans="4:4" x14ac:dyDescent="0.25">
      <c r="D6065"/>
    </row>
    <row r="6066" spans="4:4" x14ac:dyDescent="0.25">
      <c r="D6066"/>
    </row>
    <row r="6067" spans="4:4" x14ac:dyDescent="0.25">
      <c r="D6067"/>
    </row>
    <row r="6068" spans="4:4" x14ac:dyDescent="0.25">
      <c r="D6068"/>
    </row>
    <row r="6069" spans="4:4" x14ac:dyDescent="0.25">
      <c r="D6069"/>
    </row>
    <row r="6070" spans="4:4" x14ac:dyDescent="0.25">
      <c r="D6070"/>
    </row>
    <row r="6071" spans="4:4" x14ac:dyDescent="0.25">
      <c r="D6071"/>
    </row>
    <row r="6072" spans="4:4" x14ac:dyDescent="0.25">
      <c r="D6072"/>
    </row>
    <row r="6073" spans="4:4" x14ac:dyDescent="0.25">
      <c r="D6073"/>
    </row>
    <row r="6074" spans="4:4" x14ac:dyDescent="0.25">
      <c r="D6074"/>
    </row>
    <row r="6075" spans="4:4" x14ac:dyDescent="0.25">
      <c r="D6075"/>
    </row>
    <row r="6076" spans="4:4" x14ac:dyDescent="0.25">
      <c r="D6076"/>
    </row>
    <row r="6077" spans="4:4" x14ac:dyDescent="0.25">
      <c r="D6077"/>
    </row>
    <row r="6078" spans="4:4" x14ac:dyDescent="0.25">
      <c r="D6078"/>
    </row>
    <row r="6079" spans="4:4" x14ac:dyDescent="0.25">
      <c r="D6079"/>
    </row>
    <row r="6080" spans="4:4" x14ac:dyDescent="0.25">
      <c r="D6080"/>
    </row>
    <row r="6081" spans="4:4" x14ac:dyDescent="0.25">
      <c r="D6081"/>
    </row>
    <row r="6082" spans="4:4" x14ac:dyDescent="0.25">
      <c r="D6082"/>
    </row>
    <row r="6083" spans="4:4" x14ac:dyDescent="0.25">
      <c r="D6083"/>
    </row>
    <row r="6084" spans="4:4" x14ac:dyDescent="0.25">
      <c r="D6084"/>
    </row>
    <row r="6085" spans="4:4" x14ac:dyDescent="0.25">
      <c r="D6085"/>
    </row>
    <row r="6086" spans="4:4" x14ac:dyDescent="0.25">
      <c r="D6086"/>
    </row>
    <row r="6087" spans="4:4" x14ac:dyDescent="0.25">
      <c r="D6087"/>
    </row>
    <row r="6088" spans="4:4" x14ac:dyDescent="0.25">
      <c r="D6088"/>
    </row>
    <row r="6089" spans="4:4" x14ac:dyDescent="0.25">
      <c r="D6089"/>
    </row>
    <row r="6090" spans="4:4" x14ac:dyDescent="0.25">
      <c r="D6090"/>
    </row>
    <row r="6091" spans="4:4" x14ac:dyDescent="0.25">
      <c r="D6091"/>
    </row>
    <row r="6092" spans="4:4" x14ac:dyDescent="0.25">
      <c r="D6092"/>
    </row>
    <row r="6093" spans="4:4" x14ac:dyDescent="0.25">
      <c r="D6093"/>
    </row>
    <row r="6094" spans="4:4" x14ac:dyDescent="0.25">
      <c r="D6094"/>
    </row>
    <row r="6095" spans="4:4" x14ac:dyDescent="0.25">
      <c r="D6095"/>
    </row>
    <row r="6096" spans="4:4" x14ac:dyDescent="0.25">
      <c r="D6096"/>
    </row>
    <row r="6097" spans="4:4" x14ac:dyDescent="0.25">
      <c r="D6097"/>
    </row>
    <row r="6098" spans="4:4" x14ac:dyDescent="0.25">
      <c r="D6098"/>
    </row>
    <row r="6099" spans="4:4" x14ac:dyDescent="0.25">
      <c r="D6099"/>
    </row>
    <row r="6100" spans="4:4" x14ac:dyDescent="0.25">
      <c r="D6100"/>
    </row>
    <row r="6101" spans="4:4" x14ac:dyDescent="0.25">
      <c r="D6101"/>
    </row>
    <row r="6102" spans="4:4" x14ac:dyDescent="0.25">
      <c r="D6102"/>
    </row>
    <row r="6103" spans="4:4" x14ac:dyDescent="0.25">
      <c r="D6103"/>
    </row>
    <row r="6104" spans="4:4" x14ac:dyDescent="0.25">
      <c r="D6104"/>
    </row>
    <row r="6105" spans="4:4" x14ac:dyDescent="0.25">
      <c r="D6105"/>
    </row>
    <row r="6106" spans="4:4" x14ac:dyDescent="0.25">
      <c r="D6106"/>
    </row>
    <row r="6107" spans="4:4" x14ac:dyDescent="0.25">
      <c r="D6107"/>
    </row>
    <row r="6108" spans="4:4" x14ac:dyDescent="0.25">
      <c r="D6108"/>
    </row>
    <row r="6109" spans="4:4" x14ac:dyDescent="0.25">
      <c r="D6109"/>
    </row>
    <row r="6110" spans="4:4" x14ac:dyDescent="0.25">
      <c r="D6110"/>
    </row>
    <row r="6111" spans="4:4" x14ac:dyDescent="0.25">
      <c r="D6111"/>
    </row>
    <row r="6112" spans="4:4" x14ac:dyDescent="0.25">
      <c r="D6112"/>
    </row>
    <row r="6113" spans="4:4" x14ac:dyDescent="0.25">
      <c r="D6113"/>
    </row>
    <row r="6114" spans="4:4" x14ac:dyDescent="0.25">
      <c r="D6114"/>
    </row>
    <row r="6115" spans="4:4" x14ac:dyDescent="0.25">
      <c r="D6115"/>
    </row>
    <row r="6116" spans="4:4" x14ac:dyDescent="0.25">
      <c r="D6116"/>
    </row>
    <row r="6117" spans="4:4" x14ac:dyDescent="0.25">
      <c r="D6117"/>
    </row>
    <row r="6118" spans="4:4" x14ac:dyDescent="0.25">
      <c r="D6118"/>
    </row>
    <row r="6119" spans="4:4" x14ac:dyDescent="0.25">
      <c r="D6119"/>
    </row>
    <row r="6120" spans="4:4" x14ac:dyDescent="0.25">
      <c r="D6120"/>
    </row>
    <row r="6121" spans="4:4" x14ac:dyDescent="0.25">
      <c r="D6121"/>
    </row>
    <row r="6122" spans="4:4" x14ac:dyDescent="0.25">
      <c r="D6122"/>
    </row>
    <row r="6123" spans="4:4" x14ac:dyDescent="0.25">
      <c r="D6123"/>
    </row>
    <row r="6124" spans="4:4" x14ac:dyDescent="0.25">
      <c r="D6124"/>
    </row>
    <row r="6125" spans="4:4" x14ac:dyDescent="0.25">
      <c r="D6125"/>
    </row>
    <row r="6126" spans="4:4" x14ac:dyDescent="0.25">
      <c r="D6126"/>
    </row>
    <row r="6127" spans="4:4" x14ac:dyDescent="0.25">
      <c r="D6127"/>
    </row>
    <row r="6128" spans="4:4" x14ac:dyDescent="0.25">
      <c r="D6128"/>
    </row>
    <row r="6129" spans="4:4" x14ac:dyDescent="0.25">
      <c r="D6129"/>
    </row>
    <row r="6130" spans="4:4" x14ac:dyDescent="0.25">
      <c r="D6130"/>
    </row>
    <row r="6131" spans="4:4" x14ac:dyDescent="0.25">
      <c r="D6131"/>
    </row>
    <row r="6132" spans="4:4" x14ac:dyDescent="0.25">
      <c r="D6132"/>
    </row>
    <row r="6133" spans="4:4" x14ac:dyDescent="0.25">
      <c r="D6133"/>
    </row>
    <row r="6134" spans="4:4" x14ac:dyDescent="0.25">
      <c r="D6134"/>
    </row>
    <row r="6135" spans="4:4" x14ac:dyDescent="0.25">
      <c r="D6135"/>
    </row>
    <row r="6136" spans="4:4" x14ac:dyDescent="0.25">
      <c r="D6136"/>
    </row>
    <row r="6137" spans="4:4" x14ac:dyDescent="0.25">
      <c r="D6137"/>
    </row>
    <row r="6138" spans="4:4" x14ac:dyDescent="0.25">
      <c r="D6138"/>
    </row>
    <row r="6139" spans="4:4" x14ac:dyDescent="0.25">
      <c r="D6139"/>
    </row>
    <row r="6140" spans="4:4" x14ac:dyDescent="0.25">
      <c r="D6140"/>
    </row>
    <row r="6141" spans="4:4" x14ac:dyDescent="0.25">
      <c r="D6141"/>
    </row>
    <row r="6142" spans="4:4" x14ac:dyDescent="0.25">
      <c r="D6142"/>
    </row>
    <row r="6143" spans="4:4" x14ac:dyDescent="0.25">
      <c r="D6143"/>
    </row>
    <row r="6144" spans="4:4" x14ac:dyDescent="0.25">
      <c r="D6144"/>
    </row>
    <row r="6145" spans="4:4" x14ac:dyDescent="0.25">
      <c r="D6145"/>
    </row>
    <row r="6146" spans="4:4" x14ac:dyDescent="0.25">
      <c r="D6146"/>
    </row>
    <row r="6147" spans="4:4" x14ac:dyDescent="0.25">
      <c r="D6147"/>
    </row>
    <row r="6148" spans="4:4" x14ac:dyDescent="0.25">
      <c r="D6148"/>
    </row>
    <row r="6149" spans="4:4" x14ac:dyDescent="0.25">
      <c r="D6149"/>
    </row>
    <row r="6150" spans="4:4" x14ac:dyDescent="0.25">
      <c r="D6150"/>
    </row>
    <row r="6151" spans="4:4" x14ac:dyDescent="0.25">
      <c r="D6151"/>
    </row>
    <row r="6152" spans="4:4" x14ac:dyDescent="0.25">
      <c r="D6152"/>
    </row>
    <row r="6153" spans="4:4" x14ac:dyDescent="0.25">
      <c r="D6153"/>
    </row>
    <row r="6154" spans="4:4" x14ac:dyDescent="0.25">
      <c r="D6154"/>
    </row>
    <row r="6155" spans="4:4" x14ac:dyDescent="0.25">
      <c r="D6155"/>
    </row>
    <row r="6156" spans="4:4" x14ac:dyDescent="0.25">
      <c r="D6156"/>
    </row>
    <row r="6157" spans="4:4" x14ac:dyDescent="0.25">
      <c r="D6157"/>
    </row>
    <row r="6158" spans="4:4" x14ac:dyDescent="0.25">
      <c r="D6158"/>
    </row>
    <row r="6159" spans="4:4" x14ac:dyDescent="0.25">
      <c r="D6159"/>
    </row>
    <row r="6160" spans="4:4" x14ac:dyDescent="0.25">
      <c r="D6160"/>
    </row>
    <row r="6161" spans="4:4" x14ac:dyDescent="0.25">
      <c r="D6161"/>
    </row>
    <row r="6162" spans="4:4" x14ac:dyDescent="0.25">
      <c r="D6162"/>
    </row>
    <row r="6163" spans="4:4" x14ac:dyDescent="0.25">
      <c r="D6163"/>
    </row>
    <row r="6164" spans="4:4" x14ac:dyDescent="0.25">
      <c r="D6164"/>
    </row>
    <row r="6165" spans="4:4" x14ac:dyDescent="0.25">
      <c r="D6165"/>
    </row>
    <row r="6166" spans="4:4" x14ac:dyDescent="0.25">
      <c r="D6166"/>
    </row>
    <row r="6167" spans="4:4" x14ac:dyDescent="0.25">
      <c r="D6167"/>
    </row>
    <row r="6168" spans="4:4" x14ac:dyDescent="0.25">
      <c r="D6168"/>
    </row>
    <row r="6169" spans="4:4" x14ac:dyDescent="0.25">
      <c r="D6169"/>
    </row>
    <row r="6170" spans="4:4" x14ac:dyDescent="0.25">
      <c r="D6170"/>
    </row>
    <row r="6171" spans="4:4" x14ac:dyDescent="0.25">
      <c r="D6171"/>
    </row>
    <row r="6172" spans="4:4" x14ac:dyDescent="0.25">
      <c r="D6172"/>
    </row>
    <row r="6173" spans="4:4" x14ac:dyDescent="0.25">
      <c r="D6173"/>
    </row>
    <row r="6174" spans="4:4" x14ac:dyDescent="0.25">
      <c r="D6174"/>
    </row>
    <row r="6175" spans="4:4" x14ac:dyDescent="0.25">
      <c r="D6175"/>
    </row>
    <row r="6176" spans="4:4" x14ac:dyDescent="0.25">
      <c r="D6176"/>
    </row>
    <row r="6177" spans="4:4" x14ac:dyDescent="0.25">
      <c r="D6177"/>
    </row>
    <row r="6178" spans="4:4" x14ac:dyDescent="0.25">
      <c r="D6178"/>
    </row>
    <row r="6179" spans="4:4" x14ac:dyDescent="0.25">
      <c r="D6179"/>
    </row>
    <row r="6180" spans="4:4" x14ac:dyDescent="0.25">
      <c r="D6180"/>
    </row>
    <row r="6181" spans="4:4" x14ac:dyDescent="0.25">
      <c r="D6181"/>
    </row>
    <row r="6182" spans="4:4" x14ac:dyDescent="0.25">
      <c r="D6182"/>
    </row>
    <row r="6183" spans="4:4" x14ac:dyDescent="0.25">
      <c r="D6183"/>
    </row>
    <row r="6184" spans="4:4" x14ac:dyDescent="0.25">
      <c r="D6184"/>
    </row>
    <row r="6185" spans="4:4" x14ac:dyDescent="0.25">
      <c r="D6185"/>
    </row>
    <row r="6186" spans="4:4" x14ac:dyDescent="0.25">
      <c r="D6186"/>
    </row>
    <row r="6187" spans="4:4" x14ac:dyDescent="0.25">
      <c r="D6187"/>
    </row>
    <row r="6188" spans="4:4" x14ac:dyDescent="0.25">
      <c r="D6188"/>
    </row>
    <row r="6189" spans="4:4" x14ac:dyDescent="0.25">
      <c r="D6189"/>
    </row>
    <row r="6190" spans="4:4" x14ac:dyDescent="0.25">
      <c r="D6190"/>
    </row>
    <row r="6191" spans="4:4" x14ac:dyDescent="0.25">
      <c r="D6191"/>
    </row>
    <row r="6192" spans="4:4" x14ac:dyDescent="0.25">
      <c r="D6192"/>
    </row>
    <row r="6193" spans="4:4" x14ac:dyDescent="0.25">
      <c r="D6193"/>
    </row>
    <row r="6194" spans="4:4" x14ac:dyDescent="0.25">
      <c r="D6194"/>
    </row>
    <row r="6195" spans="4:4" x14ac:dyDescent="0.25">
      <c r="D6195"/>
    </row>
    <row r="6196" spans="4:4" x14ac:dyDescent="0.25">
      <c r="D6196"/>
    </row>
    <row r="6197" spans="4:4" x14ac:dyDescent="0.25">
      <c r="D6197"/>
    </row>
    <row r="6198" spans="4:4" x14ac:dyDescent="0.25">
      <c r="D6198"/>
    </row>
    <row r="6199" spans="4:4" x14ac:dyDescent="0.25">
      <c r="D6199"/>
    </row>
    <row r="6200" spans="4:4" x14ac:dyDescent="0.25">
      <c r="D6200"/>
    </row>
    <row r="6201" spans="4:4" x14ac:dyDescent="0.25">
      <c r="D6201"/>
    </row>
    <row r="6202" spans="4:4" x14ac:dyDescent="0.25">
      <c r="D6202"/>
    </row>
    <row r="6203" spans="4:4" x14ac:dyDescent="0.25">
      <c r="D6203"/>
    </row>
    <row r="6204" spans="4:4" x14ac:dyDescent="0.25">
      <c r="D6204"/>
    </row>
    <row r="6205" spans="4:4" x14ac:dyDescent="0.25">
      <c r="D6205"/>
    </row>
    <row r="6206" spans="4:4" x14ac:dyDescent="0.25">
      <c r="D6206"/>
    </row>
    <row r="6207" spans="4:4" x14ac:dyDescent="0.25">
      <c r="D6207"/>
    </row>
    <row r="6208" spans="4:4" x14ac:dyDescent="0.25">
      <c r="D6208"/>
    </row>
    <row r="6209" spans="4:4" x14ac:dyDescent="0.25">
      <c r="D6209"/>
    </row>
    <row r="6210" spans="4:4" x14ac:dyDescent="0.25">
      <c r="D6210"/>
    </row>
    <row r="6211" spans="4:4" x14ac:dyDescent="0.25">
      <c r="D6211"/>
    </row>
    <row r="6212" spans="4:4" x14ac:dyDescent="0.25">
      <c r="D6212"/>
    </row>
    <row r="6213" spans="4:4" x14ac:dyDescent="0.25">
      <c r="D6213"/>
    </row>
    <row r="6214" spans="4:4" x14ac:dyDescent="0.25">
      <c r="D6214"/>
    </row>
    <row r="6215" spans="4:4" x14ac:dyDescent="0.25">
      <c r="D6215"/>
    </row>
    <row r="6216" spans="4:4" x14ac:dyDescent="0.25">
      <c r="D6216"/>
    </row>
    <row r="6217" spans="4:4" x14ac:dyDescent="0.25">
      <c r="D6217"/>
    </row>
    <row r="6218" spans="4:4" x14ac:dyDescent="0.25">
      <c r="D6218"/>
    </row>
    <row r="6219" spans="4:4" x14ac:dyDescent="0.25">
      <c r="D6219"/>
    </row>
    <row r="6220" spans="4:4" x14ac:dyDescent="0.25">
      <c r="D6220"/>
    </row>
    <row r="6221" spans="4:4" x14ac:dyDescent="0.25">
      <c r="D6221"/>
    </row>
    <row r="6222" spans="4:4" x14ac:dyDescent="0.25">
      <c r="D6222"/>
    </row>
    <row r="6223" spans="4:4" x14ac:dyDescent="0.25">
      <c r="D6223"/>
    </row>
    <row r="6224" spans="4:4" x14ac:dyDescent="0.25">
      <c r="D6224"/>
    </row>
    <row r="6225" spans="4:4" x14ac:dyDescent="0.25">
      <c r="D6225"/>
    </row>
    <row r="6226" spans="4:4" x14ac:dyDescent="0.25">
      <c r="D6226"/>
    </row>
    <row r="6227" spans="4:4" x14ac:dyDescent="0.25">
      <c r="D6227"/>
    </row>
    <row r="6228" spans="4:4" x14ac:dyDescent="0.25">
      <c r="D6228"/>
    </row>
    <row r="6229" spans="4:4" x14ac:dyDescent="0.25">
      <c r="D6229"/>
    </row>
    <row r="6230" spans="4:4" x14ac:dyDescent="0.25">
      <c r="D6230"/>
    </row>
    <row r="6231" spans="4:4" x14ac:dyDescent="0.25">
      <c r="D6231"/>
    </row>
    <row r="6232" spans="4:4" x14ac:dyDescent="0.25">
      <c r="D6232"/>
    </row>
    <row r="6233" spans="4:4" x14ac:dyDescent="0.25">
      <c r="D6233"/>
    </row>
    <row r="6234" spans="4:4" x14ac:dyDescent="0.25">
      <c r="D6234"/>
    </row>
    <row r="6235" spans="4:4" x14ac:dyDescent="0.25">
      <c r="D6235"/>
    </row>
    <row r="6236" spans="4:4" x14ac:dyDescent="0.25">
      <c r="D6236"/>
    </row>
    <row r="6237" spans="4:4" x14ac:dyDescent="0.25">
      <c r="D6237"/>
    </row>
    <row r="6238" spans="4:4" x14ac:dyDescent="0.25">
      <c r="D6238"/>
    </row>
    <row r="6239" spans="4:4" x14ac:dyDescent="0.25">
      <c r="D6239"/>
    </row>
    <row r="6240" spans="4:4" x14ac:dyDescent="0.25">
      <c r="D6240"/>
    </row>
    <row r="6241" spans="4:4" x14ac:dyDescent="0.25">
      <c r="D6241"/>
    </row>
    <row r="6242" spans="4:4" x14ac:dyDescent="0.25">
      <c r="D6242"/>
    </row>
    <row r="6243" spans="4:4" x14ac:dyDescent="0.25">
      <c r="D6243"/>
    </row>
    <row r="6244" spans="4:4" x14ac:dyDescent="0.25">
      <c r="D6244"/>
    </row>
    <row r="6245" spans="4:4" x14ac:dyDescent="0.25">
      <c r="D6245"/>
    </row>
    <row r="6246" spans="4:4" x14ac:dyDescent="0.25">
      <c r="D6246"/>
    </row>
    <row r="6247" spans="4:4" x14ac:dyDescent="0.25">
      <c r="D6247"/>
    </row>
    <row r="6248" spans="4:4" x14ac:dyDescent="0.25">
      <c r="D6248"/>
    </row>
    <row r="6249" spans="4:4" x14ac:dyDescent="0.25">
      <c r="D6249"/>
    </row>
    <row r="6250" spans="4:4" x14ac:dyDescent="0.25">
      <c r="D6250"/>
    </row>
    <row r="6251" spans="4:4" x14ac:dyDescent="0.25">
      <c r="D6251"/>
    </row>
    <row r="6252" spans="4:4" x14ac:dyDescent="0.25">
      <c r="D6252"/>
    </row>
    <row r="6253" spans="4:4" x14ac:dyDescent="0.25">
      <c r="D6253"/>
    </row>
    <row r="6254" spans="4:4" x14ac:dyDescent="0.25">
      <c r="D6254"/>
    </row>
    <row r="6255" spans="4:4" x14ac:dyDescent="0.25">
      <c r="D6255"/>
    </row>
    <row r="6256" spans="4:4" x14ac:dyDescent="0.25">
      <c r="D6256"/>
    </row>
    <row r="6257" spans="4:4" x14ac:dyDescent="0.25">
      <c r="D6257"/>
    </row>
    <row r="6258" spans="4:4" x14ac:dyDescent="0.25">
      <c r="D6258"/>
    </row>
    <row r="6259" spans="4:4" x14ac:dyDescent="0.25">
      <c r="D6259"/>
    </row>
    <row r="6260" spans="4:4" x14ac:dyDescent="0.25">
      <c r="D6260"/>
    </row>
    <row r="6261" spans="4:4" x14ac:dyDescent="0.25">
      <c r="D6261"/>
    </row>
    <row r="6262" spans="4:4" x14ac:dyDescent="0.25">
      <c r="D6262"/>
    </row>
    <row r="6263" spans="4:4" x14ac:dyDescent="0.25">
      <c r="D6263"/>
    </row>
    <row r="6264" spans="4:4" x14ac:dyDescent="0.25">
      <c r="D6264"/>
    </row>
    <row r="6265" spans="4:4" x14ac:dyDescent="0.25">
      <c r="D6265"/>
    </row>
    <row r="6266" spans="4:4" x14ac:dyDescent="0.25">
      <c r="D6266"/>
    </row>
    <row r="6267" spans="4:4" x14ac:dyDescent="0.25">
      <c r="D6267"/>
    </row>
    <row r="6268" spans="4:4" x14ac:dyDescent="0.25">
      <c r="D6268"/>
    </row>
    <row r="6269" spans="4:4" x14ac:dyDescent="0.25">
      <c r="D6269"/>
    </row>
    <row r="6270" spans="4:4" x14ac:dyDescent="0.25">
      <c r="D6270"/>
    </row>
    <row r="6271" spans="4:4" x14ac:dyDescent="0.25">
      <c r="D6271"/>
    </row>
    <row r="6272" spans="4:4" x14ac:dyDescent="0.25">
      <c r="D6272"/>
    </row>
    <row r="6273" spans="4:4" x14ac:dyDescent="0.25">
      <c r="D6273"/>
    </row>
    <row r="6274" spans="4:4" x14ac:dyDescent="0.25">
      <c r="D6274"/>
    </row>
    <row r="6275" spans="4:4" x14ac:dyDescent="0.25">
      <c r="D6275"/>
    </row>
    <row r="6276" spans="4:4" x14ac:dyDescent="0.25">
      <c r="D6276"/>
    </row>
    <row r="6277" spans="4:4" x14ac:dyDescent="0.25">
      <c r="D6277"/>
    </row>
    <row r="6278" spans="4:4" x14ac:dyDescent="0.25">
      <c r="D6278"/>
    </row>
    <row r="6279" spans="4:4" x14ac:dyDescent="0.25">
      <c r="D6279"/>
    </row>
    <row r="6280" spans="4:4" x14ac:dyDescent="0.25">
      <c r="D6280"/>
    </row>
    <row r="6281" spans="4:4" x14ac:dyDescent="0.25">
      <c r="D6281"/>
    </row>
    <row r="6282" spans="4:4" x14ac:dyDescent="0.25">
      <c r="D6282"/>
    </row>
    <row r="6283" spans="4:4" x14ac:dyDescent="0.25">
      <c r="D6283"/>
    </row>
    <row r="6284" spans="4:4" x14ac:dyDescent="0.25">
      <c r="D6284"/>
    </row>
    <row r="6285" spans="4:4" x14ac:dyDescent="0.25">
      <c r="D6285"/>
    </row>
    <row r="6286" spans="4:4" x14ac:dyDescent="0.25">
      <c r="D6286"/>
    </row>
    <row r="6287" spans="4:4" x14ac:dyDescent="0.25">
      <c r="D6287"/>
    </row>
    <row r="6288" spans="4:4" x14ac:dyDescent="0.25">
      <c r="D6288"/>
    </row>
    <row r="6289" spans="4:4" x14ac:dyDescent="0.25">
      <c r="D6289"/>
    </row>
    <row r="6290" spans="4:4" x14ac:dyDescent="0.25">
      <c r="D6290"/>
    </row>
    <row r="6291" spans="4:4" x14ac:dyDescent="0.25">
      <c r="D6291"/>
    </row>
    <row r="6292" spans="4:4" x14ac:dyDescent="0.25">
      <c r="D6292"/>
    </row>
    <row r="6293" spans="4:4" x14ac:dyDescent="0.25">
      <c r="D6293"/>
    </row>
    <row r="6294" spans="4:4" x14ac:dyDescent="0.25">
      <c r="D6294"/>
    </row>
    <row r="6295" spans="4:4" x14ac:dyDescent="0.25">
      <c r="D6295"/>
    </row>
    <row r="6296" spans="4:4" x14ac:dyDescent="0.25">
      <c r="D6296"/>
    </row>
    <row r="6297" spans="4:4" x14ac:dyDescent="0.25">
      <c r="D6297"/>
    </row>
    <row r="6298" spans="4:4" x14ac:dyDescent="0.25">
      <c r="D6298"/>
    </row>
    <row r="6299" spans="4:4" x14ac:dyDescent="0.25">
      <c r="D6299"/>
    </row>
    <row r="6300" spans="4:4" x14ac:dyDescent="0.25">
      <c r="D6300"/>
    </row>
    <row r="6301" spans="4:4" x14ac:dyDescent="0.25">
      <c r="D6301"/>
    </row>
    <row r="6302" spans="4:4" x14ac:dyDescent="0.25">
      <c r="D6302"/>
    </row>
    <row r="6303" spans="4:4" x14ac:dyDescent="0.25">
      <c r="D6303"/>
    </row>
    <row r="6304" spans="4:4" x14ac:dyDescent="0.25">
      <c r="D6304"/>
    </row>
    <row r="6305" spans="4:4" x14ac:dyDescent="0.25">
      <c r="D6305"/>
    </row>
    <row r="6306" spans="4:4" x14ac:dyDescent="0.25">
      <c r="D6306"/>
    </row>
    <row r="6307" spans="4:4" x14ac:dyDescent="0.25">
      <c r="D6307"/>
    </row>
    <row r="6308" spans="4:4" x14ac:dyDescent="0.25">
      <c r="D6308"/>
    </row>
    <row r="6309" spans="4:4" x14ac:dyDescent="0.25">
      <c r="D6309"/>
    </row>
    <row r="6310" spans="4:4" x14ac:dyDescent="0.25">
      <c r="D6310"/>
    </row>
    <row r="6311" spans="4:4" x14ac:dyDescent="0.25">
      <c r="D6311"/>
    </row>
    <row r="6312" spans="4:4" x14ac:dyDescent="0.25">
      <c r="D6312"/>
    </row>
    <row r="6313" spans="4:4" x14ac:dyDescent="0.25">
      <c r="D6313"/>
    </row>
    <row r="6314" spans="4:4" x14ac:dyDescent="0.25">
      <c r="D6314"/>
    </row>
    <row r="6315" spans="4:4" x14ac:dyDescent="0.25">
      <c r="D6315"/>
    </row>
    <row r="6316" spans="4:4" x14ac:dyDescent="0.25">
      <c r="D6316"/>
    </row>
    <row r="6317" spans="4:4" x14ac:dyDescent="0.25">
      <c r="D6317"/>
    </row>
    <row r="6318" spans="4:4" x14ac:dyDescent="0.25">
      <c r="D6318"/>
    </row>
    <row r="6319" spans="4:4" x14ac:dyDescent="0.25">
      <c r="D6319"/>
    </row>
    <row r="6320" spans="4:4" x14ac:dyDescent="0.25">
      <c r="D6320"/>
    </row>
    <row r="6321" spans="4:4" x14ac:dyDescent="0.25">
      <c r="D6321"/>
    </row>
    <row r="6322" spans="4:4" x14ac:dyDescent="0.25">
      <c r="D6322"/>
    </row>
    <row r="6323" spans="4:4" x14ac:dyDescent="0.25">
      <c r="D6323"/>
    </row>
    <row r="6324" spans="4:4" x14ac:dyDescent="0.25">
      <c r="D6324"/>
    </row>
    <row r="6325" spans="4:4" x14ac:dyDescent="0.25">
      <c r="D6325"/>
    </row>
    <row r="6326" spans="4:4" x14ac:dyDescent="0.25">
      <c r="D6326"/>
    </row>
    <row r="6327" spans="4:4" x14ac:dyDescent="0.25">
      <c r="D6327"/>
    </row>
    <row r="6328" spans="4:4" x14ac:dyDescent="0.25">
      <c r="D6328"/>
    </row>
    <row r="6329" spans="4:4" x14ac:dyDescent="0.25">
      <c r="D6329"/>
    </row>
    <row r="6330" spans="4:4" x14ac:dyDescent="0.25">
      <c r="D6330"/>
    </row>
    <row r="6331" spans="4:4" x14ac:dyDescent="0.25">
      <c r="D6331"/>
    </row>
    <row r="6332" spans="4:4" x14ac:dyDescent="0.25">
      <c r="D6332"/>
    </row>
    <row r="6333" spans="4:4" x14ac:dyDescent="0.25">
      <c r="D6333"/>
    </row>
    <row r="6334" spans="4:4" x14ac:dyDescent="0.25">
      <c r="D6334"/>
    </row>
    <row r="6335" spans="4:4" x14ac:dyDescent="0.25">
      <c r="D6335"/>
    </row>
    <row r="6336" spans="4:4" x14ac:dyDescent="0.25">
      <c r="D6336"/>
    </row>
    <row r="6337" spans="4:4" x14ac:dyDescent="0.25">
      <c r="D6337"/>
    </row>
    <row r="6338" spans="4:4" x14ac:dyDescent="0.25">
      <c r="D6338"/>
    </row>
    <row r="6339" spans="4:4" x14ac:dyDescent="0.25">
      <c r="D6339"/>
    </row>
    <row r="6340" spans="4:4" x14ac:dyDescent="0.25">
      <c r="D6340"/>
    </row>
    <row r="6341" spans="4:4" x14ac:dyDescent="0.25">
      <c r="D6341"/>
    </row>
    <row r="6342" spans="4:4" x14ac:dyDescent="0.25">
      <c r="D6342"/>
    </row>
    <row r="6343" spans="4:4" x14ac:dyDescent="0.25">
      <c r="D6343"/>
    </row>
    <row r="6344" spans="4:4" x14ac:dyDescent="0.25">
      <c r="D6344"/>
    </row>
    <row r="6345" spans="4:4" x14ac:dyDescent="0.25">
      <c r="D6345"/>
    </row>
    <row r="6346" spans="4:4" x14ac:dyDescent="0.25">
      <c r="D6346"/>
    </row>
    <row r="6347" spans="4:4" x14ac:dyDescent="0.25">
      <c r="D6347"/>
    </row>
    <row r="6348" spans="4:4" x14ac:dyDescent="0.25">
      <c r="D6348"/>
    </row>
    <row r="6349" spans="4:4" x14ac:dyDescent="0.25">
      <c r="D6349"/>
    </row>
    <row r="6350" spans="4:4" x14ac:dyDescent="0.25">
      <c r="D6350"/>
    </row>
    <row r="6351" spans="4:4" x14ac:dyDescent="0.25">
      <c r="D6351"/>
    </row>
    <row r="6352" spans="4:4" x14ac:dyDescent="0.25">
      <c r="D6352"/>
    </row>
    <row r="6353" spans="4:4" x14ac:dyDescent="0.25">
      <c r="D6353"/>
    </row>
    <row r="6354" spans="4:4" x14ac:dyDescent="0.25">
      <c r="D6354"/>
    </row>
    <row r="6355" spans="4:4" x14ac:dyDescent="0.25">
      <c r="D6355"/>
    </row>
    <row r="6356" spans="4:4" x14ac:dyDescent="0.25">
      <c r="D6356"/>
    </row>
    <row r="6357" spans="4:4" x14ac:dyDescent="0.25">
      <c r="D6357"/>
    </row>
    <row r="6358" spans="4:4" x14ac:dyDescent="0.25">
      <c r="D6358"/>
    </row>
    <row r="6359" spans="4:4" x14ac:dyDescent="0.25">
      <c r="D6359"/>
    </row>
    <row r="6360" spans="4:4" x14ac:dyDescent="0.25">
      <c r="D6360"/>
    </row>
    <row r="6361" spans="4:4" x14ac:dyDescent="0.25">
      <c r="D6361"/>
    </row>
    <row r="6362" spans="4:4" x14ac:dyDescent="0.25">
      <c r="D6362"/>
    </row>
    <row r="6363" spans="4:4" x14ac:dyDescent="0.25">
      <c r="D6363"/>
    </row>
    <row r="6364" spans="4:4" x14ac:dyDescent="0.25">
      <c r="D6364"/>
    </row>
    <row r="6365" spans="4:4" x14ac:dyDescent="0.25">
      <c r="D6365"/>
    </row>
    <row r="6366" spans="4:4" x14ac:dyDescent="0.25">
      <c r="D6366"/>
    </row>
    <row r="6367" spans="4:4" x14ac:dyDescent="0.25">
      <c r="D6367"/>
    </row>
    <row r="6368" spans="4:4" x14ac:dyDescent="0.25">
      <c r="D6368"/>
    </row>
    <row r="6369" spans="4:4" x14ac:dyDescent="0.25">
      <c r="D6369"/>
    </row>
    <row r="6370" spans="4:4" x14ac:dyDescent="0.25">
      <c r="D6370"/>
    </row>
    <row r="6371" spans="4:4" x14ac:dyDescent="0.25">
      <c r="D6371"/>
    </row>
    <row r="6372" spans="4:4" x14ac:dyDescent="0.25">
      <c r="D6372"/>
    </row>
    <row r="6373" spans="4:4" x14ac:dyDescent="0.25">
      <c r="D6373"/>
    </row>
    <row r="6374" spans="4:4" x14ac:dyDescent="0.25">
      <c r="D6374"/>
    </row>
    <row r="6375" spans="4:4" x14ac:dyDescent="0.25">
      <c r="D6375"/>
    </row>
    <row r="6376" spans="4:4" x14ac:dyDescent="0.25">
      <c r="D6376"/>
    </row>
    <row r="6377" spans="4:4" x14ac:dyDescent="0.25">
      <c r="D6377"/>
    </row>
    <row r="6378" spans="4:4" x14ac:dyDescent="0.25">
      <c r="D6378"/>
    </row>
    <row r="6379" spans="4:4" x14ac:dyDescent="0.25">
      <c r="D6379"/>
    </row>
    <row r="6380" spans="4:4" x14ac:dyDescent="0.25">
      <c r="D6380"/>
    </row>
    <row r="6381" spans="4:4" x14ac:dyDescent="0.25">
      <c r="D6381"/>
    </row>
    <row r="6382" spans="4:4" x14ac:dyDescent="0.25">
      <c r="D6382"/>
    </row>
    <row r="6383" spans="4:4" x14ac:dyDescent="0.25">
      <c r="D6383"/>
    </row>
    <row r="6384" spans="4:4" x14ac:dyDescent="0.25">
      <c r="D6384"/>
    </row>
    <row r="6385" spans="4:4" x14ac:dyDescent="0.25">
      <c r="D6385"/>
    </row>
    <row r="6386" spans="4:4" x14ac:dyDescent="0.25">
      <c r="D6386"/>
    </row>
    <row r="6387" spans="4:4" x14ac:dyDescent="0.25">
      <c r="D6387"/>
    </row>
    <row r="6388" spans="4:4" x14ac:dyDescent="0.25">
      <c r="D6388"/>
    </row>
    <row r="6389" spans="4:4" x14ac:dyDescent="0.25">
      <c r="D6389"/>
    </row>
    <row r="6390" spans="4:4" x14ac:dyDescent="0.25">
      <c r="D6390"/>
    </row>
    <row r="6391" spans="4:4" x14ac:dyDescent="0.25">
      <c r="D6391"/>
    </row>
    <row r="6392" spans="4:4" x14ac:dyDescent="0.25">
      <c r="D6392"/>
    </row>
    <row r="6393" spans="4:4" x14ac:dyDescent="0.25">
      <c r="D6393"/>
    </row>
    <row r="6394" spans="4:4" x14ac:dyDescent="0.25">
      <c r="D6394"/>
    </row>
    <row r="6395" spans="4:4" x14ac:dyDescent="0.25">
      <c r="D6395"/>
    </row>
    <row r="6396" spans="4:4" x14ac:dyDescent="0.25">
      <c r="D6396"/>
    </row>
    <row r="6397" spans="4:4" x14ac:dyDescent="0.25">
      <c r="D6397"/>
    </row>
    <row r="6398" spans="4:4" x14ac:dyDescent="0.25">
      <c r="D6398"/>
    </row>
    <row r="6399" spans="4:4" x14ac:dyDescent="0.25">
      <c r="D6399"/>
    </row>
    <row r="6400" spans="4:4" x14ac:dyDescent="0.25">
      <c r="D6400"/>
    </row>
    <row r="6401" spans="4:4" x14ac:dyDescent="0.25">
      <c r="D6401"/>
    </row>
    <row r="6402" spans="4:4" x14ac:dyDescent="0.25">
      <c r="D6402"/>
    </row>
    <row r="6403" spans="4:4" x14ac:dyDescent="0.25">
      <c r="D6403"/>
    </row>
    <row r="6404" spans="4:4" x14ac:dyDescent="0.25">
      <c r="D6404"/>
    </row>
    <row r="6405" spans="4:4" x14ac:dyDescent="0.25">
      <c r="D6405"/>
    </row>
    <row r="6406" spans="4:4" x14ac:dyDescent="0.25">
      <c r="D6406"/>
    </row>
    <row r="6407" spans="4:4" x14ac:dyDescent="0.25">
      <c r="D6407"/>
    </row>
    <row r="6408" spans="4:4" x14ac:dyDescent="0.25">
      <c r="D6408"/>
    </row>
    <row r="6409" spans="4:4" x14ac:dyDescent="0.25">
      <c r="D6409"/>
    </row>
    <row r="6410" spans="4:4" x14ac:dyDescent="0.25">
      <c r="D6410"/>
    </row>
    <row r="6411" spans="4:4" x14ac:dyDescent="0.25">
      <c r="D6411"/>
    </row>
    <row r="6412" spans="4:4" x14ac:dyDescent="0.25">
      <c r="D6412"/>
    </row>
    <row r="6413" spans="4:4" x14ac:dyDescent="0.25">
      <c r="D6413"/>
    </row>
    <row r="6414" spans="4:4" x14ac:dyDescent="0.25">
      <c r="D6414"/>
    </row>
    <row r="6415" spans="4:4" x14ac:dyDescent="0.25">
      <c r="D6415"/>
    </row>
    <row r="6416" spans="4:4" x14ac:dyDescent="0.25">
      <c r="D6416"/>
    </row>
    <row r="6417" spans="4:4" x14ac:dyDescent="0.25">
      <c r="D6417"/>
    </row>
    <row r="6418" spans="4:4" x14ac:dyDescent="0.25">
      <c r="D6418"/>
    </row>
    <row r="6419" spans="4:4" x14ac:dyDescent="0.25">
      <c r="D6419"/>
    </row>
    <row r="6420" spans="4:4" x14ac:dyDescent="0.25">
      <c r="D6420"/>
    </row>
    <row r="6421" spans="4:4" x14ac:dyDescent="0.25">
      <c r="D6421"/>
    </row>
    <row r="6422" spans="4:4" x14ac:dyDescent="0.25">
      <c r="D6422"/>
    </row>
    <row r="6423" spans="4:4" x14ac:dyDescent="0.25">
      <c r="D6423"/>
    </row>
    <row r="6424" spans="4:4" x14ac:dyDescent="0.25">
      <c r="D6424"/>
    </row>
    <row r="6425" spans="4:4" x14ac:dyDescent="0.25">
      <c r="D6425"/>
    </row>
    <row r="6426" spans="4:4" x14ac:dyDescent="0.25">
      <c r="D6426"/>
    </row>
    <row r="6427" spans="4:4" x14ac:dyDescent="0.25">
      <c r="D6427"/>
    </row>
    <row r="6428" spans="4:4" x14ac:dyDescent="0.25">
      <c r="D6428"/>
    </row>
    <row r="6429" spans="4:4" x14ac:dyDescent="0.25">
      <c r="D6429"/>
    </row>
    <row r="6430" spans="4:4" x14ac:dyDescent="0.25">
      <c r="D6430"/>
    </row>
    <row r="6431" spans="4:4" x14ac:dyDescent="0.25">
      <c r="D6431"/>
    </row>
    <row r="6432" spans="4:4" x14ac:dyDescent="0.25">
      <c r="D6432"/>
    </row>
    <row r="6433" spans="4:4" x14ac:dyDescent="0.25">
      <c r="D6433"/>
    </row>
    <row r="6434" spans="4:4" x14ac:dyDescent="0.25">
      <c r="D6434"/>
    </row>
    <row r="6435" spans="4:4" x14ac:dyDescent="0.25">
      <c r="D6435"/>
    </row>
    <row r="6436" spans="4:4" x14ac:dyDescent="0.25">
      <c r="D6436"/>
    </row>
    <row r="6437" spans="4:4" x14ac:dyDescent="0.25">
      <c r="D6437"/>
    </row>
    <row r="6438" spans="4:4" x14ac:dyDescent="0.25">
      <c r="D6438"/>
    </row>
    <row r="6439" spans="4:4" x14ac:dyDescent="0.25">
      <c r="D6439"/>
    </row>
    <row r="6440" spans="4:4" x14ac:dyDescent="0.25">
      <c r="D6440"/>
    </row>
    <row r="6441" spans="4:4" x14ac:dyDescent="0.25">
      <c r="D6441"/>
    </row>
    <row r="6442" spans="4:4" x14ac:dyDescent="0.25">
      <c r="D6442"/>
    </row>
    <row r="6443" spans="4:4" x14ac:dyDescent="0.25">
      <c r="D6443"/>
    </row>
    <row r="6444" spans="4:4" x14ac:dyDescent="0.25">
      <c r="D6444"/>
    </row>
    <row r="6445" spans="4:4" x14ac:dyDescent="0.25">
      <c r="D6445"/>
    </row>
    <row r="6446" spans="4:4" x14ac:dyDescent="0.25">
      <c r="D6446"/>
    </row>
    <row r="6447" spans="4:4" x14ac:dyDescent="0.25">
      <c r="D6447"/>
    </row>
    <row r="6448" spans="4:4" x14ac:dyDescent="0.25">
      <c r="D6448"/>
    </row>
    <row r="6449" spans="4:4" x14ac:dyDescent="0.25">
      <c r="D6449"/>
    </row>
    <row r="6450" spans="4:4" x14ac:dyDescent="0.25">
      <c r="D6450"/>
    </row>
    <row r="6451" spans="4:4" x14ac:dyDescent="0.25">
      <c r="D6451"/>
    </row>
    <row r="6452" spans="4:4" x14ac:dyDescent="0.25">
      <c r="D6452"/>
    </row>
    <row r="6453" spans="4:4" x14ac:dyDescent="0.25">
      <c r="D6453"/>
    </row>
    <row r="6454" spans="4:4" x14ac:dyDescent="0.25">
      <c r="D6454"/>
    </row>
    <row r="6455" spans="4:4" x14ac:dyDescent="0.25">
      <c r="D6455"/>
    </row>
    <row r="6456" spans="4:4" x14ac:dyDescent="0.25">
      <c r="D6456"/>
    </row>
    <row r="6457" spans="4:4" x14ac:dyDescent="0.25">
      <c r="D6457"/>
    </row>
    <row r="6458" spans="4:4" x14ac:dyDescent="0.25">
      <c r="D6458"/>
    </row>
    <row r="6459" spans="4:4" x14ac:dyDescent="0.25">
      <c r="D6459"/>
    </row>
    <row r="6460" spans="4:4" x14ac:dyDescent="0.25">
      <c r="D6460"/>
    </row>
    <row r="6461" spans="4:4" x14ac:dyDescent="0.25">
      <c r="D6461"/>
    </row>
    <row r="6462" spans="4:4" x14ac:dyDescent="0.25">
      <c r="D6462"/>
    </row>
    <row r="6463" spans="4:4" x14ac:dyDescent="0.25">
      <c r="D6463"/>
    </row>
    <row r="6464" spans="4:4" x14ac:dyDescent="0.25">
      <c r="D6464"/>
    </row>
    <row r="6465" spans="4:4" x14ac:dyDescent="0.25">
      <c r="D6465"/>
    </row>
    <row r="6466" spans="4:4" x14ac:dyDescent="0.25">
      <c r="D6466"/>
    </row>
    <row r="6467" spans="4:4" x14ac:dyDescent="0.25">
      <c r="D6467"/>
    </row>
    <row r="6468" spans="4:4" x14ac:dyDescent="0.25">
      <c r="D6468"/>
    </row>
    <row r="6469" spans="4:4" x14ac:dyDescent="0.25">
      <c r="D6469"/>
    </row>
    <row r="6470" spans="4:4" x14ac:dyDescent="0.25">
      <c r="D6470"/>
    </row>
    <row r="6471" spans="4:4" x14ac:dyDescent="0.25">
      <c r="D6471"/>
    </row>
    <row r="6472" spans="4:4" x14ac:dyDescent="0.25">
      <c r="D6472"/>
    </row>
    <row r="6473" spans="4:4" x14ac:dyDescent="0.25">
      <c r="D6473"/>
    </row>
    <row r="6474" spans="4:4" x14ac:dyDescent="0.25">
      <c r="D6474"/>
    </row>
    <row r="6475" spans="4:4" x14ac:dyDescent="0.25">
      <c r="D6475"/>
    </row>
    <row r="6476" spans="4:4" x14ac:dyDescent="0.25">
      <c r="D6476"/>
    </row>
    <row r="6477" spans="4:4" x14ac:dyDescent="0.25">
      <c r="D6477"/>
    </row>
    <row r="6478" spans="4:4" x14ac:dyDescent="0.25">
      <c r="D6478"/>
    </row>
    <row r="6479" spans="4:4" x14ac:dyDescent="0.25">
      <c r="D6479"/>
    </row>
    <row r="6480" spans="4:4" x14ac:dyDescent="0.25">
      <c r="D6480"/>
    </row>
    <row r="6481" spans="4:4" x14ac:dyDescent="0.25">
      <c r="D6481"/>
    </row>
    <row r="6482" spans="4:4" x14ac:dyDescent="0.25">
      <c r="D6482"/>
    </row>
    <row r="6483" spans="4:4" x14ac:dyDescent="0.25">
      <c r="D6483"/>
    </row>
    <row r="6484" spans="4:4" x14ac:dyDescent="0.25">
      <c r="D6484"/>
    </row>
    <row r="6485" spans="4:4" x14ac:dyDescent="0.25">
      <c r="D6485"/>
    </row>
    <row r="6486" spans="4:4" x14ac:dyDescent="0.25">
      <c r="D6486"/>
    </row>
    <row r="6487" spans="4:4" x14ac:dyDescent="0.25">
      <c r="D6487"/>
    </row>
    <row r="6488" spans="4:4" x14ac:dyDescent="0.25">
      <c r="D6488"/>
    </row>
    <row r="6489" spans="4:4" x14ac:dyDescent="0.25">
      <c r="D6489"/>
    </row>
    <row r="6490" spans="4:4" x14ac:dyDescent="0.25">
      <c r="D6490"/>
    </row>
    <row r="6491" spans="4:4" x14ac:dyDescent="0.25">
      <c r="D6491"/>
    </row>
    <row r="6492" spans="4:4" x14ac:dyDescent="0.25">
      <c r="D6492"/>
    </row>
    <row r="6493" spans="4:4" x14ac:dyDescent="0.25">
      <c r="D6493"/>
    </row>
    <row r="6494" spans="4:4" x14ac:dyDescent="0.25">
      <c r="D6494"/>
    </row>
    <row r="6495" spans="4:4" x14ac:dyDescent="0.25">
      <c r="D6495"/>
    </row>
    <row r="6496" spans="4:4" x14ac:dyDescent="0.25">
      <c r="D6496"/>
    </row>
    <row r="6497" spans="4:4" x14ac:dyDescent="0.25">
      <c r="D6497"/>
    </row>
    <row r="6498" spans="4:4" x14ac:dyDescent="0.25">
      <c r="D6498"/>
    </row>
    <row r="6499" spans="4:4" x14ac:dyDescent="0.25">
      <c r="D6499"/>
    </row>
    <row r="6500" spans="4:4" x14ac:dyDescent="0.25">
      <c r="D6500"/>
    </row>
    <row r="6501" spans="4:4" x14ac:dyDescent="0.25">
      <c r="D6501"/>
    </row>
    <row r="6502" spans="4:4" x14ac:dyDescent="0.25">
      <c r="D6502"/>
    </row>
    <row r="6503" spans="4:4" x14ac:dyDescent="0.25">
      <c r="D6503"/>
    </row>
    <row r="6504" spans="4:4" x14ac:dyDescent="0.25">
      <c r="D6504"/>
    </row>
    <row r="6505" spans="4:4" x14ac:dyDescent="0.25">
      <c r="D6505"/>
    </row>
    <row r="6506" spans="4:4" x14ac:dyDescent="0.25">
      <c r="D6506"/>
    </row>
    <row r="6507" spans="4:4" x14ac:dyDescent="0.25">
      <c r="D6507"/>
    </row>
    <row r="6508" spans="4:4" x14ac:dyDescent="0.25">
      <c r="D6508"/>
    </row>
    <row r="6509" spans="4:4" x14ac:dyDescent="0.25">
      <c r="D6509"/>
    </row>
    <row r="6510" spans="4:4" x14ac:dyDescent="0.25">
      <c r="D6510"/>
    </row>
    <row r="6511" spans="4:4" x14ac:dyDescent="0.25">
      <c r="D6511"/>
    </row>
    <row r="6512" spans="4:4" x14ac:dyDescent="0.25">
      <c r="D6512"/>
    </row>
    <row r="6513" spans="4:4" x14ac:dyDescent="0.25">
      <c r="D6513"/>
    </row>
    <row r="6514" spans="4:4" x14ac:dyDescent="0.25">
      <c r="D6514"/>
    </row>
    <row r="6515" spans="4:4" x14ac:dyDescent="0.25">
      <c r="D6515"/>
    </row>
    <row r="6516" spans="4:4" x14ac:dyDescent="0.25">
      <c r="D6516"/>
    </row>
    <row r="6517" spans="4:4" x14ac:dyDescent="0.25">
      <c r="D6517"/>
    </row>
    <row r="6518" spans="4:4" x14ac:dyDescent="0.25">
      <c r="D6518"/>
    </row>
    <row r="6519" spans="4:4" x14ac:dyDescent="0.25">
      <c r="D6519"/>
    </row>
    <row r="6520" spans="4:4" x14ac:dyDescent="0.25">
      <c r="D6520"/>
    </row>
    <row r="6521" spans="4:4" x14ac:dyDescent="0.25">
      <c r="D6521"/>
    </row>
    <row r="6522" spans="4:4" x14ac:dyDescent="0.25">
      <c r="D6522"/>
    </row>
    <row r="6523" spans="4:4" x14ac:dyDescent="0.25">
      <c r="D6523"/>
    </row>
    <row r="6524" spans="4:4" x14ac:dyDescent="0.25">
      <c r="D6524"/>
    </row>
    <row r="6525" spans="4:4" x14ac:dyDescent="0.25">
      <c r="D6525"/>
    </row>
    <row r="6526" spans="4:4" x14ac:dyDescent="0.25">
      <c r="D6526"/>
    </row>
    <row r="6527" spans="4:4" x14ac:dyDescent="0.25">
      <c r="D6527"/>
    </row>
    <row r="6528" spans="4:4" x14ac:dyDescent="0.25">
      <c r="D6528"/>
    </row>
    <row r="6529" spans="4:4" x14ac:dyDescent="0.25">
      <c r="D6529"/>
    </row>
    <row r="6530" spans="4:4" x14ac:dyDescent="0.25">
      <c r="D6530"/>
    </row>
    <row r="6531" spans="4:4" x14ac:dyDescent="0.25">
      <c r="D6531"/>
    </row>
    <row r="6532" spans="4:4" x14ac:dyDescent="0.25">
      <c r="D6532"/>
    </row>
    <row r="6533" spans="4:4" x14ac:dyDescent="0.25">
      <c r="D6533"/>
    </row>
    <row r="6534" spans="4:4" x14ac:dyDescent="0.25">
      <c r="D6534"/>
    </row>
    <row r="6535" spans="4:4" x14ac:dyDescent="0.25">
      <c r="D6535"/>
    </row>
    <row r="6536" spans="4:4" x14ac:dyDescent="0.25">
      <c r="D6536"/>
    </row>
    <row r="6537" spans="4:4" x14ac:dyDescent="0.25">
      <c r="D6537"/>
    </row>
    <row r="6538" spans="4:4" x14ac:dyDescent="0.25">
      <c r="D6538"/>
    </row>
    <row r="6539" spans="4:4" x14ac:dyDescent="0.25">
      <c r="D6539"/>
    </row>
    <row r="6540" spans="4:4" x14ac:dyDescent="0.25">
      <c r="D6540"/>
    </row>
    <row r="6541" spans="4:4" x14ac:dyDescent="0.25">
      <c r="D6541"/>
    </row>
    <row r="6542" spans="4:4" x14ac:dyDescent="0.25">
      <c r="D6542"/>
    </row>
    <row r="6543" spans="4:4" x14ac:dyDescent="0.25">
      <c r="D6543"/>
    </row>
    <row r="6544" spans="4:4" x14ac:dyDescent="0.25">
      <c r="D6544"/>
    </row>
    <row r="6545" spans="4:4" x14ac:dyDescent="0.25">
      <c r="D6545"/>
    </row>
    <row r="6546" spans="4:4" x14ac:dyDescent="0.25">
      <c r="D6546"/>
    </row>
    <row r="6547" spans="4:4" x14ac:dyDescent="0.25">
      <c r="D6547"/>
    </row>
    <row r="6548" spans="4:4" x14ac:dyDescent="0.25">
      <c r="D6548"/>
    </row>
    <row r="6549" spans="4:4" x14ac:dyDescent="0.25">
      <c r="D6549"/>
    </row>
    <row r="6550" spans="4:4" x14ac:dyDescent="0.25">
      <c r="D6550"/>
    </row>
    <row r="6551" spans="4:4" x14ac:dyDescent="0.25">
      <c r="D6551"/>
    </row>
    <row r="6552" spans="4:4" x14ac:dyDescent="0.25">
      <c r="D6552"/>
    </row>
    <row r="6553" spans="4:4" x14ac:dyDescent="0.25">
      <c r="D6553"/>
    </row>
    <row r="6554" spans="4:4" x14ac:dyDescent="0.25">
      <c r="D6554"/>
    </row>
    <row r="6555" spans="4:4" x14ac:dyDescent="0.25">
      <c r="D6555"/>
    </row>
    <row r="6556" spans="4:4" x14ac:dyDescent="0.25">
      <c r="D6556"/>
    </row>
    <row r="6557" spans="4:4" x14ac:dyDescent="0.25">
      <c r="D6557"/>
    </row>
    <row r="6558" spans="4:4" x14ac:dyDescent="0.25">
      <c r="D6558"/>
    </row>
    <row r="6559" spans="4:4" x14ac:dyDescent="0.25">
      <c r="D6559"/>
    </row>
    <row r="6560" spans="4:4" x14ac:dyDescent="0.25">
      <c r="D6560"/>
    </row>
    <row r="6561" spans="4:4" x14ac:dyDescent="0.25">
      <c r="D6561"/>
    </row>
    <row r="6562" spans="4:4" x14ac:dyDescent="0.25">
      <c r="D6562"/>
    </row>
    <row r="6563" spans="4:4" x14ac:dyDescent="0.25">
      <c r="D6563"/>
    </row>
    <row r="6564" spans="4:4" x14ac:dyDescent="0.25">
      <c r="D6564"/>
    </row>
    <row r="6565" spans="4:4" x14ac:dyDescent="0.25">
      <c r="D6565"/>
    </row>
    <row r="6566" spans="4:4" x14ac:dyDescent="0.25">
      <c r="D6566"/>
    </row>
    <row r="6567" spans="4:4" x14ac:dyDescent="0.25">
      <c r="D6567"/>
    </row>
    <row r="6568" spans="4:4" x14ac:dyDescent="0.25">
      <c r="D6568"/>
    </row>
    <row r="6569" spans="4:4" x14ac:dyDescent="0.25">
      <c r="D6569"/>
    </row>
    <row r="6570" spans="4:4" x14ac:dyDescent="0.25">
      <c r="D6570"/>
    </row>
    <row r="6571" spans="4:4" x14ac:dyDescent="0.25">
      <c r="D6571"/>
    </row>
    <row r="6572" spans="4:4" x14ac:dyDescent="0.25">
      <c r="D6572"/>
    </row>
    <row r="6573" spans="4:4" x14ac:dyDescent="0.25">
      <c r="D6573"/>
    </row>
    <row r="6574" spans="4:4" x14ac:dyDescent="0.25">
      <c r="D6574"/>
    </row>
    <row r="6575" spans="4:4" x14ac:dyDescent="0.25">
      <c r="D6575"/>
    </row>
    <row r="6576" spans="4:4" x14ac:dyDescent="0.25">
      <c r="D6576"/>
    </row>
    <row r="6577" spans="4:4" x14ac:dyDescent="0.25">
      <c r="D6577"/>
    </row>
    <row r="6578" spans="4:4" x14ac:dyDescent="0.25">
      <c r="D6578"/>
    </row>
    <row r="6579" spans="4:4" x14ac:dyDescent="0.25">
      <c r="D6579"/>
    </row>
    <row r="6580" spans="4:4" x14ac:dyDescent="0.25">
      <c r="D6580"/>
    </row>
    <row r="6581" spans="4:4" x14ac:dyDescent="0.25">
      <c r="D6581"/>
    </row>
    <row r="6582" spans="4:4" x14ac:dyDescent="0.25">
      <c r="D6582"/>
    </row>
    <row r="6583" spans="4:4" x14ac:dyDescent="0.25">
      <c r="D6583"/>
    </row>
    <row r="6584" spans="4:4" x14ac:dyDescent="0.25">
      <c r="D6584"/>
    </row>
    <row r="6585" spans="4:4" x14ac:dyDescent="0.25">
      <c r="D6585"/>
    </row>
    <row r="6586" spans="4:4" x14ac:dyDescent="0.25">
      <c r="D6586"/>
    </row>
    <row r="6587" spans="4:4" x14ac:dyDescent="0.25">
      <c r="D6587"/>
    </row>
    <row r="6588" spans="4:4" x14ac:dyDescent="0.25">
      <c r="D6588"/>
    </row>
    <row r="6589" spans="4:4" x14ac:dyDescent="0.25">
      <c r="D6589"/>
    </row>
    <row r="6590" spans="4:4" x14ac:dyDescent="0.25">
      <c r="D6590"/>
    </row>
    <row r="6591" spans="4:4" x14ac:dyDescent="0.25">
      <c r="D6591"/>
    </row>
    <row r="6592" spans="4:4" x14ac:dyDescent="0.25">
      <c r="D6592"/>
    </row>
    <row r="6593" spans="4:4" x14ac:dyDescent="0.25">
      <c r="D6593"/>
    </row>
    <row r="6594" spans="4:4" x14ac:dyDescent="0.25">
      <c r="D6594"/>
    </row>
    <row r="6595" spans="4:4" x14ac:dyDescent="0.25">
      <c r="D6595"/>
    </row>
    <row r="6596" spans="4:4" x14ac:dyDescent="0.25">
      <c r="D6596"/>
    </row>
    <row r="6597" spans="4:4" x14ac:dyDescent="0.25">
      <c r="D6597"/>
    </row>
    <row r="6598" spans="4:4" x14ac:dyDescent="0.25">
      <c r="D6598"/>
    </row>
    <row r="6599" spans="4:4" x14ac:dyDescent="0.25">
      <c r="D6599"/>
    </row>
    <row r="6600" spans="4:4" x14ac:dyDescent="0.25">
      <c r="D6600"/>
    </row>
    <row r="6601" spans="4:4" x14ac:dyDescent="0.25">
      <c r="D6601"/>
    </row>
    <row r="6602" spans="4:4" x14ac:dyDescent="0.25">
      <c r="D6602"/>
    </row>
    <row r="6603" spans="4:4" x14ac:dyDescent="0.25">
      <c r="D6603"/>
    </row>
    <row r="6604" spans="4:4" x14ac:dyDescent="0.25">
      <c r="D6604"/>
    </row>
    <row r="6605" spans="4:4" x14ac:dyDescent="0.25">
      <c r="D6605"/>
    </row>
    <row r="6606" spans="4:4" x14ac:dyDescent="0.25">
      <c r="D6606"/>
    </row>
    <row r="6607" spans="4:4" x14ac:dyDescent="0.25">
      <c r="D6607"/>
    </row>
    <row r="6608" spans="4:4" x14ac:dyDescent="0.25">
      <c r="D6608"/>
    </row>
    <row r="6609" spans="4:4" x14ac:dyDescent="0.25">
      <c r="D6609"/>
    </row>
    <row r="6610" spans="4:4" x14ac:dyDescent="0.25">
      <c r="D6610"/>
    </row>
    <row r="6611" spans="4:4" x14ac:dyDescent="0.25">
      <c r="D6611"/>
    </row>
    <row r="6612" spans="4:4" x14ac:dyDescent="0.25">
      <c r="D6612"/>
    </row>
    <row r="6613" spans="4:4" x14ac:dyDescent="0.25">
      <c r="D6613"/>
    </row>
    <row r="6614" spans="4:4" x14ac:dyDescent="0.25">
      <c r="D6614"/>
    </row>
    <row r="6615" spans="4:4" x14ac:dyDescent="0.25">
      <c r="D6615"/>
    </row>
    <row r="6616" spans="4:4" x14ac:dyDescent="0.25">
      <c r="D6616"/>
    </row>
    <row r="6617" spans="4:4" x14ac:dyDescent="0.25">
      <c r="D6617"/>
    </row>
    <row r="6618" spans="4:4" x14ac:dyDescent="0.25">
      <c r="D6618"/>
    </row>
    <row r="6619" spans="4:4" x14ac:dyDescent="0.25">
      <c r="D6619"/>
    </row>
    <row r="6620" spans="4:4" x14ac:dyDescent="0.25">
      <c r="D6620"/>
    </row>
    <row r="6621" spans="4:4" x14ac:dyDescent="0.25">
      <c r="D6621"/>
    </row>
    <row r="6622" spans="4:4" x14ac:dyDescent="0.25">
      <c r="D6622"/>
    </row>
    <row r="6623" spans="4:4" x14ac:dyDescent="0.25">
      <c r="D6623"/>
    </row>
    <row r="6624" spans="4:4" x14ac:dyDescent="0.25">
      <c r="D6624"/>
    </row>
    <row r="6625" spans="4:4" x14ac:dyDescent="0.25">
      <c r="D6625"/>
    </row>
    <row r="6626" spans="4:4" x14ac:dyDescent="0.25">
      <c r="D6626"/>
    </row>
    <row r="6627" spans="4:4" x14ac:dyDescent="0.25">
      <c r="D6627"/>
    </row>
    <row r="6628" spans="4:4" x14ac:dyDescent="0.25">
      <c r="D6628"/>
    </row>
    <row r="6629" spans="4:4" x14ac:dyDescent="0.25">
      <c r="D6629"/>
    </row>
    <row r="6630" spans="4:4" x14ac:dyDescent="0.25">
      <c r="D6630"/>
    </row>
    <row r="6631" spans="4:4" x14ac:dyDescent="0.25">
      <c r="D6631"/>
    </row>
    <row r="6632" spans="4:4" x14ac:dyDescent="0.25">
      <c r="D6632"/>
    </row>
    <row r="6633" spans="4:4" x14ac:dyDescent="0.25">
      <c r="D6633"/>
    </row>
    <row r="6634" spans="4:4" x14ac:dyDescent="0.25">
      <c r="D6634"/>
    </row>
    <row r="6635" spans="4:4" x14ac:dyDescent="0.25">
      <c r="D6635"/>
    </row>
    <row r="6636" spans="4:4" x14ac:dyDescent="0.25">
      <c r="D6636"/>
    </row>
    <row r="6637" spans="4:4" x14ac:dyDescent="0.25">
      <c r="D6637"/>
    </row>
    <row r="6638" spans="4:4" x14ac:dyDescent="0.25">
      <c r="D6638"/>
    </row>
    <row r="6639" spans="4:4" x14ac:dyDescent="0.25">
      <c r="D6639"/>
    </row>
    <row r="6640" spans="4:4" x14ac:dyDescent="0.25">
      <c r="D6640"/>
    </row>
    <row r="6641" spans="4:4" x14ac:dyDescent="0.25">
      <c r="D6641"/>
    </row>
    <row r="6642" spans="4:4" x14ac:dyDescent="0.25">
      <c r="D6642"/>
    </row>
    <row r="6643" spans="4:4" x14ac:dyDescent="0.25">
      <c r="D6643"/>
    </row>
    <row r="6644" spans="4:4" x14ac:dyDescent="0.25">
      <c r="D6644"/>
    </row>
    <row r="6645" spans="4:4" x14ac:dyDescent="0.25">
      <c r="D6645"/>
    </row>
    <row r="6646" spans="4:4" x14ac:dyDescent="0.25">
      <c r="D6646"/>
    </row>
    <row r="6647" spans="4:4" x14ac:dyDescent="0.25">
      <c r="D6647"/>
    </row>
    <row r="6648" spans="4:4" x14ac:dyDescent="0.25">
      <c r="D6648"/>
    </row>
    <row r="6649" spans="4:4" x14ac:dyDescent="0.25">
      <c r="D6649"/>
    </row>
    <row r="6650" spans="4:4" x14ac:dyDescent="0.25">
      <c r="D6650"/>
    </row>
    <row r="6651" spans="4:4" x14ac:dyDescent="0.25">
      <c r="D6651"/>
    </row>
    <row r="6652" spans="4:4" x14ac:dyDescent="0.25">
      <c r="D6652"/>
    </row>
    <row r="6653" spans="4:4" x14ac:dyDescent="0.25">
      <c r="D6653"/>
    </row>
    <row r="6654" spans="4:4" x14ac:dyDescent="0.25">
      <c r="D6654"/>
    </row>
    <row r="6655" spans="4:4" x14ac:dyDescent="0.25">
      <c r="D6655"/>
    </row>
    <row r="6656" spans="4:4" x14ac:dyDescent="0.25">
      <c r="D6656"/>
    </row>
    <row r="6657" spans="4:4" x14ac:dyDescent="0.25">
      <c r="D6657"/>
    </row>
    <row r="6658" spans="4:4" x14ac:dyDescent="0.25">
      <c r="D6658"/>
    </row>
    <row r="6659" spans="4:4" x14ac:dyDescent="0.25">
      <c r="D6659"/>
    </row>
    <row r="6660" spans="4:4" x14ac:dyDescent="0.25">
      <c r="D6660"/>
    </row>
    <row r="6661" spans="4:4" x14ac:dyDescent="0.25">
      <c r="D6661"/>
    </row>
    <row r="6662" spans="4:4" x14ac:dyDescent="0.25">
      <c r="D6662"/>
    </row>
    <row r="6663" spans="4:4" x14ac:dyDescent="0.25">
      <c r="D6663"/>
    </row>
    <row r="6664" spans="4:4" x14ac:dyDescent="0.25">
      <c r="D6664"/>
    </row>
    <row r="6665" spans="4:4" x14ac:dyDescent="0.25">
      <c r="D6665"/>
    </row>
    <row r="6666" spans="4:4" x14ac:dyDescent="0.25">
      <c r="D6666"/>
    </row>
    <row r="6667" spans="4:4" x14ac:dyDescent="0.25">
      <c r="D6667"/>
    </row>
    <row r="6668" spans="4:4" x14ac:dyDescent="0.25">
      <c r="D6668"/>
    </row>
    <row r="6669" spans="4:4" x14ac:dyDescent="0.25">
      <c r="D6669"/>
    </row>
    <row r="6670" spans="4:4" x14ac:dyDescent="0.25">
      <c r="D6670"/>
    </row>
    <row r="6671" spans="4:4" x14ac:dyDescent="0.25">
      <c r="D6671"/>
    </row>
    <row r="6672" spans="4:4" x14ac:dyDescent="0.25">
      <c r="D6672"/>
    </row>
    <row r="6673" spans="4:4" x14ac:dyDescent="0.25">
      <c r="D6673"/>
    </row>
    <row r="6674" spans="4:4" x14ac:dyDescent="0.25">
      <c r="D6674"/>
    </row>
    <row r="6675" spans="4:4" x14ac:dyDescent="0.25">
      <c r="D6675"/>
    </row>
    <row r="6676" spans="4:4" x14ac:dyDescent="0.25">
      <c r="D6676"/>
    </row>
    <row r="6677" spans="4:4" x14ac:dyDescent="0.25">
      <c r="D6677"/>
    </row>
    <row r="6678" spans="4:4" x14ac:dyDescent="0.25">
      <c r="D6678"/>
    </row>
    <row r="6679" spans="4:4" x14ac:dyDescent="0.25">
      <c r="D6679"/>
    </row>
    <row r="6680" spans="4:4" x14ac:dyDescent="0.25">
      <c r="D6680"/>
    </row>
    <row r="6681" spans="4:4" x14ac:dyDescent="0.25">
      <c r="D6681"/>
    </row>
    <row r="6682" spans="4:4" x14ac:dyDescent="0.25">
      <c r="D6682"/>
    </row>
    <row r="6683" spans="4:4" x14ac:dyDescent="0.25">
      <c r="D6683"/>
    </row>
    <row r="6684" spans="4:4" x14ac:dyDescent="0.25">
      <c r="D6684"/>
    </row>
    <row r="6685" spans="4:4" x14ac:dyDescent="0.25">
      <c r="D6685"/>
    </row>
    <row r="6686" spans="4:4" x14ac:dyDescent="0.25">
      <c r="D6686"/>
    </row>
    <row r="6687" spans="4:4" x14ac:dyDescent="0.25">
      <c r="D6687"/>
    </row>
    <row r="6688" spans="4:4" x14ac:dyDescent="0.25">
      <c r="D6688"/>
    </row>
    <row r="6689" spans="4:4" x14ac:dyDescent="0.25">
      <c r="D6689"/>
    </row>
    <row r="6690" spans="4:4" x14ac:dyDescent="0.25">
      <c r="D6690"/>
    </row>
    <row r="6691" spans="4:4" x14ac:dyDescent="0.25">
      <c r="D6691"/>
    </row>
    <row r="6692" spans="4:4" x14ac:dyDescent="0.25">
      <c r="D6692"/>
    </row>
    <row r="6693" spans="4:4" x14ac:dyDescent="0.25">
      <c r="D6693"/>
    </row>
    <row r="6694" spans="4:4" x14ac:dyDescent="0.25">
      <c r="D6694"/>
    </row>
    <row r="6695" spans="4:4" x14ac:dyDescent="0.25">
      <c r="D6695"/>
    </row>
    <row r="6696" spans="4:4" x14ac:dyDescent="0.25">
      <c r="D6696"/>
    </row>
    <row r="6697" spans="4:4" x14ac:dyDescent="0.25">
      <c r="D6697"/>
    </row>
    <row r="6698" spans="4:4" x14ac:dyDescent="0.25">
      <c r="D6698"/>
    </row>
    <row r="6699" spans="4:4" x14ac:dyDescent="0.25">
      <c r="D6699"/>
    </row>
    <row r="6700" spans="4:4" x14ac:dyDescent="0.25">
      <c r="D6700"/>
    </row>
    <row r="6701" spans="4:4" x14ac:dyDescent="0.25">
      <c r="D6701"/>
    </row>
    <row r="6702" spans="4:4" x14ac:dyDescent="0.25">
      <c r="D6702"/>
    </row>
    <row r="6703" spans="4:4" x14ac:dyDescent="0.25">
      <c r="D6703"/>
    </row>
    <row r="6704" spans="4:4" x14ac:dyDescent="0.25">
      <c r="D6704"/>
    </row>
    <row r="6705" spans="4:4" x14ac:dyDescent="0.25">
      <c r="D6705"/>
    </row>
    <row r="6706" spans="4:4" x14ac:dyDescent="0.25">
      <c r="D6706"/>
    </row>
    <row r="6707" spans="4:4" x14ac:dyDescent="0.25">
      <c r="D6707"/>
    </row>
    <row r="6708" spans="4:4" x14ac:dyDescent="0.25">
      <c r="D6708"/>
    </row>
    <row r="6709" spans="4:4" x14ac:dyDescent="0.25">
      <c r="D6709"/>
    </row>
    <row r="6710" spans="4:4" x14ac:dyDescent="0.25">
      <c r="D6710"/>
    </row>
    <row r="6711" spans="4:4" x14ac:dyDescent="0.25">
      <c r="D6711"/>
    </row>
    <row r="6712" spans="4:4" x14ac:dyDescent="0.25">
      <c r="D6712"/>
    </row>
    <row r="6713" spans="4:4" x14ac:dyDescent="0.25">
      <c r="D6713"/>
    </row>
    <row r="6714" spans="4:4" x14ac:dyDescent="0.25">
      <c r="D6714"/>
    </row>
    <row r="6715" spans="4:4" x14ac:dyDescent="0.25">
      <c r="D6715"/>
    </row>
    <row r="6716" spans="4:4" x14ac:dyDescent="0.25">
      <c r="D6716"/>
    </row>
    <row r="6717" spans="4:4" x14ac:dyDescent="0.25">
      <c r="D6717"/>
    </row>
    <row r="6718" spans="4:4" x14ac:dyDescent="0.25">
      <c r="D6718"/>
    </row>
    <row r="6719" spans="4:4" x14ac:dyDescent="0.25">
      <c r="D6719"/>
    </row>
    <row r="6720" spans="4:4" x14ac:dyDescent="0.25">
      <c r="D6720"/>
    </row>
    <row r="6721" spans="4:4" x14ac:dyDescent="0.25">
      <c r="D6721"/>
    </row>
    <row r="6722" spans="4:4" x14ac:dyDescent="0.25">
      <c r="D6722"/>
    </row>
    <row r="6723" spans="4:4" x14ac:dyDescent="0.25">
      <c r="D6723"/>
    </row>
    <row r="6724" spans="4:4" x14ac:dyDescent="0.25">
      <c r="D6724"/>
    </row>
    <row r="6725" spans="4:4" x14ac:dyDescent="0.25">
      <c r="D6725"/>
    </row>
    <row r="6726" spans="4:4" x14ac:dyDescent="0.25">
      <c r="D6726"/>
    </row>
    <row r="6727" spans="4:4" x14ac:dyDescent="0.25">
      <c r="D6727"/>
    </row>
    <row r="6728" spans="4:4" x14ac:dyDescent="0.25">
      <c r="D6728"/>
    </row>
    <row r="6729" spans="4:4" x14ac:dyDescent="0.25">
      <c r="D6729"/>
    </row>
    <row r="6730" spans="4:4" x14ac:dyDescent="0.25">
      <c r="D6730"/>
    </row>
    <row r="6731" spans="4:4" x14ac:dyDescent="0.25">
      <c r="D6731"/>
    </row>
    <row r="6732" spans="4:4" x14ac:dyDescent="0.25">
      <c r="D6732"/>
    </row>
    <row r="6733" spans="4:4" x14ac:dyDescent="0.25">
      <c r="D6733"/>
    </row>
    <row r="6734" spans="4:4" x14ac:dyDescent="0.25">
      <c r="D6734"/>
    </row>
    <row r="6735" spans="4:4" x14ac:dyDescent="0.25">
      <c r="D6735"/>
    </row>
    <row r="6736" spans="4:4" x14ac:dyDescent="0.25">
      <c r="D6736"/>
    </row>
    <row r="6737" spans="4:4" x14ac:dyDescent="0.25">
      <c r="D6737"/>
    </row>
    <row r="6738" spans="4:4" x14ac:dyDescent="0.25">
      <c r="D6738"/>
    </row>
    <row r="6739" spans="4:4" x14ac:dyDescent="0.25">
      <c r="D6739"/>
    </row>
    <row r="6740" spans="4:4" x14ac:dyDescent="0.25">
      <c r="D6740"/>
    </row>
    <row r="6741" spans="4:4" x14ac:dyDescent="0.25">
      <c r="D6741"/>
    </row>
    <row r="6742" spans="4:4" x14ac:dyDescent="0.25">
      <c r="D6742"/>
    </row>
    <row r="6743" spans="4:4" x14ac:dyDescent="0.25">
      <c r="D6743"/>
    </row>
    <row r="6744" spans="4:4" x14ac:dyDescent="0.25">
      <c r="D6744"/>
    </row>
    <row r="6745" spans="4:4" x14ac:dyDescent="0.25">
      <c r="D6745"/>
    </row>
    <row r="6746" spans="4:4" x14ac:dyDescent="0.25">
      <c r="D6746"/>
    </row>
    <row r="6747" spans="4:4" x14ac:dyDescent="0.25">
      <c r="D6747"/>
    </row>
    <row r="6748" spans="4:4" x14ac:dyDescent="0.25">
      <c r="D6748"/>
    </row>
    <row r="6749" spans="4:4" x14ac:dyDescent="0.25">
      <c r="D6749"/>
    </row>
    <row r="6750" spans="4:4" x14ac:dyDescent="0.25">
      <c r="D6750"/>
    </row>
    <row r="6751" spans="4:4" x14ac:dyDescent="0.25">
      <c r="D6751"/>
    </row>
    <row r="6752" spans="4:4" x14ac:dyDescent="0.25">
      <c r="D6752"/>
    </row>
    <row r="6753" spans="4:4" x14ac:dyDescent="0.25">
      <c r="D6753"/>
    </row>
    <row r="6754" spans="4:4" x14ac:dyDescent="0.25">
      <c r="D6754"/>
    </row>
    <row r="6755" spans="4:4" x14ac:dyDescent="0.25">
      <c r="D6755"/>
    </row>
    <row r="6756" spans="4:4" x14ac:dyDescent="0.25">
      <c r="D6756"/>
    </row>
    <row r="6757" spans="4:4" x14ac:dyDescent="0.25">
      <c r="D6757"/>
    </row>
    <row r="6758" spans="4:4" x14ac:dyDescent="0.25">
      <c r="D6758"/>
    </row>
    <row r="6759" spans="4:4" x14ac:dyDescent="0.25">
      <c r="D6759"/>
    </row>
    <row r="6760" spans="4:4" x14ac:dyDescent="0.25">
      <c r="D6760"/>
    </row>
    <row r="6761" spans="4:4" x14ac:dyDescent="0.25">
      <c r="D6761"/>
    </row>
    <row r="6762" spans="4:4" x14ac:dyDescent="0.25">
      <c r="D6762"/>
    </row>
    <row r="6763" spans="4:4" x14ac:dyDescent="0.25">
      <c r="D6763"/>
    </row>
    <row r="6764" spans="4:4" x14ac:dyDescent="0.25">
      <c r="D6764"/>
    </row>
    <row r="6765" spans="4:4" x14ac:dyDescent="0.25">
      <c r="D6765"/>
    </row>
    <row r="6766" spans="4:4" x14ac:dyDescent="0.25">
      <c r="D6766"/>
    </row>
    <row r="6767" spans="4:4" x14ac:dyDescent="0.25">
      <c r="D6767"/>
    </row>
    <row r="6768" spans="4:4" x14ac:dyDescent="0.25">
      <c r="D6768"/>
    </row>
    <row r="6769" spans="4:4" x14ac:dyDescent="0.25">
      <c r="D6769"/>
    </row>
    <row r="6770" spans="4:4" x14ac:dyDescent="0.25">
      <c r="D6770"/>
    </row>
    <row r="6771" spans="4:4" x14ac:dyDescent="0.25">
      <c r="D6771"/>
    </row>
    <row r="6772" spans="4:4" x14ac:dyDescent="0.25">
      <c r="D6772"/>
    </row>
    <row r="6773" spans="4:4" x14ac:dyDescent="0.25">
      <c r="D6773"/>
    </row>
    <row r="6774" spans="4:4" x14ac:dyDescent="0.25">
      <c r="D6774"/>
    </row>
    <row r="6775" spans="4:4" x14ac:dyDescent="0.25">
      <c r="D6775"/>
    </row>
    <row r="6776" spans="4:4" x14ac:dyDescent="0.25">
      <c r="D6776"/>
    </row>
    <row r="6777" spans="4:4" x14ac:dyDescent="0.25">
      <c r="D6777"/>
    </row>
    <row r="6778" spans="4:4" x14ac:dyDescent="0.25">
      <c r="D6778"/>
    </row>
    <row r="6779" spans="4:4" x14ac:dyDescent="0.25">
      <c r="D6779"/>
    </row>
    <row r="6780" spans="4:4" x14ac:dyDescent="0.25">
      <c r="D6780"/>
    </row>
    <row r="6781" spans="4:4" x14ac:dyDescent="0.25">
      <c r="D6781"/>
    </row>
    <row r="6782" spans="4:4" x14ac:dyDescent="0.25">
      <c r="D6782"/>
    </row>
    <row r="6783" spans="4:4" x14ac:dyDescent="0.25">
      <c r="D6783"/>
    </row>
    <row r="6784" spans="4:4" x14ac:dyDescent="0.25">
      <c r="D6784"/>
    </row>
    <row r="6785" spans="4:4" x14ac:dyDescent="0.25">
      <c r="D6785"/>
    </row>
    <row r="6786" spans="4:4" x14ac:dyDescent="0.25">
      <c r="D6786"/>
    </row>
    <row r="6787" spans="4:4" x14ac:dyDescent="0.25">
      <c r="D6787"/>
    </row>
    <row r="6788" spans="4:4" x14ac:dyDescent="0.25">
      <c r="D6788"/>
    </row>
    <row r="6789" spans="4:4" x14ac:dyDescent="0.25">
      <c r="D6789"/>
    </row>
    <row r="6790" spans="4:4" x14ac:dyDescent="0.25">
      <c r="D6790"/>
    </row>
    <row r="6791" spans="4:4" x14ac:dyDescent="0.25">
      <c r="D6791"/>
    </row>
    <row r="6792" spans="4:4" x14ac:dyDescent="0.25">
      <c r="D6792"/>
    </row>
    <row r="6793" spans="4:4" x14ac:dyDescent="0.25">
      <c r="D6793"/>
    </row>
    <row r="6794" spans="4:4" x14ac:dyDescent="0.25">
      <c r="D6794"/>
    </row>
    <row r="6795" spans="4:4" x14ac:dyDescent="0.25">
      <c r="D6795"/>
    </row>
    <row r="6796" spans="4:4" x14ac:dyDescent="0.25">
      <c r="D6796"/>
    </row>
    <row r="6797" spans="4:4" x14ac:dyDescent="0.25">
      <c r="D6797"/>
    </row>
    <row r="6798" spans="4:4" x14ac:dyDescent="0.25">
      <c r="D6798"/>
    </row>
    <row r="6799" spans="4:4" x14ac:dyDescent="0.25">
      <c r="D6799"/>
    </row>
    <row r="6800" spans="4:4" x14ac:dyDescent="0.25">
      <c r="D6800"/>
    </row>
    <row r="6801" spans="4:4" x14ac:dyDescent="0.25">
      <c r="D6801"/>
    </row>
    <row r="6802" spans="4:4" x14ac:dyDescent="0.25">
      <c r="D6802"/>
    </row>
    <row r="6803" spans="4:4" x14ac:dyDescent="0.25">
      <c r="D6803"/>
    </row>
    <row r="6804" spans="4:4" x14ac:dyDescent="0.25">
      <c r="D6804"/>
    </row>
    <row r="6805" spans="4:4" x14ac:dyDescent="0.25">
      <c r="D6805"/>
    </row>
    <row r="6806" spans="4:4" x14ac:dyDescent="0.25">
      <c r="D6806"/>
    </row>
    <row r="6807" spans="4:4" x14ac:dyDescent="0.25">
      <c r="D6807"/>
    </row>
    <row r="6808" spans="4:4" x14ac:dyDescent="0.25">
      <c r="D6808"/>
    </row>
    <row r="6809" spans="4:4" x14ac:dyDescent="0.25">
      <c r="D6809"/>
    </row>
    <row r="6810" spans="4:4" x14ac:dyDescent="0.25">
      <c r="D6810"/>
    </row>
    <row r="6811" spans="4:4" x14ac:dyDescent="0.25">
      <c r="D6811"/>
    </row>
    <row r="6812" spans="4:4" x14ac:dyDescent="0.25">
      <c r="D6812"/>
    </row>
    <row r="6813" spans="4:4" x14ac:dyDescent="0.25">
      <c r="D6813"/>
    </row>
    <row r="6814" spans="4:4" x14ac:dyDescent="0.25">
      <c r="D6814"/>
    </row>
    <row r="6815" spans="4:4" x14ac:dyDescent="0.25">
      <c r="D6815"/>
    </row>
    <row r="6816" spans="4:4" x14ac:dyDescent="0.25">
      <c r="D6816"/>
    </row>
    <row r="6817" spans="4:4" x14ac:dyDescent="0.25">
      <c r="D6817"/>
    </row>
    <row r="6818" spans="4:4" x14ac:dyDescent="0.25">
      <c r="D6818"/>
    </row>
    <row r="6819" spans="4:4" x14ac:dyDescent="0.25">
      <c r="D6819"/>
    </row>
    <row r="6820" spans="4:4" x14ac:dyDescent="0.25">
      <c r="D6820"/>
    </row>
    <row r="6821" spans="4:4" x14ac:dyDescent="0.25">
      <c r="D6821"/>
    </row>
    <row r="6822" spans="4:4" x14ac:dyDescent="0.25">
      <c r="D6822"/>
    </row>
    <row r="6823" spans="4:4" x14ac:dyDescent="0.25">
      <c r="D6823"/>
    </row>
    <row r="6824" spans="4:4" x14ac:dyDescent="0.25">
      <c r="D6824"/>
    </row>
    <row r="6825" spans="4:4" x14ac:dyDescent="0.25">
      <c r="D6825"/>
    </row>
    <row r="6826" spans="4:4" x14ac:dyDescent="0.25">
      <c r="D6826"/>
    </row>
    <row r="6827" spans="4:4" x14ac:dyDescent="0.25">
      <c r="D6827"/>
    </row>
    <row r="6828" spans="4:4" x14ac:dyDescent="0.25">
      <c r="D6828"/>
    </row>
    <row r="6829" spans="4:4" x14ac:dyDescent="0.25">
      <c r="D6829"/>
    </row>
    <row r="6830" spans="4:4" x14ac:dyDescent="0.25">
      <c r="D6830"/>
    </row>
    <row r="6831" spans="4:4" x14ac:dyDescent="0.25">
      <c r="D6831"/>
    </row>
    <row r="6832" spans="4:4" x14ac:dyDescent="0.25">
      <c r="D6832"/>
    </row>
    <row r="6833" spans="4:4" x14ac:dyDescent="0.25">
      <c r="D6833"/>
    </row>
    <row r="6834" spans="4:4" x14ac:dyDescent="0.25">
      <c r="D6834"/>
    </row>
    <row r="6835" spans="4:4" x14ac:dyDescent="0.25">
      <c r="D6835"/>
    </row>
    <row r="6836" spans="4:4" x14ac:dyDescent="0.25">
      <c r="D6836"/>
    </row>
    <row r="6837" spans="4:4" x14ac:dyDescent="0.25">
      <c r="D6837"/>
    </row>
    <row r="6838" spans="4:4" x14ac:dyDescent="0.25">
      <c r="D6838"/>
    </row>
    <row r="6839" spans="4:4" x14ac:dyDescent="0.25">
      <c r="D6839"/>
    </row>
    <row r="6840" spans="4:4" x14ac:dyDescent="0.25">
      <c r="D6840"/>
    </row>
    <row r="6841" spans="4:4" x14ac:dyDescent="0.25">
      <c r="D6841"/>
    </row>
    <row r="6842" spans="4:4" x14ac:dyDescent="0.25">
      <c r="D6842"/>
    </row>
    <row r="6843" spans="4:4" x14ac:dyDescent="0.25">
      <c r="D6843"/>
    </row>
    <row r="6844" spans="4:4" x14ac:dyDescent="0.25">
      <c r="D6844"/>
    </row>
    <row r="6845" spans="4:4" x14ac:dyDescent="0.25">
      <c r="D6845"/>
    </row>
    <row r="6846" spans="4:4" x14ac:dyDescent="0.25">
      <c r="D6846"/>
    </row>
    <row r="6847" spans="4:4" x14ac:dyDescent="0.25">
      <c r="D6847"/>
    </row>
    <row r="6848" spans="4:4" x14ac:dyDescent="0.25">
      <c r="D6848"/>
    </row>
    <row r="6849" spans="4:4" x14ac:dyDescent="0.25">
      <c r="D6849"/>
    </row>
    <row r="6850" spans="4:4" x14ac:dyDescent="0.25">
      <c r="D6850"/>
    </row>
    <row r="6851" spans="4:4" x14ac:dyDescent="0.25">
      <c r="D6851"/>
    </row>
    <row r="6852" spans="4:4" x14ac:dyDescent="0.25">
      <c r="D6852"/>
    </row>
    <row r="6853" spans="4:4" x14ac:dyDescent="0.25">
      <c r="D6853"/>
    </row>
    <row r="6854" spans="4:4" x14ac:dyDescent="0.25">
      <c r="D6854"/>
    </row>
    <row r="6855" spans="4:4" x14ac:dyDescent="0.25">
      <c r="D6855"/>
    </row>
    <row r="6856" spans="4:4" x14ac:dyDescent="0.25">
      <c r="D6856"/>
    </row>
    <row r="6857" spans="4:4" x14ac:dyDescent="0.25">
      <c r="D6857"/>
    </row>
    <row r="6858" spans="4:4" x14ac:dyDescent="0.25">
      <c r="D6858"/>
    </row>
    <row r="6859" spans="4:4" x14ac:dyDescent="0.25">
      <c r="D6859"/>
    </row>
    <row r="6860" spans="4:4" x14ac:dyDescent="0.25">
      <c r="D6860"/>
    </row>
    <row r="6861" spans="4:4" x14ac:dyDescent="0.25">
      <c r="D6861"/>
    </row>
    <row r="6862" spans="4:4" x14ac:dyDescent="0.25">
      <c r="D6862"/>
    </row>
    <row r="6863" spans="4:4" x14ac:dyDescent="0.25">
      <c r="D6863"/>
    </row>
    <row r="6864" spans="4:4" x14ac:dyDescent="0.25">
      <c r="D6864"/>
    </row>
    <row r="6865" spans="4:4" x14ac:dyDescent="0.25">
      <c r="D6865"/>
    </row>
    <row r="6866" spans="4:4" x14ac:dyDescent="0.25">
      <c r="D6866"/>
    </row>
    <row r="6867" spans="4:4" x14ac:dyDescent="0.25">
      <c r="D6867"/>
    </row>
    <row r="6868" spans="4:4" x14ac:dyDescent="0.25">
      <c r="D6868"/>
    </row>
    <row r="6869" spans="4:4" x14ac:dyDescent="0.25">
      <c r="D6869"/>
    </row>
    <row r="6870" spans="4:4" x14ac:dyDescent="0.25">
      <c r="D6870"/>
    </row>
    <row r="6871" spans="4:4" x14ac:dyDescent="0.25">
      <c r="D6871"/>
    </row>
    <row r="6872" spans="4:4" x14ac:dyDescent="0.25">
      <c r="D6872"/>
    </row>
    <row r="6873" spans="4:4" x14ac:dyDescent="0.25">
      <c r="D6873"/>
    </row>
    <row r="6874" spans="4:4" x14ac:dyDescent="0.25">
      <c r="D6874"/>
    </row>
    <row r="6875" spans="4:4" x14ac:dyDescent="0.25">
      <c r="D6875"/>
    </row>
    <row r="6876" spans="4:4" x14ac:dyDescent="0.25">
      <c r="D6876"/>
    </row>
    <row r="6877" spans="4:4" x14ac:dyDescent="0.25">
      <c r="D6877"/>
    </row>
    <row r="6878" spans="4:4" x14ac:dyDescent="0.25">
      <c r="D6878"/>
    </row>
    <row r="6879" spans="4:4" x14ac:dyDescent="0.25">
      <c r="D6879"/>
    </row>
    <row r="6880" spans="4:4" x14ac:dyDescent="0.25">
      <c r="D6880"/>
    </row>
    <row r="6881" spans="4:4" x14ac:dyDescent="0.25">
      <c r="D6881"/>
    </row>
    <row r="6882" spans="4:4" x14ac:dyDescent="0.25">
      <c r="D6882"/>
    </row>
    <row r="6883" spans="4:4" x14ac:dyDescent="0.25">
      <c r="D6883"/>
    </row>
    <row r="6884" spans="4:4" x14ac:dyDescent="0.25">
      <c r="D6884"/>
    </row>
    <row r="6885" spans="4:4" x14ac:dyDescent="0.25">
      <c r="D6885"/>
    </row>
    <row r="6886" spans="4:4" x14ac:dyDescent="0.25">
      <c r="D6886"/>
    </row>
    <row r="6887" spans="4:4" x14ac:dyDescent="0.25">
      <c r="D6887"/>
    </row>
    <row r="6888" spans="4:4" x14ac:dyDescent="0.25">
      <c r="D6888"/>
    </row>
    <row r="6889" spans="4:4" x14ac:dyDescent="0.25">
      <c r="D6889"/>
    </row>
    <row r="6890" spans="4:4" x14ac:dyDescent="0.25">
      <c r="D6890"/>
    </row>
    <row r="6891" spans="4:4" x14ac:dyDescent="0.25">
      <c r="D6891"/>
    </row>
    <row r="6892" spans="4:4" x14ac:dyDescent="0.25">
      <c r="D6892"/>
    </row>
    <row r="6893" spans="4:4" x14ac:dyDescent="0.25">
      <c r="D6893"/>
    </row>
    <row r="6894" spans="4:4" x14ac:dyDescent="0.25">
      <c r="D6894"/>
    </row>
    <row r="6895" spans="4:4" x14ac:dyDescent="0.25">
      <c r="D6895"/>
    </row>
    <row r="6896" spans="4:4" x14ac:dyDescent="0.25">
      <c r="D6896"/>
    </row>
    <row r="6897" spans="4:4" x14ac:dyDescent="0.25">
      <c r="D6897"/>
    </row>
    <row r="6898" spans="4:4" x14ac:dyDescent="0.25">
      <c r="D6898"/>
    </row>
    <row r="6899" spans="4:4" x14ac:dyDescent="0.25">
      <c r="D6899"/>
    </row>
    <row r="6900" spans="4:4" x14ac:dyDescent="0.25">
      <c r="D6900"/>
    </row>
    <row r="6901" spans="4:4" x14ac:dyDescent="0.25">
      <c r="D6901"/>
    </row>
    <row r="6902" spans="4:4" x14ac:dyDescent="0.25">
      <c r="D6902"/>
    </row>
    <row r="6903" spans="4:4" x14ac:dyDescent="0.25">
      <c r="D6903"/>
    </row>
    <row r="6904" spans="4:4" x14ac:dyDescent="0.25">
      <c r="D6904"/>
    </row>
    <row r="6905" spans="4:4" x14ac:dyDescent="0.25">
      <c r="D6905"/>
    </row>
    <row r="6906" spans="4:4" x14ac:dyDescent="0.25">
      <c r="D6906"/>
    </row>
    <row r="6907" spans="4:4" x14ac:dyDescent="0.25">
      <c r="D6907"/>
    </row>
    <row r="6908" spans="4:4" x14ac:dyDescent="0.25">
      <c r="D6908"/>
    </row>
    <row r="6909" spans="4:4" x14ac:dyDescent="0.25">
      <c r="D6909"/>
    </row>
    <row r="6910" spans="4:4" x14ac:dyDescent="0.25">
      <c r="D6910"/>
    </row>
    <row r="6911" spans="4:4" x14ac:dyDescent="0.25">
      <c r="D6911"/>
    </row>
    <row r="6912" spans="4:4" x14ac:dyDescent="0.25">
      <c r="D6912"/>
    </row>
    <row r="6913" spans="4:4" x14ac:dyDescent="0.25">
      <c r="D6913"/>
    </row>
    <row r="6914" spans="4:4" x14ac:dyDescent="0.25">
      <c r="D6914"/>
    </row>
    <row r="6915" spans="4:4" x14ac:dyDescent="0.25">
      <c r="D6915"/>
    </row>
    <row r="6916" spans="4:4" x14ac:dyDescent="0.25">
      <c r="D6916"/>
    </row>
    <row r="6917" spans="4:4" x14ac:dyDescent="0.25">
      <c r="D6917"/>
    </row>
    <row r="6918" spans="4:4" x14ac:dyDescent="0.25">
      <c r="D6918"/>
    </row>
    <row r="6919" spans="4:4" x14ac:dyDescent="0.25">
      <c r="D6919"/>
    </row>
    <row r="6920" spans="4:4" x14ac:dyDescent="0.25">
      <c r="D6920"/>
    </row>
    <row r="6921" spans="4:4" x14ac:dyDescent="0.25">
      <c r="D6921"/>
    </row>
    <row r="6922" spans="4:4" x14ac:dyDescent="0.25">
      <c r="D6922"/>
    </row>
    <row r="6923" spans="4:4" x14ac:dyDescent="0.25">
      <c r="D6923"/>
    </row>
    <row r="6924" spans="4:4" x14ac:dyDescent="0.25">
      <c r="D6924"/>
    </row>
    <row r="6925" spans="4:4" x14ac:dyDescent="0.25">
      <c r="D6925"/>
    </row>
    <row r="6926" spans="4:4" x14ac:dyDescent="0.25">
      <c r="D6926"/>
    </row>
    <row r="6927" spans="4:4" x14ac:dyDescent="0.25">
      <c r="D6927"/>
    </row>
    <row r="6928" spans="4:4" x14ac:dyDescent="0.25">
      <c r="D6928"/>
    </row>
    <row r="6929" spans="4:4" x14ac:dyDescent="0.25">
      <c r="D6929"/>
    </row>
    <row r="6930" spans="4:4" x14ac:dyDescent="0.25">
      <c r="D6930"/>
    </row>
    <row r="6931" spans="4:4" x14ac:dyDescent="0.25">
      <c r="D6931"/>
    </row>
    <row r="6932" spans="4:4" x14ac:dyDescent="0.25">
      <c r="D6932"/>
    </row>
    <row r="6933" spans="4:4" x14ac:dyDescent="0.25">
      <c r="D6933"/>
    </row>
    <row r="6934" spans="4:4" x14ac:dyDescent="0.25">
      <c r="D6934"/>
    </row>
    <row r="6935" spans="4:4" x14ac:dyDescent="0.25">
      <c r="D6935"/>
    </row>
    <row r="6936" spans="4:4" x14ac:dyDescent="0.25">
      <c r="D6936"/>
    </row>
    <row r="6937" spans="4:4" x14ac:dyDescent="0.25">
      <c r="D6937"/>
    </row>
    <row r="6938" spans="4:4" x14ac:dyDescent="0.25">
      <c r="D6938"/>
    </row>
    <row r="6939" spans="4:4" x14ac:dyDescent="0.25">
      <c r="D6939"/>
    </row>
    <row r="6940" spans="4:4" x14ac:dyDescent="0.25">
      <c r="D6940"/>
    </row>
    <row r="6941" spans="4:4" x14ac:dyDescent="0.25">
      <c r="D6941"/>
    </row>
    <row r="6942" spans="4:4" x14ac:dyDescent="0.25">
      <c r="D6942"/>
    </row>
    <row r="6943" spans="4:4" x14ac:dyDescent="0.25">
      <c r="D6943"/>
    </row>
    <row r="6944" spans="4:4" x14ac:dyDescent="0.25">
      <c r="D6944"/>
    </row>
    <row r="6945" spans="4:4" x14ac:dyDescent="0.25">
      <c r="D6945"/>
    </row>
    <row r="6946" spans="4:4" x14ac:dyDescent="0.25">
      <c r="D6946"/>
    </row>
    <row r="6947" spans="4:4" x14ac:dyDescent="0.25">
      <c r="D6947"/>
    </row>
    <row r="6948" spans="4:4" x14ac:dyDescent="0.25">
      <c r="D6948"/>
    </row>
    <row r="6949" spans="4:4" x14ac:dyDescent="0.25">
      <c r="D6949"/>
    </row>
    <row r="6950" spans="4:4" x14ac:dyDescent="0.25">
      <c r="D6950"/>
    </row>
    <row r="6951" spans="4:4" x14ac:dyDescent="0.25">
      <c r="D6951"/>
    </row>
    <row r="6952" spans="4:4" x14ac:dyDescent="0.25">
      <c r="D6952"/>
    </row>
    <row r="6953" spans="4:4" x14ac:dyDescent="0.25">
      <c r="D6953"/>
    </row>
    <row r="6954" spans="4:4" x14ac:dyDescent="0.25">
      <c r="D6954"/>
    </row>
    <row r="6955" spans="4:4" x14ac:dyDescent="0.25">
      <c r="D6955"/>
    </row>
    <row r="6956" spans="4:4" x14ac:dyDescent="0.25">
      <c r="D6956"/>
    </row>
    <row r="6957" spans="4:4" x14ac:dyDescent="0.25">
      <c r="D6957"/>
    </row>
    <row r="6958" spans="4:4" x14ac:dyDescent="0.25">
      <c r="D6958"/>
    </row>
    <row r="6959" spans="4:4" x14ac:dyDescent="0.25">
      <c r="D6959"/>
    </row>
    <row r="6960" spans="4:4" x14ac:dyDescent="0.25">
      <c r="D6960"/>
    </row>
    <row r="6961" spans="4:4" x14ac:dyDescent="0.25">
      <c r="D6961"/>
    </row>
    <row r="6962" spans="4:4" x14ac:dyDescent="0.25">
      <c r="D6962"/>
    </row>
    <row r="6963" spans="4:4" x14ac:dyDescent="0.25">
      <c r="D6963"/>
    </row>
    <row r="6964" spans="4:4" x14ac:dyDescent="0.25">
      <c r="D6964"/>
    </row>
    <row r="6965" spans="4:4" x14ac:dyDescent="0.25">
      <c r="D6965"/>
    </row>
    <row r="6966" spans="4:4" x14ac:dyDescent="0.25">
      <c r="D6966"/>
    </row>
    <row r="6967" spans="4:4" x14ac:dyDescent="0.25">
      <c r="D6967"/>
    </row>
    <row r="6968" spans="4:4" x14ac:dyDescent="0.25">
      <c r="D6968"/>
    </row>
    <row r="6969" spans="4:4" x14ac:dyDescent="0.25">
      <c r="D6969"/>
    </row>
    <row r="6970" spans="4:4" x14ac:dyDescent="0.25">
      <c r="D6970"/>
    </row>
    <row r="6971" spans="4:4" x14ac:dyDescent="0.25">
      <c r="D6971"/>
    </row>
    <row r="6972" spans="4:4" x14ac:dyDescent="0.25">
      <c r="D6972"/>
    </row>
    <row r="6973" spans="4:4" x14ac:dyDescent="0.25">
      <c r="D6973"/>
    </row>
    <row r="6974" spans="4:4" x14ac:dyDescent="0.25">
      <c r="D6974"/>
    </row>
    <row r="6975" spans="4:4" x14ac:dyDescent="0.25">
      <c r="D6975"/>
    </row>
    <row r="6976" spans="4:4" x14ac:dyDescent="0.25">
      <c r="D6976"/>
    </row>
    <row r="6977" spans="4:4" x14ac:dyDescent="0.25">
      <c r="D6977"/>
    </row>
    <row r="6978" spans="4:4" x14ac:dyDescent="0.25">
      <c r="D6978"/>
    </row>
    <row r="6979" spans="4:4" x14ac:dyDescent="0.25">
      <c r="D6979"/>
    </row>
    <row r="6980" spans="4:4" x14ac:dyDescent="0.25">
      <c r="D6980"/>
    </row>
    <row r="6981" spans="4:4" x14ac:dyDescent="0.25">
      <c r="D6981"/>
    </row>
    <row r="6982" spans="4:4" x14ac:dyDescent="0.25">
      <c r="D6982"/>
    </row>
    <row r="6983" spans="4:4" x14ac:dyDescent="0.25">
      <c r="D6983"/>
    </row>
    <row r="6984" spans="4:4" x14ac:dyDescent="0.25">
      <c r="D6984"/>
    </row>
    <row r="6985" spans="4:4" x14ac:dyDescent="0.25">
      <c r="D6985"/>
    </row>
    <row r="6986" spans="4:4" x14ac:dyDescent="0.25">
      <c r="D6986"/>
    </row>
    <row r="6987" spans="4:4" x14ac:dyDescent="0.25">
      <c r="D6987"/>
    </row>
    <row r="6988" spans="4:4" x14ac:dyDescent="0.25">
      <c r="D6988"/>
    </row>
    <row r="6989" spans="4:4" x14ac:dyDescent="0.25">
      <c r="D6989"/>
    </row>
    <row r="6990" spans="4:4" x14ac:dyDescent="0.25">
      <c r="D6990"/>
    </row>
    <row r="6991" spans="4:4" x14ac:dyDescent="0.25">
      <c r="D6991"/>
    </row>
    <row r="6992" spans="4:4" x14ac:dyDescent="0.25">
      <c r="D6992"/>
    </row>
    <row r="6993" spans="4:4" x14ac:dyDescent="0.25">
      <c r="D6993"/>
    </row>
    <row r="6994" spans="4:4" x14ac:dyDescent="0.25">
      <c r="D6994"/>
    </row>
    <row r="6995" spans="4:4" x14ac:dyDescent="0.25">
      <c r="D6995"/>
    </row>
    <row r="6996" spans="4:4" x14ac:dyDescent="0.25">
      <c r="D6996"/>
    </row>
    <row r="6997" spans="4:4" x14ac:dyDescent="0.25">
      <c r="D6997"/>
    </row>
    <row r="6998" spans="4:4" x14ac:dyDescent="0.25">
      <c r="D6998"/>
    </row>
    <row r="6999" spans="4:4" x14ac:dyDescent="0.25">
      <c r="D6999"/>
    </row>
    <row r="7000" spans="4:4" x14ac:dyDescent="0.25">
      <c r="D7000"/>
    </row>
    <row r="7001" spans="4:4" x14ac:dyDescent="0.25">
      <c r="D7001"/>
    </row>
    <row r="7002" spans="4:4" x14ac:dyDescent="0.25">
      <c r="D7002"/>
    </row>
    <row r="7003" spans="4:4" x14ac:dyDescent="0.25">
      <c r="D7003"/>
    </row>
    <row r="7004" spans="4:4" x14ac:dyDescent="0.25">
      <c r="D7004"/>
    </row>
    <row r="7005" spans="4:4" x14ac:dyDescent="0.25">
      <c r="D7005"/>
    </row>
    <row r="7006" spans="4:4" x14ac:dyDescent="0.25">
      <c r="D7006"/>
    </row>
    <row r="7007" spans="4:4" x14ac:dyDescent="0.25">
      <c r="D7007"/>
    </row>
    <row r="7008" spans="4:4" x14ac:dyDescent="0.25">
      <c r="D7008"/>
    </row>
    <row r="7009" spans="4:4" x14ac:dyDescent="0.25">
      <c r="D7009"/>
    </row>
    <row r="7010" spans="4:4" x14ac:dyDescent="0.25">
      <c r="D7010"/>
    </row>
    <row r="7011" spans="4:4" x14ac:dyDescent="0.25">
      <c r="D7011"/>
    </row>
    <row r="7012" spans="4:4" x14ac:dyDescent="0.25">
      <c r="D7012"/>
    </row>
    <row r="7013" spans="4:4" x14ac:dyDescent="0.25">
      <c r="D7013"/>
    </row>
    <row r="7014" spans="4:4" x14ac:dyDescent="0.25">
      <c r="D7014"/>
    </row>
    <row r="7015" spans="4:4" x14ac:dyDescent="0.25">
      <c r="D7015"/>
    </row>
    <row r="7016" spans="4:4" x14ac:dyDescent="0.25">
      <c r="D7016"/>
    </row>
    <row r="7017" spans="4:4" x14ac:dyDescent="0.25">
      <c r="D7017"/>
    </row>
    <row r="7018" spans="4:4" x14ac:dyDescent="0.25">
      <c r="D7018"/>
    </row>
    <row r="7019" spans="4:4" x14ac:dyDescent="0.25">
      <c r="D7019"/>
    </row>
    <row r="7020" spans="4:4" x14ac:dyDescent="0.25">
      <c r="D7020"/>
    </row>
    <row r="7021" spans="4:4" x14ac:dyDescent="0.25">
      <c r="D7021"/>
    </row>
    <row r="7022" spans="4:4" x14ac:dyDescent="0.25">
      <c r="D7022"/>
    </row>
    <row r="7023" spans="4:4" x14ac:dyDescent="0.25">
      <c r="D7023"/>
    </row>
    <row r="7024" spans="4:4" x14ac:dyDescent="0.25">
      <c r="D7024"/>
    </row>
    <row r="7025" spans="4:4" x14ac:dyDescent="0.25">
      <c r="D7025"/>
    </row>
    <row r="7026" spans="4:4" x14ac:dyDescent="0.25">
      <c r="D7026"/>
    </row>
    <row r="7027" spans="4:4" x14ac:dyDescent="0.25">
      <c r="D7027"/>
    </row>
    <row r="7028" spans="4:4" x14ac:dyDescent="0.25">
      <c r="D7028"/>
    </row>
    <row r="7029" spans="4:4" x14ac:dyDescent="0.25">
      <c r="D7029"/>
    </row>
    <row r="7030" spans="4:4" x14ac:dyDescent="0.25">
      <c r="D7030"/>
    </row>
    <row r="7031" spans="4:4" x14ac:dyDescent="0.25">
      <c r="D7031"/>
    </row>
    <row r="7032" spans="4:4" x14ac:dyDescent="0.25">
      <c r="D7032"/>
    </row>
    <row r="7033" spans="4:4" x14ac:dyDescent="0.25">
      <c r="D7033"/>
    </row>
    <row r="7034" spans="4:4" x14ac:dyDescent="0.25">
      <c r="D7034"/>
    </row>
    <row r="7035" spans="4:4" x14ac:dyDescent="0.25">
      <c r="D7035"/>
    </row>
    <row r="7036" spans="4:4" x14ac:dyDescent="0.25">
      <c r="D7036"/>
    </row>
    <row r="7037" spans="4:4" x14ac:dyDescent="0.25">
      <c r="D7037"/>
    </row>
    <row r="7038" spans="4:4" x14ac:dyDescent="0.25">
      <c r="D7038"/>
    </row>
    <row r="7039" spans="4:4" x14ac:dyDescent="0.25">
      <c r="D7039"/>
    </row>
    <row r="7040" spans="4:4" x14ac:dyDescent="0.25">
      <c r="D7040"/>
    </row>
    <row r="7041" spans="4:4" x14ac:dyDescent="0.25">
      <c r="D7041"/>
    </row>
    <row r="7042" spans="4:4" x14ac:dyDescent="0.25">
      <c r="D7042"/>
    </row>
    <row r="7043" spans="4:4" x14ac:dyDescent="0.25">
      <c r="D7043"/>
    </row>
    <row r="7044" spans="4:4" x14ac:dyDescent="0.25">
      <c r="D7044"/>
    </row>
    <row r="7045" spans="4:4" x14ac:dyDescent="0.25">
      <c r="D7045"/>
    </row>
    <row r="7046" spans="4:4" x14ac:dyDescent="0.25">
      <c r="D7046"/>
    </row>
    <row r="7047" spans="4:4" x14ac:dyDescent="0.25">
      <c r="D7047"/>
    </row>
    <row r="7048" spans="4:4" x14ac:dyDescent="0.25">
      <c r="D7048"/>
    </row>
    <row r="7049" spans="4:4" x14ac:dyDescent="0.25">
      <c r="D7049"/>
    </row>
    <row r="7050" spans="4:4" x14ac:dyDescent="0.25">
      <c r="D7050"/>
    </row>
    <row r="7051" spans="4:4" x14ac:dyDescent="0.25">
      <c r="D7051"/>
    </row>
    <row r="7052" spans="4:4" x14ac:dyDescent="0.25">
      <c r="D7052"/>
    </row>
    <row r="7053" spans="4:4" x14ac:dyDescent="0.25">
      <c r="D7053"/>
    </row>
    <row r="7054" spans="4:4" x14ac:dyDescent="0.25">
      <c r="D7054"/>
    </row>
    <row r="7055" spans="4:4" x14ac:dyDescent="0.25">
      <c r="D7055"/>
    </row>
    <row r="7056" spans="4:4" x14ac:dyDescent="0.25">
      <c r="D7056"/>
    </row>
    <row r="7057" spans="4:4" x14ac:dyDescent="0.25">
      <c r="D7057"/>
    </row>
    <row r="7058" spans="4:4" x14ac:dyDescent="0.25">
      <c r="D7058"/>
    </row>
    <row r="7059" spans="4:4" x14ac:dyDescent="0.25">
      <c r="D7059"/>
    </row>
    <row r="7060" spans="4:4" x14ac:dyDescent="0.25">
      <c r="D7060"/>
    </row>
    <row r="7061" spans="4:4" x14ac:dyDescent="0.25">
      <c r="D7061"/>
    </row>
    <row r="7062" spans="4:4" x14ac:dyDescent="0.25">
      <c r="D7062"/>
    </row>
    <row r="7063" spans="4:4" x14ac:dyDescent="0.25">
      <c r="D7063"/>
    </row>
    <row r="7064" spans="4:4" x14ac:dyDescent="0.25">
      <c r="D7064"/>
    </row>
    <row r="7065" spans="4:4" x14ac:dyDescent="0.25">
      <c r="D7065"/>
    </row>
    <row r="7066" spans="4:4" x14ac:dyDescent="0.25">
      <c r="D7066"/>
    </row>
    <row r="7067" spans="4:4" x14ac:dyDescent="0.25">
      <c r="D7067"/>
    </row>
    <row r="7068" spans="4:4" x14ac:dyDescent="0.25">
      <c r="D7068"/>
    </row>
    <row r="7069" spans="4:4" x14ac:dyDescent="0.25">
      <c r="D7069"/>
    </row>
    <row r="7070" spans="4:4" x14ac:dyDescent="0.25">
      <c r="D7070"/>
    </row>
    <row r="7071" spans="4:4" x14ac:dyDescent="0.25">
      <c r="D7071"/>
    </row>
    <row r="7072" spans="4:4" x14ac:dyDescent="0.25">
      <c r="D7072"/>
    </row>
    <row r="7073" spans="4:4" x14ac:dyDescent="0.25">
      <c r="D7073"/>
    </row>
    <row r="7074" spans="4:4" x14ac:dyDescent="0.25">
      <c r="D7074"/>
    </row>
    <row r="7075" spans="4:4" x14ac:dyDescent="0.25">
      <c r="D7075"/>
    </row>
    <row r="7076" spans="4:4" x14ac:dyDescent="0.25">
      <c r="D7076"/>
    </row>
    <row r="7077" spans="4:4" x14ac:dyDescent="0.25">
      <c r="D7077"/>
    </row>
    <row r="7078" spans="4:4" x14ac:dyDescent="0.25">
      <c r="D7078"/>
    </row>
    <row r="7079" spans="4:4" x14ac:dyDescent="0.25">
      <c r="D7079"/>
    </row>
    <row r="7080" spans="4:4" x14ac:dyDescent="0.25">
      <c r="D7080"/>
    </row>
    <row r="7081" spans="4:4" x14ac:dyDescent="0.25">
      <c r="D7081"/>
    </row>
    <row r="7082" spans="4:4" x14ac:dyDescent="0.25">
      <c r="D7082"/>
    </row>
    <row r="7083" spans="4:4" x14ac:dyDescent="0.25">
      <c r="D7083"/>
    </row>
    <row r="7084" spans="4:4" x14ac:dyDescent="0.25">
      <c r="D7084"/>
    </row>
    <row r="7085" spans="4:4" x14ac:dyDescent="0.25">
      <c r="D7085"/>
    </row>
    <row r="7086" spans="4:4" x14ac:dyDescent="0.25">
      <c r="D7086"/>
    </row>
    <row r="7087" spans="4:4" x14ac:dyDescent="0.25">
      <c r="D7087"/>
    </row>
    <row r="7088" spans="4:4" x14ac:dyDescent="0.25">
      <c r="D7088"/>
    </row>
    <row r="7089" spans="4:4" x14ac:dyDescent="0.25">
      <c r="D7089"/>
    </row>
    <row r="7090" spans="4:4" x14ac:dyDescent="0.25">
      <c r="D7090"/>
    </row>
    <row r="7091" spans="4:4" x14ac:dyDescent="0.25">
      <c r="D7091"/>
    </row>
    <row r="7092" spans="4:4" x14ac:dyDescent="0.25">
      <c r="D7092"/>
    </row>
    <row r="7093" spans="4:4" x14ac:dyDescent="0.25">
      <c r="D7093"/>
    </row>
    <row r="7094" spans="4:4" x14ac:dyDescent="0.25">
      <c r="D7094"/>
    </row>
    <row r="7095" spans="4:4" x14ac:dyDescent="0.25">
      <c r="D7095"/>
    </row>
    <row r="7096" spans="4:4" x14ac:dyDescent="0.25">
      <c r="D7096"/>
    </row>
    <row r="7097" spans="4:4" x14ac:dyDescent="0.25">
      <c r="D7097"/>
    </row>
    <row r="7098" spans="4:4" x14ac:dyDescent="0.25">
      <c r="D7098"/>
    </row>
    <row r="7099" spans="4:4" x14ac:dyDescent="0.25">
      <c r="D7099"/>
    </row>
    <row r="7100" spans="4:4" x14ac:dyDescent="0.25">
      <c r="D7100"/>
    </row>
    <row r="7101" spans="4:4" x14ac:dyDescent="0.25">
      <c r="D7101"/>
    </row>
    <row r="7102" spans="4:4" x14ac:dyDescent="0.25">
      <c r="D7102"/>
    </row>
    <row r="7103" spans="4:4" x14ac:dyDescent="0.25">
      <c r="D7103"/>
    </row>
    <row r="7104" spans="4:4" x14ac:dyDescent="0.25">
      <c r="D7104"/>
    </row>
    <row r="7105" spans="4:4" x14ac:dyDescent="0.25">
      <c r="D7105"/>
    </row>
    <row r="7106" spans="4:4" x14ac:dyDescent="0.25">
      <c r="D7106"/>
    </row>
    <row r="7107" spans="4:4" x14ac:dyDescent="0.25">
      <c r="D7107"/>
    </row>
    <row r="7108" spans="4:4" x14ac:dyDescent="0.25">
      <c r="D7108"/>
    </row>
    <row r="7109" spans="4:4" x14ac:dyDescent="0.25">
      <c r="D7109"/>
    </row>
    <row r="7110" spans="4:4" x14ac:dyDescent="0.25">
      <c r="D7110"/>
    </row>
    <row r="7111" spans="4:4" x14ac:dyDescent="0.25">
      <c r="D7111"/>
    </row>
    <row r="7112" spans="4:4" x14ac:dyDescent="0.25">
      <c r="D7112"/>
    </row>
    <row r="7113" spans="4:4" x14ac:dyDescent="0.25">
      <c r="D7113"/>
    </row>
    <row r="7114" spans="4:4" x14ac:dyDescent="0.25">
      <c r="D7114"/>
    </row>
    <row r="7115" spans="4:4" x14ac:dyDescent="0.25">
      <c r="D7115"/>
    </row>
    <row r="7116" spans="4:4" x14ac:dyDescent="0.25">
      <c r="D7116"/>
    </row>
    <row r="7117" spans="4:4" x14ac:dyDescent="0.25">
      <c r="D7117"/>
    </row>
    <row r="7118" spans="4:4" x14ac:dyDescent="0.25">
      <c r="D7118"/>
    </row>
    <row r="7119" spans="4:4" x14ac:dyDescent="0.25">
      <c r="D7119"/>
    </row>
    <row r="7120" spans="4:4" x14ac:dyDescent="0.25">
      <c r="D7120"/>
    </row>
    <row r="7121" spans="4:4" x14ac:dyDescent="0.25">
      <c r="D7121"/>
    </row>
    <row r="7122" spans="4:4" x14ac:dyDescent="0.25">
      <c r="D7122"/>
    </row>
    <row r="7123" spans="4:4" x14ac:dyDescent="0.25">
      <c r="D7123"/>
    </row>
    <row r="7124" spans="4:4" x14ac:dyDescent="0.25">
      <c r="D7124"/>
    </row>
    <row r="7125" spans="4:4" x14ac:dyDescent="0.25">
      <c r="D7125"/>
    </row>
    <row r="7126" spans="4:4" x14ac:dyDescent="0.25">
      <c r="D7126"/>
    </row>
    <row r="7127" spans="4:4" x14ac:dyDescent="0.25">
      <c r="D7127"/>
    </row>
    <row r="7128" spans="4:4" x14ac:dyDescent="0.25">
      <c r="D7128"/>
    </row>
    <row r="7129" spans="4:4" x14ac:dyDescent="0.25">
      <c r="D7129"/>
    </row>
    <row r="7130" spans="4:4" x14ac:dyDescent="0.25">
      <c r="D7130"/>
    </row>
    <row r="7131" spans="4:4" x14ac:dyDescent="0.25">
      <c r="D7131"/>
    </row>
    <row r="7132" spans="4:4" x14ac:dyDescent="0.25">
      <c r="D7132"/>
    </row>
    <row r="7133" spans="4:4" x14ac:dyDescent="0.25">
      <c r="D7133"/>
    </row>
    <row r="7134" spans="4:4" x14ac:dyDescent="0.25">
      <c r="D7134"/>
    </row>
    <row r="7135" spans="4:4" x14ac:dyDescent="0.25">
      <c r="D7135"/>
    </row>
    <row r="7136" spans="4:4" x14ac:dyDescent="0.25">
      <c r="D7136"/>
    </row>
    <row r="7137" spans="4:4" x14ac:dyDescent="0.25">
      <c r="D7137"/>
    </row>
    <row r="7138" spans="4:4" x14ac:dyDescent="0.25">
      <c r="D7138"/>
    </row>
    <row r="7139" spans="4:4" x14ac:dyDescent="0.25">
      <c r="D7139"/>
    </row>
    <row r="7140" spans="4:4" x14ac:dyDescent="0.25">
      <c r="D7140"/>
    </row>
    <row r="7141" spans="4:4" x14ac:dyDescent="0.25">
      <c r="D7141"/>
    </row>
    <row r="7142" spans="4:4" x14ac:dyDescent="0.25">
      <c r="D7142"/>
    </row>
    <row r="7143" spans="4:4" x14ac:dyDescent="0.25">
      <c r="D7143"/>
    </row>
    <row r="7144" spans="4:4" x14ac:dyDescent="0.25">
      <c r="D7144"/>
    </row>
    <row r="7145" spans="4:4" x14ac:dyDescent="0.25">
      <c r="D7145"/>
    </row>
    <row r="7146" spans="4:4" x14ac:dyDescent="0.25">
      <c r="D7146"/>
    </row>
    <row r="7147" spans="4:4" x14ac:dyDescent="0.25">
      <c r="D7147"/>
    </row>
    <row r="7148" spans="4:4" x14ac:dyDescent="0.25">
      <c r="D7148"/>
    </row>
    <row r="7149" spans="4:4" x14ac:dyDescent="0.25">
      <c r="D7149"/>
    </row>
    <row r="7150" spans="4:4" x14ac:dyDescent="0.25">
      <c r="D7150"/>
    </row>
    <row r="7151" spans="4:4" x14ac:dyDescent="0.25">
      <c r="D7151"/>
    </row>
    <row r="7152" spans="4:4" x14ac:dyDescent="0.25">
      <c r="D7152"/>
    </row>
    <row r="7153" spans="4:4" x14ac:dyDescent="0.25">
      <c r="D7153"/>
    </row>
    <row r="7154" spans="4:4" x14ac:dyDescent="0.25">
      <c r="D7154"/>
    </row>
    <row r="7155" spans="4:4" x14ac:dyDescent="0.25">
      <c r="D7155"/>
    </row>
    <row r="7156" spans="4:4" x14ac:dyDescent="0.25">
      <c r="D7156"/>
    </row>
    <row r="7157" spans="4:4" x14ac:dyDescent="0.25">
      <c r="D7157"/>
    </row>
    <row r="7158" spans="4:4" x14ac:dyDescent="0.25">
      <c r="D7158"/>
    </row>
    <row r="7159" spans="4:4" x14ac:dyDescent="0.25">
      <c r="D7159"/>
    </row>
    <row r="7160" spans="4:4" x14ac:dyDescent="0.25">
      <c r="D7160"/>
    </row>
    <row r="7161" spans="4:4" x14ac:dyDescent="0.25">
      <c r="D7161"/>
    </row>
    <row r="7162" spans="4:4" x14ac:dyDescent="0.25">
      <c r="D7162"/>
    </row>
    <row r="7163" spans="4:4" x14ac:dyDescent="0.25">
      <c r="D7163"/>
    </row>
    <row r="7164" spans="4:4" x14ac:dyDescent="0.25">
      <c r="D7164"/>
    </row>
    <row r="7165" spans="4:4" x14ac:dyDescent="0.25">
      <c r="D7165"/>
    </row>
    <row r="7166" spans="4:4" x14ac:dyDescent="0.25">
      <c r="D7166"/>
    </row>
    <row r="7167" spans="4:4" x14ac:dyDescent="0.25">
      <c r="D7167"/>
    </row>
    <row r="7168" spans="4:4" x14ac:dyDescent="0.25">
      <c r="D7168"/>
    </row>
    <row r="7169" spans="4:4" x14ac:dyDescent="0.25">
      <c r="D7169"/>
    </row>
    <row r="7170" spans="4:4" x14ac:dyDescent="0.25">
      <c r="D7170"/>
    </row>
    <row r="7171" spans="4:4" x14ac:dyDescent="0.25">
      <c r="D7171"/>
    </row>
    <row r="7172" spans="4:4" x14ac:dyDescent="0.25">
      <c r="D7172"/>
    </row>
    <row r="7173" spans="4:4" x14ac:dyDescent="0.25">
      <c r="D7173"/>
    </row>
    <row r="7174" spans="4:4" x14ac:dyDescent="0.25">
      <c r="D7174"/>
    </row>
    <row r="7175" spans="4:4" x14ac:dyDescent="0.25">
      <c r="D7175"/>
    </row>
    <row r="7176" spans="4:4" x14ac:dyDescent="0.25">
      <c r="D7176"/>
    </row>
    <row r="7177" spans="4:4" x14ac:dyDescent="0.25">
      <c r="D7177"/>
    </row>
    <row r="7178" spans="4:4" x14ac:dyDescent="0.25">
      <c r="D7178"/>
    </row>
    <row r="7179" spans="4:4" x14ac:dyDescent="0.25">
      <c r="D7179"/>
    </row>
    <row r="7180" spans="4:4" x14ac:dyDescent="0.25">
      <c r="D7180"/>
    </row>
    <row r="7181" spans="4:4" x14ac:dyDescent="0.25">
      <c r="D7181"/>
    </row>
    <row r="7182" spans="4:4" x14ac:dyDescent="0.25">
      <c r="D7182"/>
    </row>
    <row r="7183" spans="4:4" x14ac:dyDescent="0.25">
      <c r="D7183"/>
    </row>
    <row r="7184" spans="4:4" x14ac:dyDescent="0.25">
      <c r="D7184"/>
    </row>
    <row r="7185" spans="4:4" x14ac:dyDescent="0.25">
      <c r="D7185"/>
    </row>
    <row r="7186" spans="4:4" x14ac:dyDescent="0.25">
      <c r="D7186"/>
    </row>
    <row r="7187" spans="4:4" x14ac:dyDescent="0.25">
      <c r="D7187"/>
    </row>
    <row r="7188" spans="4:4" x14ac:dyDescent="0.25">
      <c r="D7188"/>
    </row>
    <row r="7189" spans="4:4" x14ac:dyDescent="0.25">
      <c r="D7189"/>
    </row>
    <row r="7190" spans="4:4" x14ac:dyDescent="0.25">
      <c r="D7190"/>
    </row>
    <row r="7191" spans="4:4" x14ac:dyDescent="0.25">
      <c r="D7191"/>
    </row>
    <row r="7192" spans="4:4" x14ac:dyDescent="0.25">
      <c r="D7192"/>
    </row>
    <row r="7193" spans="4:4" x14ac:dyDescent="0.25">
      <c r="D7193"/>
    </row>
    <row r="7194" spans="4:4" x14ac:dyDescent="0.25">
      <c r="D7194"/>
    </row>
    <row r="7195" spans="4:4" x14ac:dyDescent="0.25">
      <c r="D7195"/>
    </row>
    <row r="7196" spans="4:4" x14ac:dyDescent="0.25">
      <c r="D7196"/>
    </row>
    <row r="7197" spans="4:4" x14ac:dyDescent="0.25">
      <c r="D7197"/>
    </row>
    <row r="7198" spans="4:4" x14ac:dyDescent="0.25">
      <c r="D7198"/>
    </row>
    <row r="7199" spans="4:4" x14ac:dyDescent="0.25">
      <c r="D7199"/>
    </row>
    <row r="7200" spans="4:4" x14ac:dyDescent="0.25">
      <c r="D7200"/>
    </row>
    <row r="7201" spans="4:4" x14ac:dyDescent="0.25">
      <c r="D7201"/>
    </row>
    <row r="7202" spans="4:4" x14ac:dyDescent="0.25">
      <c r="D7202"/>
    </row>
    <row r="7203" spans="4:4" x14ac:dyDescent="0.25">
      <c r="D7203"/>
    </row>
    <row r="7204" spans="4:4" x14ac:dyDescent="0.25">
      <c r="D7204"/>
    </row>
    <row r="7205" spans="4:4" x14ac:dyDescent="0.25">
      <c r="D7205"/>
    </row>
    <row r="7206" spans="4:4" x14ac:dyDescent="0.25">
      <c r="D7206"/>
    </row>
    <row r="7207" spans="4:4" x14ac:dyDescent="0.25">
      <c r="D7207"/>
    </row>
    <row r="7208" spans="4:4" x14ac:dyDescent="0.25">
      <c r="D7208"/>
    </row>
    <row r="7209" spans="4:4" x14ac:dyDescent="0.25">
      <c r="D7209"/>
    </row>
    <row r="7210" spans="4:4" x14ac:dyDescent="0.25">
      <c r="D7210"/>
    </row>
    <row r="7211" spans="4:4" x14ac:dyDescent="0.25">
      <c r="D7211"/>
    </row>
    <row r="7212" spans="4:4" x14ac:dyDescent="0.25">
      <c r="D7212"/>
    </row>
    <row r="7213" spans="4:4" x14ac:dyDescent="0.25">
      <c r="D7213"/>
    </row>
    <row r="7214" spans="4:4" x14ac:dyDescent="0.25">
      <c r="D7214"/>
    </row>
    <row r="7215" spans="4:4" x14ac:dyDescent="0.25">
      <c r="D7215"/>
    </row>
    <row r="7216" spans="4:4" x14ac:dyDescent="0.25">
      <c r="D7216"/>
    </row>
    <row r="7217" spans="4:4" x14ac:dyDescent="0.25">
      <c r="D7217"/>
    </row>
    <row r="7218" spans="4:4" x14ac:dyDescent="0.25">
      <c r="D7218"/>
    </row>
    <row r="7219" spans="4:4" x14ac:dyDescent="0.25">
      <c r="D7219"/>
    </row>
    <row r="7220" spans="4:4" x14ac:dyDescent="0.25">
      <c r="D7220"/>
    </row>
    <row r="7221" spans="4:4" x14ac:dyDescent="0.25">
      <c r="D7221"/>
    </row>
    <row r="7222" spans="4:4" x14ac:dyDescent="0.25">
      <c r="D7222"/>
    </row>
    <row r="7223" spans="4:4" x14ac:dyDescent="0.25">
      <c r="D7223"/>
    </row>
    <row r="7224" spans="4:4" x14ac:dyDescent="0.25">
      <c r="D7224"/>
    </row>
    <row r="7225" spans="4:4" x14ac:dyDescent="0.25">
      <c r="D7225"/>
    </row>
    <row r="7226" spans="4:4" x14ac:dyDescent="0.25">
      <c r="D7226"/>
    </row>
    <row r="7227" spans="4:4" x14ac:dyDescent="0.25">
      <c r="D7227"/>
    </row>
    <row r="7228" spans="4:4" x14ac:dyDescent="0.25">
      <c r="D7228"/>
    </row>
    <row r="7229" spans="4:4" x14ac:dyDescent="0.25">
      <c r="D7229"/>
    </row>
    <row r="7230" spans="4:4" x14ac:dyDescent="0.25">
      <c r="D7230"/>
    </row>
    <row r="7231" spans="4:4" x14ac:dyDescent="0.25">
      <c r="D7231"/>
    </row>
    <row r="7232" spans="4:4" x14ac:dyDescent="0.25">
      <c r="D7232"/>
    </row>
    <row r="7233" spans="4:4" x14ac:dyDescent="0.25">
      <c r="D7233"/>
    </row>
    <row r="7234" spans="4:4" x14ac:dyDescent="0.25">
      <c r="D7234"/>
    </row>
    <row r="7235" spans="4:4" x14ac:dyDescent="0.25">
      <c r="D7235"/>
    </row>
    <row r="7236" spans="4:4" x14ac:dyDescent="0.25">
      <c r="D7236"/>
    </row>
    <row r="7237" spans="4:4" x14ac:dyDescent="0.25">
      <c r="D7237"/>
    </row>
    <row r="7238" spans="4:4" x14ac:dyDescent="0.25">
      <c r="D7238"/>
    </row>
    <row r="7239" spans="4:4" x14ac:dyDescent="0.25">
      <c r="D7239"/>
    </row>
    <row r="7240" spans="4:4" x14ac:dyDescent="0.25">
      <c r="D7240"/>
    </row>
    <row r="7241" spans="4:4" x14ac:dyDescent="0.25">
      <c r="D7241"/>
    </row>
    <row r="7242" spans="4:4" x14ac:dyDescent="0.25">
      <c r="D7242"/>
    </row>
    <row r="7243" spans="4:4" x14ac:dyDescent="0.25">
      <c r="D7243"/>
    </row>
    <row r="7244" spans="4:4" x14ac:dyDescent="0.25">
      <c r="D7244"/>
    </row>
    <row r="7245" spans="4:4" x14ac:dyDescent="0.25">
      <c r="D7245"/>
    </row>
    <row r="7246" spans="4:4" x14ac:dyDescent="0.25">
      <c r="D7246"/>
    </row>
    <row r="7247" spans="4:4" x14ac:dyDescent="0.25">
      <c r="D7247"/>
    </row>
    <row r="7248" spans="4:4" x14ac:dyDescent="0.25">
      <c r="D7248"/>
    </row>
    <row r="7249" spans="4:4" x14ac:dyDescent="0.25">
      <c r="D7249"/>
    </row>
    <row r="7250" spans="4:4" x14ac:dyDescent="0.25">
      <c r="D7250"/>
    </row>
    <row r="7251" spans="4:4" x14ac:dyDescent="0.25">
      <c r="D7251"/>
    </row>
    <row r="7252" spans="4:4" x14ac:dyDescent="0.25">
      <c r="D7252"/>
    </row>
    <row r="7253" spans="4:4" x14ac:dyDescent="0.25">
      <c r="D7253"/>
    </row>
    <row r="7254" spans="4:4" x14ac:dyDescent="0.25">
      <c r="D7254"/>
    </row>
    <row r="7255" spans="4:4" x14ac:dyDescent="0.25">
      <c r="D7255"/>
    </row>
    <row r="7256" spans="4:4" x14ac:dyDescent="0.25">
      <c r="D7256"/>
    </row>
    <row r="7257" spans="4:4" x14ac:dyDescent="0.25">
      <c r="D7257"/>
    </row>
    <row r="7258" spans="4:4" x14ac:dyDescent="0.25">
      <c r="D7258"/>
    </row>
    <row r="7259" spans="4:4" x14ac:dyDescent="0.25">
      <c r="D7259"/>
    </row>
    <row r="7260" spans="4:4" x14ac:dyDescent="0.25">
      <c r="D7260"/>
    </row>
    <row r="7261" spans="4:4" x14ac:dyDescent="0.25">
      <c r="D7261"/>
    </row>
    <row r="7262" spans="4:4" x14ac:dyDescent="0.25">
      <c r="D7262"/>
    </row>
    <row r="7263" spans="4:4" x14ac:dyDescent="0.25">
      <c r="D7263"/>
    </row>
    <row r="7264" spans="4:4" x14ac:dyDescent="0.25">
      <c r="D7264"/>
    </row>
    <row r="7265" spans="4:4" x14ac:dyDescent="0.25">
      <c r="D7265"/>
    </row>
    <row r="7266" spans="4:4" x14ac:dyDescent="0.25">
      <c r="D7266"/>
    </row>
    <row r="7267" spans="4:4" x14ac:dyDescent="0.25">
      <c r="D7267"/>
    </row>
    <row r="7268" spans="4:4" x14ac:dyDescent="0.25">
      <c r="D7268"/>
    </row>
    <row r="7269" spans="4:4" x14ac:dyDescent="0.25">
      <c r="D7269"/>
    </row>
    <row r="7270" spans="4:4" x14ac:dyDescent="0.25">
      <c r="D7270"/>
    </row>
    <row r="7271" spans="4:4" x14ac:dyDescent="0.25">
      <c r="D7271"/>
    </row>
    <row r="7272" spans="4:4" x14ac:dyDescent="0.25">
      <c r="D7272"/>
    </row>
    <row r="7273" spans="4:4" x14ac:dyDescent="0.25">
      <c r="D7273"/>
    </row>
    <row r="7274" spans="4:4" x14ac:dyDescent="0.25">
      <c r="D7274"/>
    </row>
    <row r="7275" spans="4:4" x14ac:dyDescent="0.25">
      <c r="D7275"/>
    </row>
    <row r="7276" spans="4:4" x14ac:dyDescent="0.25">
      <c r="D7276"/>
    </row>
    <row r="7277" spans="4:4" x14ac:dyDescent="0.25">
      <c r="D7277"/>
    </row>
    <row r="7278" spans="4:4" x14ac:dyDescent="0.25">
      <c r="D7278"/>
    </row>
    <row r="7279" spans="4:4" x14ac:dyDescent="0.25">
      <c r="D7279"/>
    </row>
    <row r="7280" spans="4:4" x14ac:dyDescent="0.25">
      <c r="D7280"/>
    </row>
    <row r="7281" spans="4:4" x14ac:dyDescent="0.25">
      <c r="D7281"/>
    </row>
    <row r="7282" spans="4:4" x14ac:dyDescent="0.25">
      <c r="D7282"/>
    </row>
    <row r="7283" spans="4:4" x14ac:dyDescent="0.25">
      <c r="D7283"/>
    </row>
    <row r="7284" spans="4:4" x14ac:dyDescent="0.25">
      <c r="D7284"/>
    </row>
    <row r="7285" spans="4:4" x14ac:dyDescent="0.25">
      <c r="D7285"/>
    </row>
    <row r="7286" spans="4:4" x14ac:dyDescent="0.25">
      <c r="D7286"/>
    </row>
    <row r="7287" spans="4:4" x14ac:dyDescent="0.25">
      <c r="D7287"/>
    </row>
    <row r="7288" spans="4:4" x14ac:dyDescent="0.25">
      <c r="D7288"/>
    </row>
    <row r="7289" spans="4:4" x14ac:dyDescent="0.25">
      <c r="D7289"/>
    </row>
    <row r="7290" spans="4:4" x14ac:dyDescent="0.25">
      <c r="D7290"/>
    </row>
    <row r="7291" spans="4:4" x14ac:dyDescent="0.25">
      <c r="D7291"/>
    </row>
    <row r="7292" spans="4:4" x14ac:dyDescent="0.25">
      <c r="D7292"/>
    </row>
    <row r="7293" spans="4:4" x14ac:dyDescent="0.25">
      <c r="D7293"/>
    </row>
    <row r="7294" spans="4:4" x14ac:dyDescent="0.25">
      <c r="D7294"/>
    </row>
    <row r="7295" spans="4:4" x14ac:dyDescent="0.25">
      <c r="D7295"/>
    </row>
    <row r="7296" spans="4:4" x14ac:dyDescent="0.25">
      <c r="D7296"/>
    </row>
    <row r="7297" spans="4:4" x14ac:dyDescent="0.25">
      <c r="D7297"/>
    </row>
    <row r="7298" spans="4:4" x14ac:dyDescent="0.25">
      <c r="D7298"/>
    </row>
    <row r="7299" spans="4:4" x14ac:dyDescent="0.25">
      <c r="D7299"/>
    </row>
    <row r="7300" spans="4:4" x14ac:dyDescent="0.25">
      <c r="D7300"/>
    </row>
    <row r="7301" spans="4:4" x14ac:dyDescent="0.25">
      <c r="D7301"/>
    </row>
    <row r="7302" spans="4:4" x14ac:dyDescent="0.25">
      <c r="D7302"/>
    </row>
    <row r="7303" spans="4:4" x14ac:dyDescent="0.25">
      <c r="D7303"/>
    </row>
    <row r="7304" spans="4:4" x14ac:dyDescent="0.25">
      <c r="D7304"/>
    </row>
    <row r="7305" spans="4:4" x14ac:dyDescent="0.25">
      <c r="D7305"/>
    </row>
    <row r="7306" spans="4:4" x14ac:dyDescent="0.25">
      <c r="D7306"/>
    </row>
    <row r="7307" spans="4:4" x14ac:dyDescent="0.25">
      <c r="D7307"/>
    </row>
    <row r="7308" spans="4:4" x14ac:dyDescent="0.25">
      <c r="D7308"/>
    </row>
    <row r="7309" spans="4:4" x14ac:dyDescent="0.25">
      <c r="D7309"/>
    </row>
    <row r="7310" spans="4:4" x14ac:dyDescent="0.25">
      <c r="D7310"/>
    </row>
    <row r="7311" spans="4:4" x14ac:dyDescent="0.25">
      <c r="D7311"/>
    </row>
    <row r="7312" spans="4:4" x14ac:dyDescent="0.25">
      <c r="D7312"/>
    </row>
    <row r="7313" spans="4:4" x14ac:dyDescent="0.25">
      <c r="D7313"/>
    </row>
    <row r="7314" spans="4:4" x14ac:dyDescent="0.25">
      <c r="D7314"/>
    </row>
    <row r="7315" spans="4:4" x14ac:dyDescent="0.25">
      <c r="D7315"/>
    </row>
    <row r="7316" spans="4:4" x14ac:dyDescent="0.25">
      <c r="D7316"/>
    </row>
    <row r="7317" spans="4:4" x14ac:dyDescent="0.25">
      <c r="D7317"/>
    </row>
    <row r="7318" spans="4:4" x14ac:dyDescent="0.25">
      <c r="D7318"/>
    </row>
    <row r="7319" spans="4:4" x14ac:dyDescent="0.25">
      <c r="D7319"/>
    </row>
    <row r="7320" spans="4:4" x14ac:dyDescent="0.25">
      <c r="D7320"/>
    </row>
    <row r="7321" spans="4:4" x14ac:dyDescent="0.25">
      <c r="D7321"/>
    </row>
    <row r="7322" spans="4:4" x14ac:dyDescent="0.25">
      <c r="D7322"/>
    </row>
    <row r="7323" spans="4:4" x14ac:dyDescent="0.25">
      <c r="D7323"/>
    </row>
    <row r="7324" spans="4:4" x14ac:dyDescent="0.25">
      <c r="D7324"/>
    </row>
    <row r="7325" spans="4:4" x14ac:dyDescent="0.25">
      <c r="D7325"/>
    </row>
    <row r="7326" spans="4:4" x14ac:dyDescent="0.25">
      <c r="D7326"/>
    </row>
    <row r="7327" spans="4:4" x14ac:dyDescent="0.25">
      <c r="D7327"/>
    </row>
    <row r="7328" spans="4:4" x14ac:dyDescent="0.25">
      <c r="D7328"/>
    </row>
    <row r="7329" spans="4:4" x14ac:dyDescent="0.25">
      <c r="D7329"/>
    </row>
    <row r="7330" spans="4:4" x14ac:dyDescent="0.25">
      <c r="D7330"/>
    </row>
    <row r="7331" spans="4:4" x14ac:dyDescent="0.25">
      <c r="D7331"/>
    </row>
    <row r="7332" spans="4:4" x14ac:dyDescent="0.25">
      <c r="D7332"/>
    </row>
    <row r="7333" spans="4:4" x14ac:dyDescent="0.25">
      <c r="D7333"/>
    </row>
    <row r="7334" spans="4:4" x14ac:dyDescent="0.25">
      <c r="D7334"/>
    </row>
    <row r="7335" spans="4:4" x14ac:dyDescent="0.25">
      <c r="D7335"/>
    </row>
    <row r="7336" spans="4:4" x14ac:dyDescent="0.25">
      <c r="D7336"/>
    </row>
    <row r="7337" spans="4:4" x14ac:dyDescent="0.25">
      <c r="D7337"/>
    </row>
    <row r="7338" spans="4:4" x14ac:dyDescent="0.25">
      <c r="D7338"/>
    </row>
    <row r="7339" spans="4:4" x14ac:dyDescent="0.25">
      <c r="D7339"/>
    </row>
    <row r="7340" spans="4:4" x14ac:dyDescent="0.25">
      <c r="D7340"/>
    </row>
    <row r="7341" spans="4:4" x14ac:dyDescent="0.25">
      <c r="D7341"/>
    </row>
    <row r="7342" spans="4:4" x14ac:dyDescent="0.25">
      <c r="D7342"/>
    </row>
    <row r="7343" spans="4:4" x14ac:dyDescent="0.25">
      <c r="D7343"/>
    </row>
    <row r="7344" spans="4:4" x14ac:dyDescent="0.25">
      <c r="D7344"/>
    </row>
    <row r="7345" spans="4:4" x14ac:dyDescent="0.25">
      <c r="D7345"/>
    </row>
    <row r="7346" spans="4:4" x14ac:dyDescent="0.25">
      <c r="D7346"/>
    </row>
    <row r="7347" spans="4:4" x14ac:dyDescent="0.25">
      <c r="D7347"/>
    </row>
    <row r="7348" spans="4:4" x14ac:dyDescent="0.25">
      <c r="D7348"/>
    </row>
    <row r="7349" spans="4:4" x14ac:dyDescent="0.25">
      <c r="D7349"/>
    </row>
    <row r="7350" spans="4:4" x14ac:dyDescent="0.25">
      <c r="D7350"/>
    </row>
    <row r="7351" spans="4:4" x14ac:dyDescent="0.25">
      <c r="D7351"/>
    </row>
    <row r="7352" spans="4:4" x14ac:dyDescent="0.25">
      <c r="D7352"/>
    </row>
    <row r="7353" spans="4:4" x14ac:dyDescent="0.25">
      <c r="D7353"/>
    </row>
    <row r="7354" spans="4:4" x14ac:dyDescent="0.25">
      <c r="D7354"/>
    </row>
    <row r="7355" spans="4:4" x14ac:dyDescent="0.25">
      <c r="D7355"/>
    </row>
    <row r="7356" spans="4:4" x14ac:dyDescent="0.25">
      <c r="D7356"/>
    </row>
    <row r="7357" spans="4:4" x14ac:dyDescent="0.25">
      <c r="D7357"/>
    </row>
    <row r="7358" spans="4:4" x14ac:dyDescent="0.25">
      <c r="D7358"/>
    </row>
    <row r="7359" spans="4:4" x14ac:dyDescent="0.25">
      <c r="D7359"/>
    </row>
    <row r="7360" spans="4:4" x14ac:dyDescent="0.25">
      <c r="D7360"/>
    </row>
    <row r="7361" spans="4:4" x14ac:dyDescent="0.25">
      <c r="D7361"/>
    </row>
    <row r="7362" spans="4:4" x14ac:dyDescent="0.25">
      <c r="D7362"/>
    </row>
    <row r="7363" spans="4:4" x14ac:dyDescent="0.25">
      <c r="D7363"/>
    </row>
    <row r="7364" spans="4:4" x14ac:dyDescent="0.25">
      <c r="D7364"/>
    </row>
    <row r="7365" spans="4:4" x14ac:dyDescent="0.25">
      <c r="D7365"/>
    </row>
    <row r="7366" spans="4:4" x14ac:dyDescent="0.25">
      <c r="D7366"/>
    </row>
    <row r="7367" spans="4:4" x14ac:dyDescent="0.25">
      <c r="D7367"/>
    </row>
    <row r="7368" spans="4:4" x14ac:dyDescent="0.25">
      <c r="D7368"/>
    </row>
    <row r="7369" spans="4:4" x14ac:dyDescent="0.25">
      <c r="D7369"/>
    </row>
    <row r="7370" spans="4:4" x14ac:dyDescent="0.25">
      <c r="D7370"/>
    </row>
    <row r="7371" spans="4:4" x14ac:dyDescent="0.25">
      <c r="D7371"/>
    </row>
    <row r="7372" spans="4:4" x14ac:dyDescent="0.25">
      <c r="D7372"/>
    </row>
    <row r="7373" spans="4:4" x14ac:dyDescent="0.25">
      <c r="D7373"/>
    </row>
    <row r="7374" spans="4:4" x14ac:dyDescent="0.25">
      <c r="D7374"/>
    </row>
    <row r="7375" spans="4:4" x14ac:dyDescent="0.25">
      <c r="D7375"/>
    </row>
    <row r="7376" spans="4:4" x14ac:dyDescent="0.25">
      <c r="D7376"/>
    </row>
    <row r="7377" spans="4:4" x14ac:dyDescent="0.25">
      <c r="D7377"/>
    </row>
    <row r="7378" spans="4:4" x14ac:dyDescent="0.25">
      <c r="D7378"/>
    </row>
    <row r="7379" spans="4:4" x14ac:dyDescent="0.25">
      <c r="D7379"/>
    </row>
    <row r="7380" spans="4:4" x14ac:dyDescent="0.25">
      <c r="D7380"/>
    </row>
    <row r="7381" spans="4:4" x14ac:dyDescent="0.25">
      <c r="D7381"/>
    </row>
    <row r="7382" spans="4:4" x14ac:dyDescent="0.25">
      <c r="D7382"/>
    </row>
    <row r="7383" spans="4:4" x14ac:dyDescent="0.25">
      <c r="D7383"/>
    </row>
    <row r="7384" spans="4:4" x14ac:dyDescent="0.25">
      <c r="D7384"/>
    </row>
    <row r="7385" spans="4:4" x14ac:dyDescent="0.25">
      <c r="D7385"/>
    </row>
    <row r="7386" spans="4:4" x14ac:dyDescent="0.25">
      <c r="D7386"/>
    </row>
    <row r="7387" spans="4:4" x14ac:dyDescent="0.25">
      <c r="D7387"/>
    </row>
    <row r="7388" spans="4:4" x14ac:dyDescent="0.25">
      <c r="D7388"/>
    </row>
    <row r="7389" spans="4:4" x14ac:dyDescent="0.25">
      <c r="D7389"/>
    </row>
    <row r="7390" spans="4:4" x14ac:dyDescent="0.25">
      <c r="D7390"/>
    </row>
    <row r="7391" spans="4:4" x14ac:dyDescent="0.25">
      <c r="D7391"/>
    </row>
    <row r="7392" spans="4:4" x14ac:dyDescent="0.25">
      <c r="D7392"/>
    </row>
    <row r="7393" spans="4:4" x14ac:dyDescent="0.25">
      <c r="D7393"/>
    </row>
    <row r="7394" spans="4:4" x14ac:dyDescent="0.25">
      <c r="D7394"/>
    </row>
    <row r="7395" spans="4:4" x14ac:dyDescent="0.25">
      <c r="D7395"/>
    </row>
    <row r="7396" spans="4:4" x14ac:dyDescent="0.25">
      <c r="D7396"/>
    </row>
    <row r="7397" spans="4:4" x14ac:dyDescent="0.25">
      <c r="D7397"/>
    </row>
    <row r="7398" spans="4:4" x14ac:dyDescent="0.25">
      <c r="D7398"/>
    </row>
    <row r="7399" spans="4:4" x14ac:dyDescent="0.25">
      <c r="D7399"/>
    </row>
    <row r="7400" spans="4:4" x14ac:dyDescent="0.25">
      <c r="D7400"/>
    </row>
    <row r="7401" spans="4:4" x14ac:dyDescent="0.25">
      <c r="D7401"/>
    </row>
    <row r="7402" spans="4:4" x14ac:dyDescent="0.25">
      <c r="D7402"/>
    </row>
    <row r="7403" spans="4:4" x14ac:dyDescent="0.25">
      <c r="D7403"/>
    </row>
    <row r="7404" spans="4:4" x14ac:dyDescent="0.25">
      <c r="D7404"/>
    </row>
    <row r="7405" spans="4:4" x14ac:dyDescent="0.25">
      <c r="D7405"/>
    </row>
    <row r="7406" spans="4:4" x14ac:dyDescent="0.25">
      <c r="D7406"/>
    </row>
    <row r="7407" spans="4:4" x14ac:dyDescent="0.25">
      <c r="D7407"/>
    </row>
    <row r="7408" spans="4:4" x14ac:dyDescent="0.25">
      <c r="D7408"/>
    </row>
    <row r="7409" spans="4:4" x14ac:dyDescent="0.25">
      <c r="D7409"/>
    </row>
    <row r="7410" spans="4:4" x14ac:dyDescent="0.25">
      <c r="D7410"/>
    </row>
    <row r="7411" spans="4:4" x14ac:dyDescent="0.25">
      <c r="D7411"/>
    </row>
    <row r="7412" spans="4:4" x14ac:dyDescent="0.25">
      <c r="D7412"/>
    </row>
    <row r="7413" spans="4:4" x14ac:dyDescent="0.25">
      <c r="D7413"/>
    </row>
    <row r="7414" spans="4:4" x14ac:dyDescent="0.25">
      <c r="D7414"/>
    </row>
    <row r="7415" spans="4:4" x14ac:dyDescent="0.25">
      <c r="D7415"/>
    </row>
    <row r="7416" spans="4:4" x14ac:dyDescent="0.25">
      <c r="D7416"/>
    </row>
    <row r="7417" spans="4:4" x14ac:dyDescent="0.25">
      <c r="D7417"/>
    </row>
    <row r="7418" spans="4:4" x14ac:dyDescent="0.25">
      <c r="D7418"/>
    </row>
    <row r="7419" spans="4:4" x14ac:dyDescent="0.25">
      <c r="D7419"/>
    </row>
    <row r="7420" spans="4:4" x14ac:dyDescent="0.25">
      <c r="D7420"/>
    </row>
    <row r="7421" spans="4:4" x14ac:dyDescent="0.25">
      <c r="D7421"/>
    </row>
    <row r="7422" spans="4:4" x14ac:dyDescent="0.25">
      <c r="D7422"/>
    </row>
    <row r="7423" spans="4:4" x14ac:dyDescent="0.25">
      <c r="D7423"/>
    </row>
    <row r="7424" spans="4:4" x14ac:dyDescent="0.25">
      <c r="D7424"/>
    </row>
    <row r="7425" spans="4:4" x14ac:dyDescent="0.25">
      <c r="D7425"/>
    </row>
    <row r="7426" spans="4:4" x14ac:dyDescent="0.25">
      <c r="D7426"/>
    </row>
    <row r="7427" spans="4:4" x14ac:dyDescent="0.25">
      <c r="D7427"/>
    </row>
    <row r="7428" spans="4:4" x14ac:dyDescent="0.25">
      <c r="D7428"/>
    </row>
    <row r="7429" spans="4:4" x14ac:dyDescent="0.25">
      <c r="D7429"/>
    </row>
    <row r="7430" spans="4:4" x14ac:dyDescent="0.25">
      <c r="D7430"/>
    </row>
    <row r="7431" spans="4:4" x14ac:dyDescent="0.25">
      <c r="D7431"/>
    </row>
    <row r="7432" spans="4:4" x14ac:dyDescent="0.25">
      <c r="D7432"/>
    </row>
    <row r="7433" spans="4:4" x14ac:dyDescent="0.25">
      <c r="D7433"/>
    </row>
    <row r="7434" spans="4:4" x14ac:dyDescent="0.25">
      <c r="D7434"/>
    </row>
    <row r="7435" spans="4:4" x14ac:dyDescent="0.25">
      <c r="D7435"/>
    </row>
    <row r="7436" spans="4:4" x14ac:dyDescent="0.25">
      <c r="D7436"/>
    </row>
    <row r="7437" spans="4:4" x14ac:dyDescent="0.25">
      <c r="D7437"/>
    </row>
    <row r="7438" spans="4:4" x14ac:dyDescent="0.25">
      <c r="D7438"/>
    </row>
    <row r="7439" spans="4:4" x14ac:dyDescent="0.25">
      <c r="D7439"/>
    </row>
    <row r="7440" spans="4:4" x14ac:dyDescent="0.25">
      <c r="D7440"/>
    </row>
    <row r="7441" spans="4:4" x14ac:dyDescent="0.25">
      <c r="D7441"/>
    </row>
    <row r="7442" spans="4:4" x14ac:dyDescent="0.25">
      <c r="D7442"/>
    </row>
    <row r="7443" spans="4:4" x14ac:dyDescent="0.25">
      <c r="D7443"/>
    </row>
    <row r="7444" spans="4:4" x14ac:dyDescent="0.25">
      <c r="D7444"/>
    </row>
    <row r="7445" spans="4:4" x14ac:dyDescent="0.25">
      <c r="D7445"/>
    </row>
    <row r="7446" spans="4:4" x14ac:dyDescent="0.25">
      <c r="D7446"/>
    </row>
    <row r="7447" spans="4:4" x14ac:dyDescent="0.25">
      <c r="D7447"/>
    </row>
    <row r="7448" spans="4:4" x14ac:dyDescent="0.25">
      <c r="D7448"/>
    </row>
    <row r="7449" spans="4:4" x14ac:dyDescent="0.25">
      <c r="D7449"/>
    </row>
    <row r="7450" spans="4:4" x14ac:dyDescent="0.25">
      <c r="D7450"/>
    </row>
    <row r="7451" spans="4:4" x14ac:dyDescent="0.25">
      <c r="D7451"/>
    </row>
    <row r="7452" spans="4:4" x14ac:dyDescent="0.25">
      <c r="D7452"/>
    </row>
    <row r="7453" spans="4:4" x14ac:dyDescent="0.25">
      <c r="D7453"/>
    </row>
    <row r="7454" spans="4:4" x14ac:dyDescent="0.25">
      <c r="D7454"/>
    </row>
    <row r="7455" spans="4:4" x14ac:dyDescent="0.25">
      <c r="D7455"/>
    </row>
    <row r="7456" spans="4:4" x14ac:dyDescent="0.25">
      <c r="D7456"/>
    </row>
    <row r="7457" spans="4:4" x14ac:dyDescent="0.25">
      <c r="D7457"/>
    </row>
    <row r="7458" spans="4:4" x14ac:dyDescent="0.25">
      <c r="D7458"/>
    </row>
    <row r="7459" spans="4:4" x14ac:dyDescent="0.25">
      <c r="D7459"/>
    </row>
    <row r="7460" spans="4:4" x14ac:dyDescent="0.25">
      <c r="D7460"/>
    </row>
    <row r="7461" spans="4:4" x14ac:dyDescent="0.25">
      <c r="D7461"/>
    </row>
    <row r="7462" spans="4:4" x14ac:dyDescent="0.25">
      <c r="D7462"/>
    </row>
    <row r="7463" spans="4:4" x14ac:dyDescent="0.25">
      <c r="D7463"/>
    </row>
    <row r="7464" spans="4:4" x14ac:dyDescent="0.25">
      <c r="D7464"/>
    </row>
    <row r="7465" spans="4:4" x14ac:dyDescent="0.25">
      <c r="D7465"/>
    </row>
    <row r="7466" spans="4:4" x14ac:dyDescent="0.25">
      <c r="D7466"/>
    </row>
    <row r="7467" spans="4:4" x14ac:dyDescent="0.25">
      <c r="D7467"/>
    </row>
    <row r="7468" spans="4:4" x14ac:dyDescent="0.25">
      <c r="D7468"/>
    </row>
    <row r="7469" spans="4:4" x14ac:dyDescent="0.25">
      <c r="D7469"/>
    </row>
    <row r="7470" spans="4:4" x14ac:dyDescent="0.25">
      <c r="D7470"/>
    </row>
    <row r="7471" spans="4:4" x14ac:dyDescent="0.25">
      <c r="D7471"/>
    </row>
    <row r="7472" spans="4:4" x14ac:dyDescent="0.25">
      <c r="D7472"/>
    </row>
    <row r="7473" spans="4:4" x14ac:dyDescent="0.25">
      <c r="D7473"/>
    </row>
    <row r="7474" spans="4:4" x14ac:dyDescent="0.25">
      <c r="D7474"/>
    </row>
    <row r="7475" spans="4:4" x14ac:dyDescent="0.25">
      <c r="D7475"/>
    </row>
    <row r="7476" spans="4:4" x14ac:dyDescent="0.25">
      <c r="D7476"/>
    </row>
    <row r="7477" spans="4:4" x14ac:dyDescent="0.25">
      <c r="D7477"/>
    </row>
    <row r="7478" spans="4:4" x14ac:dyDescent="0.25">
      <c r="D7478"/>
    </row>
    <row r="7479" spans="4:4" x14ac:dyDescent="0.25">
      <c r="D7479"/>
    </row>
    <row r="7480" spans="4:4" x14ac:dyDescent="0.25">
      <c r="D7480"/>
    </row>
    <row r="7481" spans="4:4" x14ac:dyDescent="0.25">
      <c r="D7481"/>
    </row>
    <row r="7482" spans="4:4" x14ac:dyDescent="0.25">
      <c r="D7482"/>
    </row>
    <row r="7483" spans="4:4" x14ac:dyDescent="0.25">
      <c r="D7483"/>
    </row>
    <row r="7484" spans="4:4" x14ac:dyDescent="0.25">
      <c r="D7484"/>
    </row>
    <row r="7485" spans="4:4" x14ac:dyDescent="0.25">
      <c r="D7485"/>
    </row>
    <row r="7486" spans="4:4" x14ac:dyDescent="0.25">
      <c r="D7486"/>
    </row>
    <row r="7487" spans="4:4" x14ac:dyDescent="0.25">
      <c r="D7487"/>
    </row>
    <row r="7488" spans="4:4" x14ac:dyDescent="0.25">
      <c r="D7488"/>
    </row>
    <row r="7489" spans="4:4" x14ac:dyDescent="0.25">
      <c r="D7489"/>
    </row>
    <row r="7490" spans="4:4" x14ac:dyDescent="0.25">
      <c r="D7490"/>
    </row>
    <row r="7491" spans="4:4" x14ac:dyDescent="0.25">
      <c r="D7491"/>
    </row>
    <row r="7492" spans="4:4" x14ac:dyDescent="0.25">
      <c r="D7492"/>
    </row>
    <row r="7493" spans="4:4" x14ac:dyDescent="0.25">
      <c r="D7493"/>
    </row>
    <row r="7494" spans="4:4" x14ac:dyDescent="0.25">
      <c r="D7494"/>
    </row>
    <row r="7495" spans="4:4" x14ac:dyDescent="0.25">
      <c r="D7495"/>
    </row>
    <row r="7496" spans="4:4" x14ac:dyDescent="0.25">
      <c r="D7496"/>
    </row>
    <row r="7497" spans="4:4" x14ac:dyDescent="0.25">
      <c r="D7497"/>
    </row>
    <row r="7498" spans="4:4" x14ac:dyDescent="0.25">
      <c r="D7498"/>
    </row>
    <row r="7499" spans="4:4" x14ac:dyDescent="0.25">
      <c r="D7499"/>
    </row>
    <row r="7500" spans="4:4" x14ac:dyDescent="0.25">
      <c r="D7500"/>
    </row>
    <row r="7501" spans="4:4" x14ac:dyDescent="0.25">
      <c r="D7501"/>
    </row>
    <row r="7502" spans="4:4" x14ac:dyDescent="0.25">
      <c r="D7502"/>
    </row>
    <row r="7503" spans="4:4" x14ac:dyDescent="0.25">
      <c r="D7503"/>
    </row>
    <row r="7504" spans="4:4" x14ac:dyDescent="0.25">
      <c r="D7504"/>
    </row>
    <row r="7505" spans="4:4" x14ac:dyDescent="0.25">
      <c r="D7505"/>
    </row>
    <row r="7506" spans="4:4" x14ac:dyDescent="0.25">
      <c r="D7506"/>
    </row>
    <row r="7507" spans="4:4" x14ac:dyDescent="0.25">
      <c r="D7507"/>
    </row>
    <row r="7508" spans="4:4" x14ac:dyDescent="0.25">
      <c r="D7508"/>
    </row>
    <row r="7509" spans="4:4" x14ac:dyDescent="0.25">
      <c r="D7509"/>
    </row>
    <row r="7510" spans="4:4" x14ac:dyDescent="0.25">
      <c r="D7510"/>
    </row>
    <row r="7511" spans="4:4" x14ac:dyDescent="0.25">
      <c r="D7511"/>
    </row>
    <row r="7512" spans="4:4" x14ac:dyDescent="0.25">
      <c r="D7512"/>
    </row>
    <row r="7513" spans="4:4" x14ac:dyDescent="0.25">
      <c r="D7513"/>
    </row>
    <row r="7514" spans="4:4" x14ac:dyDescent="0.25">
      <c r="D7514"/>
    </row>
    <row r="7515" spans="4:4" x14ac:dyDescent="0.25">
      <c r="D7515"/>
    </row>
    <row r="7516" spans="4:4" x14ac:dyDescent="0.25">
      <c r="D7516"/>
    </row>
    <row r="7517" spans="4:4" x14ac:dyDescent="0.25">
      <c r="D7517"/>
    </row>
    <row r="7518" spans="4:4" x14ac:dyDescent="0.25">
      <c r="D7518"/>
    </row>
    <row r="7519" spans="4:4" x14ac:dyDescent="0.25">
      <c r="D7519"/>
    </row>
    <row r="7520" spans="4:4" x14ac:dyDescent="0.25">
      <c r="D7520"/>
    </row>
    <row r="7521" spans="4:4" x14ac:dyDescent="0.25">
      <c r="D7521"/>
    </row>
    <row r="7522" spans="4:4" x14ac:dyDescent="0.25">
      <c r="D7522"/>
    </row>
    <row r="7523" spans="4:4" x14ac:dyDescent="0.25">
      <c r="D7523"/>
    </row>
    <row r="7524" spans="4:4" x14ac:dyDescent="0.25">
      <c r="D7524"/>
    </row>
    <row r="7525" spans="4:4" x14ac:dyDescent="0.25">
      <c r="D7525"/>
    </row>
    <row r="7526" spans="4:4" x14ac:dyDescent="0.25">
      <c r="D7526"/>
    </row>
    <row r="7527" spans="4:4" x14ac:dyDescent="0.25">
      <c r="D7527"/>
    </row>
    <row r="7528" spans="4:4" x14ac:dyDescent="0.25">
      <c r="D7528"/>
    </row>
    <row r="7529" spans="4:4" x14ac:dyDescent="0.25">
      <c r="D7529"/>
    </row>
    <row r="7530" spans="4:4" x14ac:dyDescent="0.25">
      <c r="D7530"/>
    </row>
    <row r="7531" spans="4:4" x14ac:dyDescent="0.25">
      <c r="D7531"/>
    </row>
    <row r="7532" spans="4:4" x14ac:dyDescent="0.25">
      <c r="D7532"/>
    </row>
    <row r="7533" spans="4:4" x14ac:dyDescent="0.25">
      <c r="D7533"/>
    </row>
    <row r="7534" spans="4:4" x14ac:dyDescent="0.25">
      <c r="D7534"/>
    </row>
    <row r="7535" spans="4:4" x14ac:dyDescent="0.25">
      <c r="D7535"/>
    </row>
    <row r="7536" spans="4:4" x14ac:dyDescent="0.25">
      <c r="D7536"/>
    </row>
    <row r="7537" spans="4:4" x14ac:dyDescent="0.25">
      <c r="D7537"/>
    </row>
    <row r="7538" spans="4:4" x14ac:dyDescent="0.25">
      <c r="D7538"/>
    </row>
    <row r="7539" spans="4:4" x14ac:dyDescent="0.25">
      <c r="D7539"/>
    </row>
    <row r="7540" spans="4:4" x14ac:dyDescent="0.25">
      <c r="D7540"/>
    </row>
    <row r="7541" spans="4:4" x14ac:dyDescent="0.25">
      <c r="D7541"/>
    </row>
    <row r="7542" spans="4:4" x14ac:dyDescent="0.25">
      <c r="D7542"/>
    </row>
    <row r="7543" spans="4:4" x14ac:dyDescent="0.25">
      <c r="D7543"/>
    </row>
    <row r="7544" spans="4:4" x14ac:dyDescent="0.25">
      <c r="D7544"/>
    </row>
    <row r="7545" spans="4:4" x14ac:dyDescent="0.25">
      <c r="D7545"/>
    </row>
    <row r="7546" spans="4:4" x14ac:dyDescent="0.25">
      <c r="D7546"/>
    </row>
    <row r="7547" spans="4:4" x14ac:dyDescent="0.25">
      <c r="D7547"/>
    </row>
    <row r="7548" spans="4:4" x14ac:dyDescent="0.25">
      <c r="D7548"/>
    </row>
    <row r="7549" spans="4:4" x14ac:dyDescent="0.25">
      <c r="D7549"/>
    </row>
    <row r="7550" spans="4:4" x14ac:dyDescent="0.25">
      <c r="D7550"/>
    </row>
    <row r="7551" spans="4:4" x14ac:dyDescent="0.25">
      <c r="D7551"/>
    </row>
    <row r="7552" spans="4:4" x14ac:dyDescent="0.25">
      <c r="D7552"/>
    </row>
    <row r="7553" spans="4:4" x14ac:dyDescent="0.25">
      <c r="D7553"/>
    </row>
    <row r="7554" spans="4:4" x14ac:dyDescent="0.25">
      <c r="D7554"/>
    </row>
    <row r="7555" spans="4:4" x14ac:dyDescent="0.25">
      <c r="D7555"/>
    </row>
    <row r="7556" spans="4:4" x14ac:dyDescent="0.25">
      <c r="D7556"/>
    </row>
    <row r="7557" spans="4:4" x14ac:dyDescent="0.25">
      <c r="D7557"/>
    </row>
    <row r="7558" spans="4:4" x14ac:dyDescent="0.25">
      <c r="D7558"/>
    </row>
    <row r="7559" spans="4:4" x14ac:dyDescent="0.25">
      <c r="D7559"/>
    </row>
    <row r="7560" spans="4:4" x14ac:dyDescent="0.25">
      <c r="D7560"/>
    </row>
    <row r="7561" spans="4:4" x14ac:dyDescent="0.25">
      <c r="D7561"/>
    </row>
    <row r="7562" spans="4:4" x14ac:dyDescent="0.25">
      <c r="D7562"/>
    </row>
    <row r="7563" spans="4:4" x14ac:dyDescent="0.25">
      <c r="D7563"/>
    </row>
    <row r="7564" spans="4:4" x14ac:dyDescent="0.25">
      <c r="D7564"/>
    </row>
    <row r="7565" spans="4:4" x14ac:dyDescent="0.25">
      <c r="D7565"/>
    </row>
    <row r="7566" spans="4:4" x14ac:dyDescent="0.25">
      <c r="D7566"/>
    </row>
    <row r="7567" spans="4:4" x14ac:dyDescent="0.25">
      <c r="D7567"/>
    </row>
    <row r="7568" spans="4:4" x14ac:dyDescent="0.25">
      <c r="D7568"/>
    </row>
    <row r="7569" spans="4:4" x14ac:dyDescent="0.25">
      <c r="D7569"/>
    </row>
    <row r="7570" spans="4:4" x14ac:dyDescent="0.25">
      <c r="D7570"/>
    </row>
    <row r="7571" spans="4:4" x14ac:dyDescent="0.25">
      <c r="D7571"/>
    </row>
    <row r="7572" spans="4:4" x14ac:dyDescent="0.25">
      <c r="D7572"/>
    </row>
    <row r="7573" spans="4:4" x14ac:dyDescent="0.25">
      <c r="D7573"/>
    </row>
    <row r="7574" spans="4:4" x14ac:dyDescent="0.25">
      <c r="D7574"/>
    </row>
    <row r="7575" spans="4:4" x14ac:dyDescent="0.25">
      <c r="D7575"/>
    </row>
    <row r="7576" spans="4:4" x14ac:dyDescent="0.25">
      <c r="D7576"/>
    </row>
    <row r="7577" spans="4:4" x14ac:dyDescent="0.25">
      <c r="D7577"/>
    </row>
    <row r="7578" spans="4:4" x14ac:dyDescent="0.25">
      <c r="D7578"/>
    </row>
    <row r="7579" spans="4:4" x14ac:dyDescent="0.25">
      <c r="D7579"/>
    </row>
    <row r="7580" spans="4:4" x14ac:dyDescent="0.25">
      <c r="D7580"/>
    </row>
    <row r="7581" spans="4:4" x14ac:dyDescent="0.25">
      <c r="D7581"/>
    </row>
    <row r="7582" spans="4:4" x14ac:dyDescent="0.25">
      <c r="D7582"/>
    </row>
    <row r="7583" spans="4:4" x14ac:dyDescent="0.25">
      <c r="D7583"/>
    </row>
    <row r="7584" spans="4:4" x14ac:dyDescent="0.25">
      <c r="D7584"/>
    </row>
    <row r="7585" spans="4:4" x14ac:dyDescent="0.25">
      <c r="D7585"/>
    </row>
    <row r="7586" spans="4:4" x14ac:dyDescent="0.25">
      <c r="D7586"/>
    </row>
    <row r="7587" spans="4:4" x14ac:dyDescent="0.25">
      <c r="D7587"/>
    </row>
    <row r="7588" spans="4:4" x14ac:dyDescent="0.25">
      <c r="D7588"/>
    </row>
    <row r="7589" spans="4:4" x14ac:dyDescent="0.25">
      <c r="D7589"/>
    </row>
    <row r="7590" spans="4:4" x14ac:dyDescent="0.25">
      <c r="D7590"/>
    </row>
    <row r="7591" spans="4:4" x14ac:dyDescent="0.25">
      <c r="D7591"/>
    </row>
    <row r="7592" spans="4:4" x14ac:dyDescent="0.25">
      <c r="D7592"/>
    </row>
    <row r="7593" spans="4:4" x14ac:dyDescent="0.25">
      <c r="D7593"/>
    </row>
    <row r="7594" spans="4:4" x14ac:dyDescent="0.25">
      <c r="D7594"/>
    </row>
    <row r="7595" spans="4:4" x14ac:dyDescent="0.25">
      <c r="D7595"/>
    </row>
    <row r="7596" spans="4:4" x14ac:dyDescent="0.25">
      <c r="D7596"/>
    </row>
    <row r="7597" spans="4:4" x14ac:dyDescent="0.25">
      <c r="D7597"/>
    </row>
    <row r="7598" spans="4:4" x14ac:dyDescent="0.25">
      <c r="D7598"/>
    </row>
    <row r="7599" spans="4:4" x14ac:dyDescent="0.25">
      <c r="D7599"/>
    </row>
    <row r="7600" spans="4:4" x14ac:dyDescent="0.25">
      <c r="D7600"/>
    </row>
    <row r="7601" spans="4:4" x14ac:dyDescent="0.25">
      <c r="D7601"/>
    </row>
    <row r="7602" spans="4:4" x14ac:dyDescent="0.25">
      <c r="D7602"/>
    </row>
    <row r="7603" spans="4:4" x14ac:dyDescent="0.25">
      <c r="D7603"/>
    </row>
    <row r="7604" spans="4:4" x14ac:dyDescent="0.25">
      <c r="D7604"/>
    </row>
    <row r="7605" spans="4:4" x14ac:dyDescent="0.25">
      <c r="D7605"/>
    </row>
    <row r="7606" spans="4:4" x14ac:dyDescent="0.25">
      <c r="D7606"/>
    </row>
    <row r="7607" spans="4:4" x14ac:dyDescent="0.25">
      <c r="D7607"/>
    </row>
    <row r="7608" spans="4:4" x14ac:dyDescent="0.25">
      <c r="D7608"/>
    </row>
    <row r="7609" spans="4:4" x14ac:dyDescent="0.25">
      <c r="D7609"/>
    </row>
    <row r="7610" spans="4:4" x14ac:dyDescent="0.25">
      <c r="D7610"/>
    </row>
    <row r="7611" spans="4:4" x14ac:dyDescent="0.25">
      <c r="D7611"/>
    </row>
    <row r="7612" spans="4:4" x14ac:dyDescent="0.25">
      <c r="D7612"/>
    </row>
    <row r="7613" spans="4:4" x14ac:dyDescent="0.25">
      <c r="D7613"/>
    </row>
    <row r="7614" spans="4:4" x14ac:dyDescent="0.25">
      <c r="D7614"/>
    </row>
    <row r="7615" spans="4:4" x14ac:dyDescent="0.25">
      <c r="D7615"/>
    </row>
    <row r="7616" spans="4:4" x14ac:dyDescent="0.25">
      <c r="D7616"/>
    </row>
    <row r="7617" spans="4:4" x14ac:dyDescent="0.25">
      <c r="D7617"/>
    </row>
    <row r="7618" spans="4:4" x14ac:dyDescent="0.25">
      <c r="D7618"/>
    </row>
    <row r="7619" spans="4:4" x14ac:dyDescent="0.25">
      <c r="D7619"/>
    </row>
    <row r="7620" spans="4:4" x14ac:dyDescent="0.25">
      <c r="D7620"/>
    </row>
    <row r="7621" spans="4:4" x14ac:dyDescent="0.25">
      <c r="D7621"/>
    </row>
    <row r="7622" spans="4:4" x14ac:dyDescent="0.25">
      <c r="D7622"/>
    </row>
    <row r="7623" spans="4:4" x14ac:dyDescent="0.25">
      <c r="D7623"/>
    </row>
    <row r="7624" spans="4:4" x14ac:dyDescent="0.25">
      <c r="D7624"/>
    </row>
    <row r="7625" spans="4:4" x14ac:dyDescent="0.25">
      <c r="D7625"/>
    </row>
    <row r="7626" spans="4:4" x14ac:dyDescent="0.25">
      <c r="D7626"/>
    </row>
    <row r="7627" spans="4:4" x14ac:dyDescent="0.25">
      <c r="D7627"/>
    </row>
    <row r="7628" spans="4:4" x14ac:dyDescent="0.25">
      <c r="D7628"/>
    </row>
    <row r="7629" spans="4:4" x14ac:dyDescent="0.25">
      <c r="D7629"/>
    </row>
    <row r="7630" spans="4:4" x14ac:dyDescent="0.25">
      <c r="D7630"/>
    </row>
    <row r="7631" spans="4:4" x14ac:dyDescent="0.25">
      <c r="D7631"/>
    </row>
    <row r="7632" spans="4:4" x14ac:dyDescent="0.25">
      <c r="D7632"/>
    </row>
    <row r="7633" spans="4:4" x14ac:dyDescent="0.25">
      <c r="D7633"/>
    </row>
    <row r="7634" spans="4:4" x14ac:dyDescent="0.25">
      <c r="D7634"/>
    </row>
    <row r="7635" spans="4:4" x14ac:dyDescent="0.25">
      <c r="D7635"/>
    </row>
    <row r="7636" spans="4:4" x14ac:dyDescent="0.25">
      <c r="D7636"/>
    </row>
    <row r="7637" spans="4:4" x14ac:dyDescent="0.25">
      <c r="D7637"/>
    </row>
    <row r="7638" spans="4:4" x14ac:dyDescent="0.25">
      <c r="D7638"/>
    </row>
    <row r="7639" spans="4:4" x14ac:dyDescent="0.25">
      <c r="D7639"/>
    </row>
    <row r="7640" spans="4:4" x14ac:dyDescent="0.25">
      <c r="D7640"/>
    </row>
    <row r="7641" spans="4:4" x14ac:dyDescent="0.25">
      <c r="D7641"/>
    </row>
    <row r="7642" spans="4:4" x14ac:dyDescent="0.25">
      <c r="D7642"/>
    </row>
    <row r="7643" spans="4:4" x14ac:dyDescent="0.25">
      <c r="D7643"/>
    </row>
    <row r="7644" spans="4:4" x14ac:dyDescent="0.25">
      <c r="D7644"/>
    </row>
    <row r="7645" spans="4:4" x14ac:dyDescent="0.25">
      <c r="D7645"/>
    </row>
    <row r="7646" spans="4:4" x14ac:dyDescent="0.25">
      <c r="D7646"/>
    </row>
    <row r="7647" spans="4:4" x14ac:dyDescent="0.25">
      <c r="D7647"/>
    </row>
    <row r="7648" spans="4:4" x14ac:dyDescent="0.25">
      <c r="D7648"/>
    </row>
    <row r="7649" spans="4:4" x14ac:dyDescent="0.25">
      <c r="D7649"/>
    </row>
    <row r="7650" spans="4:4" x14ac:dyDescent="0.25">
      <c r="D7650"/>
    </row>
    <row r="7651" spans="4:4" x14ac:dyDescent="0.25">
      <c r="D7651"/>
    </row>
    <row r="7652" spans="4:4" x14ac:dyDescent="0.25">
      <c r="D7652"/>
    </row>
    <row r="7653" spans="4:4" x14ac:dyDescent="0.25">
      <c r="D7653"/>
    </row>
    <row r="7654" spans="4:4" x14ac:dyDescent="0.25">
      <c r="D7654"/>
    </row>
    <row r="7655" spans="4:4" x14ac:dyDescent="0.25">
      <c r="D7655"/>
    </row>
    <row r="7656" spans="4:4" x14ac:dyDescent="0.25">
      <c r="D7656"/>
    </row>
    <row r="7657" spans="4:4" x14ac:dyDescent="0.25">
      <c r="D7657"/>
    </row>
    <row r="7658" spans="4:4" x14ac:dyDescent="0.25">
      <c r="D7658"/>
    </row>
    <row r="7659" spans="4:4" x14ac:dyDescent="0.25">
      <c r="D7659"/>
    </row>
    <row r="7660" spans="4:4" x14ac:dyDescent="0.25">
      <c r="D7660"/>
    </row>
    <row r="7661" spans="4:4" x14ac:dyDescent="0.25">
      <c r="D7661"/>
    </row>
    <row r="7662" spans="4:4" x14ac:dyDescent="0.25">
      <c r="D7662"/>
    </row>
    <row r="7663" spans="4:4" x14ac:dyDescent="0.25">
      <c r="D7663"/>
    </row>
    <row r="7664" spans="4:4" x14ac:dyDescent="0.25">
      <c r="D7664"/>
    </row>
    <row r="7665" spans="4:4" x14ac:dyDescent="0.25">
      <c r="D7665"/>
    </row>
    <row r="7666" spans="4:4" x14ac:dyDescent="0.25">
      <c r="D7666"/>
    </row>
    <row r="7667" spans="4:4" x14ac:dyDescent="0.25">
      <c r="D7667"/>
    </row>
    <row r="7668" spans="4:4" x14ac:dyDescent="0.25">
      <c r="D7668"/>
    </row>
    <row r="7669" spans="4:4" x14ac:dyDescent="0.25">
      <c r="D7669"/>
    </row>
    <row r="7670" spans="4:4" x14ac:dyDescent="0.25">
      <c r="D7670"/>
    </row>
    <row r="7671" spans="4:4" x14ac:dyDescent="0.25">
      <c r="D7671"/>
    </row>
    <row r="7672" spans="4:4" x14ac:dyDescent="0.25">
      <c r="D7672"/>
    </row>
    <row r="7673" spans="4:4" x14ac:dyDescent="0.25">
      <c r="D7673"/>
    </row>
    <row r="7674" spans="4:4" x14ac:dyDescent="0.25">
      <c r="D7674"/>
    </row>
    <row r="7675" spans="4:4" x14ac:dyDescent="0.25">
      <c r="D7675"/>
    </row>
    <row r="7676" spans="4:4" x14ac:dyDescent="0.25">
      <c r="D7676"/>
    </row>
    <row r="7677" spans="4:4" x14ac:dyDescent="0.25">
      <c r="D7677"/>
    </row>
    <row r="7678" spans="4:4" x14ac:dyDescent="0.25">
      <c r="D7678"/>
    </row>
    <row r="7679" spans="4:4" x14ac:dyDescent="0.25">
      <c r="D7679"/>
    </row>
    <row r="7680" spans="4:4" x14ac:dyDescent="0.25">
      <c r="D7680"/>
    </row>
    <row r="7681" spans="4:4" x14ac:dyDescent="0.25">
      <c r="D7681"/>
    </row>
    <row r="7682" spans="4:4" x14ac:dyDescent="0.25">
      <c r="D7682"/>
    </row>
    <row r="7683" spans="4:4" x14ac:dyDescent="0.25">
      <c r="D7683"/>
    </row>
    <row r="7684" spans="4:4" x14ac:dyDescent="0.25">
      <c r="D7684"/>
    </row>
    <row r="7685" spans="4:4" x14ac:dyDescent="0.25">
      <c r="D7685"/>
    </row>
    <row r="7686" spans="4:4" x14ac:dyDescent="0.25">
      <c r="D7686"/>
    </row>
    <row r="7687" spans="4:4" x14ac:dyDescent="0.25">
      <c r="D7687"/>
    </row>
    <row r="7688" spans="4:4" x14ac:dyDescent="0.25">
      <c r="D7688"/>
    </row>
    <row r="7689" spans="4:4" x14ac:dyDescent="0.25">
      <c r="D7689"/>
    </row>
    <row r="7690" spans="4:4" x14ac:dyDescent="0.25">
      <c r="D7690"/>
    </row>
    <row r="7691" spans="4:4" x14ac:dyDescent="0.25">
      <c r="D7691"/>
    </row>
    <row r="7692" spans="4:4" x14ac:dyDescent="0.25">
      <c r="D7692"/>
    </row>
    <row r="7693" spans="4:4" x14ac:dyDescent="0.25">
      <c r="D7693"/>
    </row>
    <row r="7694" spans="4:4" x14ac:dyDescent="0.25">
      <c r="D7694"/>
    </row>
    <row r="7695" spans="4:4" x14ac:dyDescent="0.25">
      <c r="D7695"/>
    </row>
    <row r="7696" spans="4:4" x14ac:dyDescent="0.25">
      <c r="D7696"/>
    </row>
    <row r="7697" spans="4:4" x14ac:dyDescent="0.25">
      <c r="D7697"/>
    </row>
    <row r="7698" spans="4:4" x14ac:dyDescent="0.25">
      <c r="D7698"/>
    </row>
    <row r="7699" spans="4:4" x14ac:dyDescent="0.25">
      <c r="D7699"/>
    </row>
    <row r="7700" spans="4:4" x14ac:dyDescent="0.25">
      <c r="D7700"/>
    </row>
    <row r="7701" spans="4:4" x14ac:dyDescent="0.25">
      <c r="D7701"/>
    </row>
    <row r="7702" spans="4:4" x14ac:dyDescent="0.25">
      <c r="D7702"/>
    </row>
    <row r="7703" spans="4:4" x14ac:dyDescent="0.25">
      <c r="D7703"/>
    </row>
    <row r="7704" spans="4:4" x14ac:dyDescent="0.25">
      <c r="D7704"/>
    </row>
    <row r="7705" spans="4:4" x14ac:dyDescent="0.25">
      <c r="D7705"/>
    </row>
    <row r="7706" spans="4:4" x14ac:dyDescent="0.25">
      <c r="D7706"/>
    </row>
    <row r="7707" spans="4:4" x14ac:dyDescent="0.25">
      <c r="D7707"/>
    </row>
    <row r="7708" spans="4:4" x14ac:dyDescent="0.25">
      <c r="D7708"/>
    </row>
    <row r="7709" spans="4:4" x14ac:dyDescent="0.25">
      <c r="D7709"/>
    </row>
    <row r="7710" spans="4:4" x14ac:dyDescent="0.25">
      <c r="D7710"/>
    </row>
    <row r="7711" spans="4:4" x14ac:dyDescent="0.25">
      <c r="D7711"/>
    </row>
    <row r="7712" spans="4:4" x14ac:dyDescent="0.25">
      <c r="D7712"/>
    </row>
    <row r="7713" spans="4:4" x14ac:dyDescent="0.25">
      <c r="D7713"/>
    </row>
    <row r="7714" spans="4:4" x14ac:dyDescent="0.25">
      <c r="D7714"/>
    </row>
    <row r="7715" spans="4:4" x14ac:dyDescent="0.25">
      <c r="D7715"/>
    </row>
    <row r="7716" spans="4:4" x14ac:dyDescent="0.25">
      <c r="D7716"/>
    </row>
    <row r="7717" spans="4:4" x14ac:dyDescent="0.25">
      <c r="D7717"/>
    </row>
    <row r="7718" spans="4:4" x14ac:dyDescent="0.25">
      <c r="D7718"/>
    </row>
    <row r="7719" spans="4:4" x14ac:dyDescent="0.25">
      <c r="D7719"/>
    </row>
    <row r="7720" spans="4:4" x14ac:dyDescent="0.25">
      <c r="D7720"/>
    </row>
    <row r="7721" spans="4:4" x14ac:dyDescent="0.25">
      <c r="D7721"/>
    </row>
    <row r="7722" spans="4:4" x14ac:dyDescent="0.25">
      <c r="D7722"/>
    </row>
    <row r="7723" spans="4:4" x14ac:dyDescent="0.25">
      <c r="D7723"/>
    </row>
    <row r="7724" spans="4:4" x14ac:dyDescent="0.25">
      <c r="D7724"/>
    </row>
    <row r="7725" spans="4:4" x14ac:dyDescent="0.25">
      <c r="D7725"/>
    </row>
    <row r="7726" spans="4:4" x14ac:dyDescent="0.25">
      <c r="D7726"/>
    </row>
    <row r="7727" spans="4:4" x14ac:dyDescent="0.25">
      <c r="D7727"/>
    </row>
    <row r="7728" spans="4:4" x14ac:dyDescent="0.25">
      <c r="D7728"/>
    </row>
    <row r="7729" spans="4:4" x14ac:dyDescent="0.25">
      <c r="D7729"/>
    </row>
    <row r="7730" spans="4:4" x14ac:dyDescent="0.25">
      <c r="D7730"/>
    </row>
    <row r="7731" spans="4:4" x14ac:dyDescent="0.25">
      <c r="D7731"/>
    </row>
    <row r="7732" spans="4:4" x14ac:dyDescent="0.25">
      <c r="D7732"/>
    </row>
    <row r="7733" spans="4:4" x14ac:dyDescent="0.25">
      <c r="D7733"/>
    </row>
    <row r="7734" spans="4:4" x14ac:dyDescent="0.25">
      <c r="D7734"/>
    </row>
    <row r="7735" spans="4:4" x14ac:dyDescent="0.25">
      <c r="D7735"/>
    </row>
    <row r="7736" spans="4:4" x14ac:dyDescent="0.25">
      <c r="D7736"/>
    </row>
    <row r="7737" spans="4:4" x14ac:dyDescent="0.25">
      <c r="D7737"/>
    </row>
    <row r="7738" spans="4:4" x14ac:dyDescent="0.25">
      <c r="D7738"/>
    </row>
    <row r="7739" spans="4:4" x14ac:dyDescent="0.25">
      <c r="D7739"/>
    </row>
    <row r="7740" spans="4:4" x14ac:dyDescent="0.25">
      <c r="D7740"/>
    </row>
    <row r="7741" spans="4:4" x14ac:dyDescent="0.25">
      <c r="D7741"/>
    </row>
    <row r="7742" spans="4:4" x14ac:dyDescent="0.25">
      <c r="D7742"/>
    </row>
    <row r="7743" spans="4:4" x14ac:dyDescent="0.25">
      <c r="D7743"/>
    </row>
    <row r="7744" spans="4:4" x14ac:dyDescent="0.25">
      <c r="D7744"/>
    </row>
    <row r="7745" spans="4:4" x14ac:dyDescent="0.25">
      <c r="D7745"/>
    </row>
    <row r="7746" spans="4:4" x14ac:dyDescent="0.25">
      <c r="D7746"/>
    </row>
    <row r="7747" spans="4:4" x14ac:dyDescent="0.25">
      <c r="D7747"/>
    </row>
    <row r="7748" spans="4:4" x14ac:dyDescent="0.25">
      <c r="D7748"/>
    </row>
    <row r="7749" spans="4:4" x14ac:dyDescent="0.25">
      <c r="D7749"/>
    </row>
    <row r="7750" spans="4:4" x14ac:dyDescent="0.25">
      <c r="D7750"/>
    </row>
    <row r="7751" spans="4:4" x14ac:dyDescent="0.25">
      <c r="D7751"/>
    </row>
    <row r="7752" spans="4:4" x14ac:dyDescent="0.25">
      <c r="D7752"/>
    </row>
    <row r="7753" spans="4:4" x14ac:dyDescent="0.25">
      <c r="D7753"/>
    </row>
    <row r="7754" spans="4:4" x14ac:dyDescent="0.25">
      <c r="D7754"/>
    </row>
    <row r="7755" spans="4:4" x14ac:dyDescent="0.25">
      <c r="D7755"/>
    </row>
    <row r="7756" spans="4:4" x14ac:dyDescent="0.25">
      <c r="D7756"/>
    </row>
    <row r="7757" spans="4:4" x14ac:dyDescent="0.25">
      <c r="D7757"/>
    </row>
    <row r="7758" spans="4:4" x14ac:dyDescent="0.25">
      <c r="D7758"/>
    </row>
    <row r="7759" spans="4:4" x14ac:dyDescent="0.25">
      <c r="D7759"/>
    </row>
    <row r="7760" spans="4:4" x14ac:dyDescent="0.25">
      <c r="D7760"/>
    </row>
    <row r="7761" spans="4:4" x14ac:dyDescent="0.25">
      <c r="D7761"/>
    </row>
    <row r="7762" spans="4:4" x14ac:dyDescent="0.25">
      <c r="D7762"/>
    </row>
    <row r="7763" spans="4:4" x14ac:dyDescent="0.25">
      <c r="D7763"/>
    </row>
    <row r="7764" spans="4:4" x14ac:dyDescent="0.25">
      <c r="D7764"/>
    </row>
    <row r="7765" spans="4:4" x14ac:dyDescent="0.25">
      <c r="D7765"/>
    </row>
    <row r="7766" spans="4:4" x14ac:dyDescent="0.25">
      <c r="D7766"/>
    </row>
    <row r="7767" spans="4:4" x14ac:dyDescent="0.25">
      <c r="D7767"/>
    </row>
    <row r="7768" spans="4:4" x14ac:dyDescent="0.25">
      <c r="D7768"/>
    </row>
    <row r="7769" spans="4:4" x14ac:dyDescent="0.25">
      <c r="D7769"/>
    </row>
    <row r="7770" spans="4:4" x14ac:dyDescent="0.25">
      <c r="D7770"/>
    </row>
    <row r="7771" spans="4:4" x14ac:dyDescent="0.25">
      <c r="D7771"/>
    </row>
    <row r="7772" spans="4:4" x14ac:dyDescent="0.25">
      <c r="D7772"/>
    </row>
    <row r="7773" spans="4:4" x14ac:dyDescent="0.25">
      <c r="D7773"/>
    </row>
    <row r="7774" spans="4:4" x14ac:dyDescent="0.25">
      <c r="D7774"/>
    </row>
    <row r="7775" spans="4:4" x14ac:dyDescent="0.25">
      <c r="D7775"/>
    </row>
    <row r="7776" spans="4:4" x14ac:dyDescent="0.25">
      <c r="D7776"/>
    </row>
    <row r="7777" spans="4:4" x14ac:dyDescent="0.25">
      <c r="D7777"/>
    </row>
    <row r="7778" spans="4:4" x14ac:dyDescent="0.25">
      <c r="D7778"/>
    </row>
    <row r="7779" spans="4:4" x14ac:dyDescent="0.25">
      <c r="D7779"/>
    </row>
    <row r="7780" spans="4:4" x14ac:dyDescent="0.25">
      <c r="D7780"/>
    </row>
    <row r="7781" spans="4:4" x14ac:dyDescent="0.25">
      <c r="D7781"/>
    </row>
    <row r="7782" spans="4:4" x14ac:dyDescent="0.25">
      <c r="D7782"/>
    </row>
    <row r="7783" spans="4:4" x14ac:dyDescent="0.25">
      <c r="D7783"/>
    </row>
    <row r="7784" spans="4:4" x14ac:dyDescent="0.25">
      <c r="D7784"/>
    </row>
    <row r="7785" spans="4:4" x14ac:dyDescent="0.25">
      <c r="D7785"/>
    </row>
    <row r="7786" spans="4:4" x14ac:dyDescent="0.25">
      <c r="D7786"/>
    </row>
    <row r="7787" spans="4:4" x14ac:dyDescent="0.25">
      <c r="D7787"/>
    </row>
    <row r="7788" spans="4:4" x14ac:dyDescent="0.25">
      <c r="D7788"/>
    </row>
    <row r="7789" spans="4:4" x14ac:dyDescent="0.25">
      <c r="D7789"/>
    </row>
    <row r="7790" spans="4:4" x14ac:dyDescent="0.25">
      <c r="D7790"/>
    </row>
    <row r="7791" spans="4:4" x14ac:dyDescent="0.25">
      <c r="D7791"/>
    </row>
    <row r="7792" spans="4:4" x14ac:dyDescent="0.25">
      <c r="D7792"/>
    </row>
    <row r="7793" spans="4:4" x14ac:dyDescent="0.25">
      <c r="D7793"/>
    </row>
    <row r="7794" spans="4:4" x14ac:dyDescent="0.25">
      <c r="D7794"/>
    </row>
    <row r="7795" spans="4:4" x14ac:dyDescent="0.25">
      <c r="D7795"/>
    </row>
    <row r="7796" spans="4:4" x14ac:dyDescent="0.25">
      <c r="D7796"/>
    </row>
    <row r="7797" spans="4:4" x14ac:dyDescent="0.25">
      <c r="D7797"/>
    </row>
    <row r="7798" spans="4:4" x14ac:dyDescent="0.25">
      <c r="D7798"/>
    </row>
    <row r="7799" spans="4:4" x14ac:dyDescent="0.25">
      <c r="D7799"/>
    </row>
    <row r="7800" spans="4:4" x14ac:dyDescent="0.25">
      <c r="D7800"/>
    </row>
    <row r="7801" spans="4:4" x14ac:dyDescent="0.25">
      <c r="D7801"/>
    </row>
    <row r="7802" spans="4:4" x14ac:dyDescent="0.25">
      <c r="D7802"/>
    </row>
    <row r="7803" spans="4:4" x14ac:dyDescent="0.25">
      <c r="D7803"/>
    </row>
    <row r="7804" spans="4:4" x14ac:dyDescent="0.25">
      <c r="D7804"/>
    </row>
    <row r="7805" spans="4:4" x14ac:dyDescent="0.25">
      <c r="D7805"/>
    </row>
    <row r="7806" spans="4:4" x14ac:dyDescent="0.25">
      <c r="D7806"/>
    </row>
    <row r="7807" spans="4:4" x14ac:dyDescent="0.25">
      <c r="D7807"/>
    </row>
    <row r="7808" spans="4:4" x14ac:dyDescent="0.25">
      <c r="D7808"/>
    </row>
    <row r="7809" spans="4:4" x14ac:dyDescent="0.25">
      <c r="D7809"/>
    </row>
    <row r="7810" spans="4:4" x14ac:dyDescent="0.25">
      <c r="D7810"/>
    </row>
    <row r="7811" spans="4:4" x14ac:dyDescent="0.25">
      <c r="D7811"/>
    </row>
    <row r="7812" spans="4:4" x14ac:dyDescent="0.25">
      <c r="D7812"/>
    </row>
    <row r="7813" spans="4:4" x14ac:dyDescent="0.25">
      <c r="D7813"/>
    </row>
    <row r="7814" spans="4:4" x14ac:dyDescent="0.25">
      <c r="D7814"/>
    </row>
    <row r="7815" spans="4:4" x14ac:dyDescent="0.25">
      <c r="D7815"/>
    </row>
    <row r="7816" spans="4:4" x14ac:dyDescent="0.25">
      <c r="D7816"/>
    </row>
    <row r="7817" spans="4:4" x14ac:dyDescent="0.25">
      <c r="D7817"/>
    </row>
    <row r="7818" spans="4:4" x14ac:dyDescent="0.25">
      <c r="D7818"/>
    </row>
    <row r="7819" spans="4:4" x14ac:dyDescent="0.25">
      <c r="D7819"/>
    </row>
    <row r="7820" spans="4:4" x14ac:dyDescent="0.25">
      <c r="D7820"/>
    </row>
    <row r="7821" spans="4:4" x14ac:dyDescent="0.25">
      <c r="D7821"/>
    </row>
    <row r="7822" spans="4:4" x14ac:dyDescent="0.25">
      <c r="D7822"/>
    </row>
    <row r="7823" spans="4:4" x14ac:dyDescent="0.25">
      <c r="D7823"/>
    </row>
    <row r="7824" spans="4:4" x14ac:dyDescent="0.25">
      <c r="D7824"/>
    </row>
    <row r="7825" spans="4:4" x14ac:dyDescent="0.25">
      <c r="D7825"/>
    </row>
    <row r="7826" spans="4:4" x14ac:dyDescent="0.25">
      <c r="D7826"/>
    </row>
    <row r="7827" spans="4:4" x14ac:dyDescent="0.25">
      <c r="D7827"/>
    </row>
    <row r="7828" spans="4:4" x14ac:dyDescent="0.25">
      <c r="D7828"/>
    </row>
    <row r="7829" spans="4:4" x14ac:dyDescent="0.25">
      <c r="D7829"/>
    </row>
    <row r="7830" spans="4:4" x14ac:dyDescent="0.25">
      <c r="D7830"/>
    </row>
    <row r="7831" spans="4:4" x14ac:dyDescent="0.25">
      <c r="D7831"/>
    </row>
    <row r="7832" spans="4:4" x14ac:dyDescent="0.25">
      <c r="D7832"/>
    </row>
    <row r="7833" spans="4:4" x14ac:dyDescent="0.25">
      <c r="D7833"/>
    </row>
    <row r="7834" spans="4:4" x14ac:dyDescent="0.25">
      <c r="D7834"/>
    </row>
    <row r="7835" spans="4:4" x14ac:dyDescent="0.25">
      <c r="D7835"/>
    </row>
    <row r="7836" spans="4:4" x14ac:dyDescent="0.25">
      <c r="D7836"/>
    </row>
    <row r="7837" spans="4:4" x14ac:dyDescent="0.25">
      <c r="D7837"/>
    </row>
    <row r="7838" spans="4:4" x14ac:dyDescent="0.25">
      <c r="D7838"/>
    </row>
    <row r="7839" spans="4:4" x14ac:dyDescent="0.25">
      <c r="D7839"/>
    </row>
    <row r="7840" spans="4:4" x14ac:dyDescent="0.25">
      <c r="D7840"/>
    </row>
    <row r="7841" spans="4:4" x14ac:dyDescent="0.25">
      <c r="D7841"/>
    </row>
    <row r="7842" spans="4:4" x14ac:dyDescent="0.25">
      <c r="D7842"/>
    </row>
    <row r="7843" spans="4:4" x14ac:dyDescent="0.25">
      <c r="D7843"/>
    </row>
    <row r="7844" spans="4:4" x14ac:dyDescent="0.25">
      <c r="D7844"/>
    </row>
    <row r="7845" spans="4:4" x14ac:dyDescent="0.25">
      <c r="D7845"/>
    </row>
    <row r="7846" spans="4:4" x14ac:dyDescent="0.25">
      <c r="D7846"/>
    </row>
    <row r="7847" spans="4:4" x14ac:dyDescent="0.25">
      <c r="D7847"/>
    </row>
    <row r="7848" spans="4:4" x14ac:dyDescent="0.25">
      <c r="D7848"/>
    </row>
    <row r="7849" spans="4:4" x14ac:dyDescent="0.25">
      <c r="D7849"/>
    </row>
    <row r="7850" spans="4:4" x14ac:dyDescent="0.25">
      <c r="D7850"/>
    </row>
    <row r="7851" spans="4:4" x14ac:dyDescent="0.25">
      <c r="D7851"/>
    </row>
    <row r="7852" spans="4:4" x14ac:dyDescent="0.25">
      <c r="D7852"/>
    </row>
    <row r="7853" spans="4:4" x14ac:dyDescent="0.25">
      <c r="D7853"/>
    </row>
    <row r="7854" spans="4:4" x14ac:dyDescent="0.25">
      <c r="D7854"/>
    </row>
    <row r="7855" spans="4:4" x14ac:dyDescent="0.25">
      <c r="D7855"/>
    </row>
    <row r="7856" spans="4:4" x14ac:dyDescent="0.25">
      <c r="D7856"/>
    </row>
    <row r="7857" spans="4:4" x14ac:dyDescent="0.25">
      <c r="D7857"/>
    </row>
    <row r="7858" spans="4:4" x14ac:dyDescent="0.25">
      <c r="D7858"/>
    </row>
    <row r="7859" spans="4:4" x14ac:dyDescent="0.25">
      <c r="D7859"/>
    </row>
    <row r="7860" spans="4:4" x14ac:dyDescent="0.25">
      <c r="D7860"/>
    </row>
    <row r="7861" spans="4:4" x14ac:dyDescent="0.25">
      <c r="D7861"/>
    </row>
    <row r="7862" spans="4:4" x14ac:dyDescent="0.25">
      <c r="D7862"/>
    </row>
    <row r="7863" spans="4:4" x14ac:dyDescent="0.25">
      <c r="D7863"/>
    </row>
    <row r="7864" spans="4:4" x14ac:dyDescent="0.25">
      <c r="D7864"/>
    </row>
    <row r="7865" spans="4:4" x14ac:dyDescent="0.25">
      <c r="D7865"/>
    </row>
    <row r="7866" spans="4:4" x14ac:dyDescent="0.25">
      <c r="D7866"/>
    </row>
    <row r="7867" spans="4:4" x14ac:dyDescent="0.25">
      <c r="D7867"/>
    </row>
    <row r="7868" spans="4:4" x14ac:dyDescent="0.25">
      <c r="D7868"/>
    </row>
    <row r="7869" spans="4:4" x14ac:dyDescent="0.25">
      <c r="D7869"/>
    </row>
    <row r="7870" spans="4:4" x14ac:dyDescent="0.25">
      <c r="D7870"/>
    </row>
    <row r="7871" spans="4:4" x14ac:dyDescent="0.25">
      <c r="D7871"/>
    </row>
    <row r="7872" spans="4:4" x14ac:dyDescent="0.25">
      <c r="D7872"/>
    </row>
    <row r="7873" spans="4:4" x14ac:dyDescent="0.25">
      <c r="D7873"/>
    </row>
    <row r="7874" spans="4:4" x14ac:dyDescent="0.25">
      <c r="D7874"/>
    </row>
    <row r="7875" spans="4:4" x14ac:dyDescent="0.25">
      <c r="D7875"/>
    </row>
    <row r="7876" spans="4:4" x14ac:dyDescent="0.25">
      <c r="D7876"/>
    </row>
    <row r="7877" spans="4:4" x14ac:dyDescent="0.25">
      <c r="D7877"/>
    </row>
    <row r="7878" spans="4:4" x14ac:dyDescent="0.25">
      <c r="D7878"/>
    </row>
    <row r="7879" spans="4:4" x14ac:dyDescent="0.25">
      <c r="D7879"/>
    </row>
    <row r="7880" spans="4:4" x14ac:dyDescent="0.25">
      <c r="D7880"/>
    </row>
    <row r="7881" spans="4:4" x14ac:dyDescent="0.25">
      <c r="D7881"/>
    </row>
    <row r="7882" spans="4:4" x14ac:dyDescent="0.25">
      <c r="D7882"/>
    </row>
    <row r="7883" spans="4:4" x14ac:dyDescent="0.25">
      <c r="D7883"/>
    </row>
    <row r="7884" spans="4:4" x14ac:dyDescent="0.25">
      <c r="D7884"/>
    </row>
    <row r="7885" spans="4:4" x14ac:dyDescent="0.25">
      <c r="D7885"/>
    </row>
    <row r="7886" spans="4:4" x14ac:dyDescent="0.25">
      <c r="D7886"/>
    </row>
    <row r="7887" spans="4:4" x14ac:dyDescent="0.25">
      <c r="D7887"/>
    </row>
    <row r="7888" spans="4:4" x14ac:dyDescent="0.25">
      <c r="D7888"/>
    </row>
    <row r="7889" spans="4:4" x14ac:dyDescent="0.25">
      <c r="D7889"/>
    </row>
    <row r="7890" spans="4:4" x14ac:dyDescent="0.25">
      <c r="D7890"/>
    </row>
    <row r="7891" spans="4:4" x14ac:dyDescent="0.25">
      <c r="D7891"/>
    </row>
    <row r="7892" spans="4:4" x14ac:dyDescent="0.25">
      <c r="D7892"/>
    </row>
    <row r="7893" spans="4:4" x14ac:dyDescent="0.25">
      <c r="D7893"/>
    </row>
    <row r="7894" spans="4:4" x14ac:dyDescent="0.25">
      <c r="D7894"/>
    </row>
    <row r="7895" spans="4:4" x14ac:dyDescent="0.25">
      <c r="D7895"/>
    </row>
    <row r="7896" spans="4:4" x14ac:dyDescent="0.25">
      <c r="D7896"/>
    </row>
    <row r="7897" spans="4:4" x14ac:dyDescent="0.25">
      <c r="D7897"/>
    </row>
    <row r="7898" spans="4:4" x14ac:dyDescent="0.25">
      <c r="D7898"/>
    </row>
    <row r="7899" spans="4:4" x14ac:dyDescent="0.25">
      <c r="D7899"/>
    </row>
    <row r="7900" spans="4:4" x14ac:dyDescent="0.25">
      <c r="D7900"/>
    </row>
    <row r="7901" spans="4:4" x14ac:dyDescent="0.25">
      <c r="D7901"/>
    </row>
    <row r="7902" spans="4:4" x14ac:dyDescent="0.25">
      <c r="D7902"/>
    </row>
    <row r="7903" spans="4:4" x14ac:dyDescent="0.25">
      <c r="D7903"/>
    </row>
    <row r="7904" spans="4:4" x14ac:dyDescent="0.25">
      <c r="D7904"/>
    </row>
    <row r="7905" spans="4:4" x14ac:dyDescent="0.25">
      <c r="D7905"/>
    </row>
    <row r="7906" spans="4:4" x14ac:dyDescent="0.25">
      <c r="D7906"/>
    </row>
    <row r="7907" spans="4:4" x14ac:dyDescent="0.25">
      <c r="D7907"/>
    </row>
    <row r="7908" spans="4:4" x14ac:dyDescent="0.25">
      <c r="D7908"/>
    </row>
    <row r="7909" spans="4:4" x14ac:dyDescent="0.25">
      <c r="D7909"/>
    </row>
    <row r="7910" spans="4:4" x14ac:dyDescent="0.25">
      <c r="D7910"/>
    </row>
    <row r="7911" spans="4:4" x14ac:dyDescent="0.25">
      <c r="D7911"/>
    </row>
    <row r="7912" spans="4:4" x14ac:dyDescent="0.25">
      <c r="D7912"/>
    </row>
    <row r="7913" spans="4:4" x14ac:dyDescent="0.25">
      <c r="D7913"/>
    </row>
    <row r="7914" spans="4:4" x14ac:dyDescent="0.25">
      <c r="D7914"/>
    </row>
    <row r="7915" spans="4:4" x14ac:dyDescent="0.25">
      <c r="D7915"/>
    </row>
    <row r="7916" spans="4:4" x14ac:dyDescent="0.25">
      <c r="D7916"/>
    </row>
    <row r="7917" spans="4:4" x14ac:dyDescent="0.25">
      <c r="D7917"/>
    </row>
    <row r="7918" spans="4:4" x14ac:dyDescent="0.25">
      <c r="D7918"/>
    </row>
    <row r="7919" spans="4:4" x14ac:dyDescent="0.25">
      <c r="D7919"/>
    </row>
    <row r="7920" spans="4:4" x14ac:dyDescent="0.25">
      <c r="D7920"/>
    </row>
    <row r="7921" spans="4:4" x14ac:dyDescent="0.25">
      <c r="D7921"/>
    </row>
    <row r="7922" spans="4:4" x14ac:dyDescent="0.25">
      <c r="D7922"/>
    </row>
    <row r="7923" spans="4:4" x14ac:dyDescent="0.25">
      <c r="D7923"/>
    </row>
    <row r="7924" spans="4:4" x14ac:dyDescent="0.25">
      <c r="D7924"/>
    </row>
    <row r="7925" spans="4:4" x14ac:dyDescent="0.25">
      <c r="D7925"/>
    </row>
    <row r="7926" spans="4:4" x14ac:dyDescent="0.25">
      <c r="D7926"/>
    </row>
    <row r="7927" spans="4:4" x14ac:dyDescent="0.25">
      <c r="D7927"/>
    </row>
    <row r="7928" spans="4:4" x14ac:dyDescent="0.25">
      <c r="D7928"/>
    </row>
    <row r="7929" spans="4:4" x14ac:dyDescent="0.25">
      <c r="D7929"/>
    </row>
    <row r="7930" spans="4:4" x14ac:dyDescent="0.25">
      <c r="D7930"/>
    </row>
    <row r="7931" spans="4:4" x14ac:dyDescent="0.25">
      <c r="D7931"/>
    </row>
    <row r="7932" spans="4:4" x14ac:dyDescent="0.25">
      <c r="D7932"/>
    </row>
    <row r="7933" spans="4:4" x14ac:dyDescent="0.25">
      <c r="D7933"/>
    </row>
    <row r="7934" spans="4:4" x14ac:dyDescent="0.25">
      <c r="D7934"/>
    </row>
    <row r="7935" spans="4:4" x14ac:dyDescent="0.25">
      <c r="D7935"/>
    </row>
    <row r="7936" spans="4:4" x14ac:dyDescent="0.25">
      <c r="D7936"/>
    </row>
    <row r="7937" spans="4:4" x14ac:dyDescent="0.25">
      <c r="D7937"/>
    </row>
    <row r="7938" spans="4:4" x14ac:dyDescent="0.25">
      <c r="D7938"/>
    </row>
    <row r="7939" spans="4:4" x14ac:dyDescent="0.25">
      <c r="D7939"/>
    </row>
    <row r="7940" spans="4:4" x14ac:dyDescent="0.25">
      <c r="D7940"/>
    </row>
    <row r="7941" spans="4:4" x14ac:dyDescent="0.25">
      <c r="D7941"/>
    </row>
    <row r="7942" spans="4:4" x14ac:dyDescent="0.25">
      <c r="D7942"/>
    </row>
    <row r="7943" spans="4:4" x14ac:dyDescent="0.25">
      <c r="D7943"/>
    </row>
    <row r="7944" spans="4:4" x14ac:dyDescent="0.25">
      <c r="D7944"/>
    </row>
    <row r="7945" spans="4:4" x14ac:dyDescent="0.25">
      <c r="D7945"/>
    </row>
    <row r="7946" spans="4:4" x14ac:dyDescent="0.25">
      <c r="D7946"/>
    </row>
    <row r="7947" spans="4:4" x14ac:dyDescent="0.25">
      <c r="D7947"/>
    </row>
    <row r="7948" spans="4:4" x14ac:dyDescent="0.25">
      <c r="D7948"/>
    </row>
    <row r="7949" spans="4:4" x14ac:dyDescent="0.25">
      <c r="D7949"/>
    </row>
    <row r="7950" spans="4:4" x14ac:dyDescent="0.25">
      <c r="D7950"/>
    </row>
    <row r="7951" spans="4:4" x14ac:dyDescent="0.25">
      <c r="D7951"/>
    </row>
    <row r="7952" spans="4:4" x14ac:dyDescent="0.25">
      <c r="D7952"/>
    </row>
    <row r="7953" spans="4:4" x14ac:dyDescent="0.25">
      <c r="D7953"/>
    </row>
    <row r="7954" spans="4:4" x14ac:dyDescent="0.25">
      <c r="D7954"/>
    </row>
    <row r="7955" spans="4:4" x14ac:dyDescent="0.25">
      <c r="D7955"/>
    </row>
    <row r="7956" spans="4:4" x14ac:dyDescent="0.25">
      <c r="D7956"/>
    </row>
    <row r="7957" spans="4:4" x14ac:dyDescent="0.25">
      <c r="D7957"/>
    </row>
    <row r="7958" spans="4:4" x14ac:dyDescent="0.25">
      <c r="D7958"/>
    </row>
    <row r="7959" spans="4:4" x14ac:dyDescent="0.25">
      <c r="D7959"/>
    </row>
    <row r="7960" spans="4:4" x14ac:dyDescent="0.25">
      <c r="D7960"/>
    </row>
    <row r="7961" spans="4:4" x14ac:dyDescent="0.25">
      <c r="D7961"/>
    </row>
    <row r="7962" spans="4:4" x14ac:dyDescent="0.25">
      <c r="D7962"/>
    </row>
    <row r="7963" spans="4:4" x14ac:dyDescent="0.25">
      <c r="D7963"/>
    </row>
    <row r="7964" spans="4:4" x14ac:dyDescent="0.25">
      <c r="D7964"/>
    </row>
    <row r="7965" spans="4:4" x14ac:dyDescent="0.25">
      <c r="D7965"/>
    </row>
    <row r="7966" spans="4:4" x14ac:dyDescent="0.25">
      <c r="D7966"/>
    </row>
    <row r="7967" spans="4:4" x14ac:dyDescent="0.25">
      <c r="D7967"/>
    </row>
    <row r="7968" spans="4:4" x14ac:dyDescent="0.25">
      <c r="D7968"/>
    </row>
    <row r="7969" spans="4:4" x14ac:dyDescent="0.25">
      <c r="D7969"/>
    </row>
    <row r="7970" spans="4:4" x14ac:dyDescent="0.25">
      <c r="D7970"/>
    </row>
    <row r="7971" spans="4:4" x14ac:dyDescent="0.25">
      <c r="D7971"/>
    </row>
    <row r="7972" spans="4:4" x14ac:dyDescent="0.25">
      <c r="D7972"/>
    </row>
    <row r="7973" spans="4:4" x14ac:dyDescent="0.25">
      <c r="D7973"/>
    </row>
    <row r="7974" spans="4:4" x14ac:dyDescent="0.25">
      <c r="D7974"/>
    </row>
    <row r="7975" spans="4:4" x14ac:dyDescent="0.25">
      <c r="D7975"/>
    </row>
    <row r="7976" spans="4:4" x14ac:dyDescent="0.25">
      <c r="D7976"/>
    </row>
    <row r="7977" spans="4:4" x14ac:dyDescent="0.25">
      <c r="D7977"/>
    </row>
    <row r="7978" spans="4:4" x14ac:dyDescent="0.25">
      <c r="D7978"/>
    </row>
    <row r="7979" spans="4:4" x14ac:dyDescent="0.25">
      <c r="D7979"/>
    </row>
    <row r="7980" spans="4:4" x14ac:dyDescent="0.25">
      <c r="D7980"/>
    </row>
    <row r="7981" spans="4:4" x14ac:dyDescent="0.25">
      <c r="D7981"/>
    </row>
    <row r="7982" spans="4:4" x14ac:dyDescent="0.25">
      <c r="D7982"/>
    </row>
    <row r="7983" spans="4:4" x14ac:dyDescent="0.25">
      <c r="D7983"/>
    </row>
    <row r="7984" spans="4:4" x14ac:dyDescent="0.25">
      <c r="D7984"/>
    </row>
    <row r="7985" spans="4:4" x14ac:dyDescent="0.25">
      <c r="D7985"/>
    </row>
    <row r="7986" spans="4:4" x14ac:dyDescent="0.25">
      <c r="D7986"/>
    </row>
    <row r="7987" spans="4:4" x14ac:dyDescent="0.25">
      <c r="D7987"/>
    </row>
    <row r="7988" spans="4:4" x14ac:dyDescent="0.25">
      <c r="D7988"/>
    </row>
    <row r="7989" spans="4:4" x14ac:dyDescent="0.25">
      <c r="D7989"/>
    </row>
    <row r="7990" spans="4:4" x14ac:dyDescent="0.25">
      <c r="D7990"/>
    </row>
    <row r="7991" spans="4:4" x14ac:dyDescent="0.25">
      <c r="D7991"/>
    </row>
    <row r="7992" spans="4:4" x14ac:dyDescent="0.25">
      <c r="D7992"/>
    </row>
    <row r="7993" spans="4:4" x14ac:dyDescent="0.25">
      <c r="D7993"/>
    </row>
    <row r="7994" spans="4:4" x14ac:dyDescent="0.25">
      <c r="D7994"/>
    </row>
    <row r="7995" spans="4:4" x14ac:dyDescent="0.25">
      <c r="D7995"/>
    </row>
    <row r="7996" spans="4:4" x14ac:dyDescent="0.25">
      <c r="D7996"/>
    </row>
    <row r="7997" spans="4:4" x14ac:dyDescent="0.25">
      <c r="D7997"/>
    </row>
    <row r="7998" spans="4:4" x14ac:dyDescent="0.25">
      <c r="D7998"/>
    </row>
    <row r="7999" spans="4:4" x14ac:dyDescent="0.25">
      <c r="D7999"/>
    </row>
    <row r="8000" spans="4:4" x14ac:dyDescent="0.25">
      <c r="D8000"/>
    </row>
    <row r="8001" spans="4:4" x14ac:dyDescent="0.25">
      <c r="D8001"/>
    </row>
    <row r="8002" spans="4:4" x14ac:dyDescent="0.25">
      <c r="D8002"/>
    </row>
    <row r="8003" spans="4:4" x14ac:dyDescent="0.25">
      <c r="D8003"/>
    </row>
    <row r="8004" spans="4:4" x14ac:dyDescent="0.25">
      <c r="D8004"/>
    </row>
    <row r="8005" spans="4:4" x14ac:dyDescent="0.25">
      <c r="D8005"/>
    </row>
    <row r="8006" spans="4:4" x14ac:dyDescent="0.25">
      <c r="D8006"/>
    </row>
    <row r="8007" spans="4:4" x14ac:dyDescent="0.25">
      <c r="D8007"/>
    </row>
    <row r="8008" spans="4:4" x14ac:dyDescent="0.25">
      <c r="D8008"/>
    </row>
    <row r="8009" spans="4:4" x14ac:dyDescent="0.25">
      <c r="D8009"/>
    </row>
    <row r="8010" spans="4:4" x14ac:dyDescent="0.25">
      <c r="D8010"/>
    </row>
    <row r="8011" spans="4:4" x14ac:dyDescent="0.25">
      <c r="D8011"/>
    </row>
    <row r="8012" spans="4:4" x14ac:dyDescent="0.25">
      <c r="D8012"/>
    </row>
    <row r="8013" spans="4:4" x14ac:dyDescent="0.25">
      <c r="D8013"/>
    </row>
    <row r="8014" spans="4:4" x14ac:dyDescent="0.25">
      <c r="D8014"/>
    </row>
    <row r="8015" spans="4:4" x14ac:dyDescent="0.25">
      <c r="D8015"/>
    </row>
    <row r="8016" spans="4:4" x14ac:dyDescent="0.25">
      <c r="D8016"/>
    </row>
    <row r="8017" spans="4:4" x14ac:dyDescent="0.25">
      <c r="D8017"/>
    </row>
    <row r="8018" spans="4:4" x14ac:dyDescent="0.25">
      <c r="D8018"/>
    </row>
    <row r="8019" spans="4:4" x14ac:dyDescent="0.25">
      <c r="D8019"/>
    </row>
    <row r="8020" spans="4:4" x14ac:dyDescent="0.25">
      <c r="D8020"/>
    </row>
    <row r="8021" spans="4:4" x14ac:dyDescent="0.25">
      <c r="D8021"/>
    </row>
    <row r="8022" spans="4:4" x14ac:dyDescent="0.25">
      <c r="D8022"/>
    </row>
    <row r="8023" spans="4:4" x14ac:dyDescent="0.25">
      <c r="D8023"/>
    </row>
    <row r="8024" spans="4:4" x14ac:dyDescent="0.25">
      <c r="D8024"/>
    </row>
    <row r="8025" spans="4:4" x14ac:dyDescent="0.25">
      <c r="D8025"/>
    </row>
    <row r="8026" spans="4:4" x14ac:dyDescent="0.25">
      <c r="D8026"/>
    </row>
    <row r="8027" spans="4:4" x14ac:dyDescent="0.25">
      <c r="D8027"/>
    </row>
    <row r="8028" spans="4:4" x14ac:dyDescent="0.25">
      <c r="D8028"/>
    </row>
    <row r="8029" spans="4:4" x14ac:dyDescent="0.25">
      <c r="D8029"/>
    </row>
    <row r="8030" spans="4:4" x14ac:dyDescent="0.25">
      <c r="D8030"/>
    </row>
    <row r="8031" spans="4:4" x14ac:dyDescent="0.25">
      <c r="D8031"/>
    </row>
    <row r="8032" spans="4:4" x14ac:dyDescent="0.25">
      <c r="D8032"/>
    </row>
    <row r="8033" spans="4:4" x14ac:dyDescent="0.25">
      <c r="D8033"/>
    </row>
    <row r="8034" spans="4:4" x14ac:dyDescent="0.25">
      <c r="D8034"/>
    </row>
    <row r="8035" spans="4:4" x14ac:dyDescent="0.25">
      <c r="D8035"/>
    </row>
    <row r="8036" spans="4:4" x14ac:dyDescent="0.25">
      <c r="D8036"/>
    </row>
    <row r="8037" spans="4:4" x14ac:dyDescent="0.25">
      <c r="D8037"/>
    </row>
    <row r="8038" spans="4:4" x14ac:dyDescent="0.25">
      <c r="D8038"/>
    </row>
    <row r="8039" spans="4:4" x14ac:dyDescent="0.25">
      <c r="D8039"/>
    </row>
    <row r="8040" spans="4:4" x14ac:dyDescent="0.25">
      <c r="D8040"/>
    </row>
    <row r="8041" spans="4:4" x14ac:dyDescent="0.25">
      <c r="D8041"/>
    </row>
    <row r="8042" spans="4:4" x14ac:dyDescent="0.25">
      <c r="D8042"/>
    </row>
    <row r="8043" spans="4:4" x14ac:dyDescent="0.25">
      <c r="D8043"/>
    </row>
    <row r="8044" spans="4:4" x14ac:dyDescent="0.25">
      <c r="D8044"/>
    </row>
    <row r="8045" spans="4:4" x14ac:dyDescent="0.25">
      <c r="D8045"/>
    </row>
    <row r="8046" spans="4:4" x14ac:dyDescent="0.25">
      <c r="D8046"/>
    </row>
    <row r="8047" spans="4:4" x14ac:dyDescent="0.25">
      <c r="D8047"/>
    </row>
    <row r="8048" spans="4:4" x14ac:dyDescent="0.25">
      <c r="D8048"/>
    </row>
    <row r="8049" spans="4:4" x14ac:dyDescent="0.25">
      <c r="D8049"/>
    </row>
    <row r="8050" spans="4:4" x14ac:dyDescent="0.25">
      <c r="D8050"/>
    </row>
    <row r="8051" spans="4:4" x14ac:dyDescent="0.25">
      <c r="D8051"/>
    </row>
    <row r="8052" spans="4:4" x14ac:dyDescent="0.25">
      <c r="D8052"/>
    </row>
    <row r="8053" spans="4:4" x14ac:dyDescent="0.25">
      <c r="D8053"/>
    </row>
    <row r="8054" spans="4:4" x14ac:dyDescent="0.25">
      <c r="D8054"/>
    </row>
    <row r="8055" spans="4:4" x14ac:dyDescent="0.25">
      <c r="D8055"/>
    </row>
    <row r="8056" spans="4:4" x14ac:dyDescent="0.25">
      <c r="D8056"/>
    </row>
    <row r="8057" spans="4:4" x14ac:dyDescent="0.25">
      <c r="D8057"/>
    </row>
    <row r="8058" spans="4:4" x14ac:dyDescent="0.25">
      <c r="D8058"/>
    </row>
    <row r="8059" spans="4:4" x14ac:dyDescent="0.25">
      <c r="D8059"/>
    </row>
    <row r="8060" spans="4:4" x14ac:dyDescent="0.25">
      <c r="D8060"/>
    </row>
    <row r="8061" spans="4:4" x14ac:dyDescent="0.25">
      <c r="D8061"/>
    </row>
    <row r="8062" spans="4:4" x14ac:dyDescent="0.25">
      <c r="D8062"/>
    </row>
    <row r="8063" spans="4:4" x14ac:dyDescent="0.25">
      <c r="D8063"/>
    </row>
    <row r="8064" spans="4:4" x14ac:dyDescent="0.25">
      <c r="D8064"/>
    </row>
    <row r="8065" spans="4:4" x14ac:dyDescent="0.25">
      <c r="D8065"/>
    </row>
    <row r="8066" spans="4:4" x14ac:dyDescent="0.25">
      <c r="D8066"/>
    </row>
    <row r="8067" spans="4:4" x14ac:dyDescent="0.25">
      <c r="D8067"/>
    </row>
    <row r="8068" spans="4:4" x14ac:dyDescent="0.25">
      <c r="D8068"/>
    </row>
    <row r="8069" spans="4:4" x14ac:dyDescent="0.25">
      <c r="D8069"/>
    </row>
    <row r="8070" spans="4:4" x14ac:dyDescent="0.25">
      <c r="D8070"/>
    </row>
    <row r="8071" spans="4:4" x14ac:dyDescent="0.25">
      <c r="D8071"/>
    </row>
    <row r="8072" spans="4:4" x14ac:dyDescent="0.25">
      <c r="D8072"/>
    </row>
    <row r="8073" spans="4:4" x14ac:dyDescent="0.25">
      <c r="D8073"/>
    </row>
    <row r="8074" spans="4:4" x14ac:dyDescent="0.25">
      <c r="D8074"/>
    </row>
    <row r="8075" spans="4:4" x14ac:dyDescent="0.25">
      <c r="D8075"/>
    </row>
    <row r="8076" spans="4:4" x14ac:dyDescent="0.25">
      <c r="D8076"/>
    </row>
    <row r="8077" spans="4:4" x14ac:dyDescent="0.25">
      <c r="D8077"/>
    </row>
    <row r="8078" spans="4:4" x14ac:dyDescent="0.25">
      <c r="D8078"/>
    </row>
    <row r="8079" spans="4:4" x14ac:dyDescent="0.25">
      <c r="D8079"/>
    </row>
    <row r="8080" spans="4:4" x14ac:dyDescent="0.25">
      <c r="D8080"/>
    </row>
    <row r="8081" spans="4:4" x14ac:dyDescent="0.25">
      <c r="D8081"/>
    </row>
    <row r="8082" spans="4:4" x14ac:dyDescent="0.25">
      <c r="D8082"/>
    </row>
    <row r="8083" spans="4:4" x14ac:dyDescent="0.25">
      <c r="D8083"/>
    </row>
    <row r="8084" spans="4:4" x14ac:dyDescent="0.25">
      <c r="D8084"/>
    </row>
    <row r="8085" spans="4:4" x14ac:dyDescent="0.25">
      <c r="D8085"/>
    </row>
    <row r="8086" spans="4:4" x14ac:dyDescent="0.25">
      <c r="D8086"/>
    </row>
    <row r="8087" spans="4:4" x14ac:dyDescent="0.25">
      <c r="D8087"/>
    </row>
    <row r="8088" spans="4:4" x14ac:dyDescent="0.25">
      <c r="D8088"/>
    </row>
    <row r="8089" spans="4:4" x14ac:dyDescent="0.25">
      <c r="D8089"/>
    </row>
    <row r="8090" spans="4:4" x14ac:dyDescent="0.25">
      <c r="D8090"/>
    </row>
    <row r="8091" spans="4:4" x14ac:dyDescent="0.25">
      <c r="D8091"/>
    </row>
    <row r="8092" spans="4:4" x14ac:dyDescent="0.25">
      <c r="D8092"/>
    </row>
    <row r="8093" spans="4:4" x14ac:dyDescent="0.25">
      <c r="D8093"/>
    </row>
    <row r="8094" spans="4:4" x14ac:dyDescent="0.25">
      <c r="D8094"/>
    </row>
    <row r="8095" spans="4:4" x14ac:dyDescent="0.25">
      <c r="D8095"/>
    </row>
    <row r="8096" spans="4:4" x14ac:dyDescent="0.25">
      <c r="D8096"/>
    </row>
    <row r="8097" spans="4:4" x14ac:dyDescent="0.25">
      <c r="D8097"/>
    </row>
    <row r="8098" spans="4:4" x14ac:dyDescent="0.25">
      <c r="D8098"/>
    </row>
    <row r="8099" spans="4:4" x14ac:dyDescent="0.25">
      <c r="D8099"/>
    </row>
    <row r="8100" spans="4:4" x14ac:dyDescent="0.25">
      <c r="D8100"/>
    </row>
    <row r="8101" spans="4:4" x14ac:dyDescent="0.25">
      <c r="D8101"/>
    </row>
    <row r="8102" spans="4:4" x14ac:dyDescent="0.25">
      <c r="D8102"/>
    </row>
    <row r="8103" spans="4:4" x14ac:dyDescent="0.25">
      <c r="D8103"/>
    </row>
    <row r="8104" spans="4:4" x14ac:dyDescent="0.25">
      <c r="D8104"/>
    </row>
    <row r="8105" spans="4:4" x14ac:dyDescent="0.25">
      <c r="D8105"/>
    </row>
    <row r="8106" spans="4:4" x14ac:dyDescent="0.25">
      <c r="D8106"/>
    </row>
    <row r="8107" spans="4:4" x14ac:dyDescent="0.25">
      <c r="D8107"/>
    </row>
    <row r="8108" spans="4:4" x14ac:dyDescent="0.25">
      <c r="D8108"/>
    </row>
    <row r="8109" spans="4:4" x14ac:dyDescent="0.25">
      <c r="D8109"/>
    </row>
    <row r="8110" spans="4:4" x14ac:dyDescent="0.25">
      <c r="D8110"/>
    </row>
    <row r="8111" spans="4:4" x14ac:dyDescent="0.25">
      <c r="D8111"/>
    </row>
    <row r="8112" spans="4:4" x14ac:dyDescent="0.25">
      <c r="D8112"/>
    </row>
    <row r="8113" spans="4:4" x14ac:dyDescent="0.25">
      <c r="D8113"/>
    </row>
    <row r="8114" spans="4:4" x14ac:dyDescent="0.25">
      <c r="D8114"/>
    </row>
    <row r="8115" spans="4:4" x14ac:dyDescent="0.25">
      <c r="D8115"/>
    </row>
    <row r="8116" spans="4:4" x14ac:dyDescent="0.25">
      <c r="D8116"/>
    </row>
    <row r="8117" spans="4:4" x14ac:dyDescent="0.25">
      <c r="D8117"/>
    </row>
    <row r="8118" spans="4:4" x14ac:dyDescent="0.25">
      <c r="D8118"/>
    </row>
    <row r="8119" spans="4:4" x14ac:dyDescent="0.25">
      <c r="D8119"/>
    </row>
    <row r="8120" spans="4:4" x14ac:dyDescent="0.25">
      <c r="D8120"/>
    </row>
    <row r="8121" spans="4:4" x14ac:dyDescent="0.25">
      <c r="D8121"/>
    </row>
    <row r="8122" spans="4:4" x14ac:dyDescent="0.25">
      <c r="D8122"/>
    </row>
    <row r="8123" spans="4:4" x14ac:dyDescent="0.25">
      <c r="D8123"/>
    </row>
    <row r="8124" spans="4:4" x14ac:dyDescent="0.25">
      <c r="D8124"/>
    </row>
    <row r="8125" spans="4:4" x14ac:dyDescent="0.25">
      <c r="D8125"/>
    </row>
    <row r="8126" spans="4:4" x14ac:dyDescent="0.25">
      <c r="D8126"/>
    </row>
    <row r="8127" spans="4:4" x14ac:dyDescent="0.25">
      <c r="D8127"/>
    </row>
    <row r="8128" spans="4:4" x14ac:dyDescent="0.25">
      <c r="D8128"/>
    </row>
    <row r="8129" spans="4:4" x14ac:dyDescent="0.25">
      <c r="D8129"/>
    </row>
    <row r="8130" spans="4:4" x14ac:dyDescent="0.25">
      <c r="D8130"/>
    </row>
    <row r="8131" spans="4:4" x14ac:dyDescent="0.25">
      <c r="D8131"/>
    </row>
    <row r="8132" spans="4:4" x14ac:dyDescent="0.25">
      <c r="D8132"/>
    </row>
    <row r="8133" spans="4:4" x14ac:dyDescent="0.25">
      <c r="D8133"/>
    </row>
    <row r="8134" spans="4:4" x14ac:dyDescent="0.25">
      <c r="D8134"/>
    </row>
    <row r="8135" spans="4:4" x14ac:dyDescent="0.25">
      <c r="D8135"/>
    </row>
    <row r="8136" spans="4:4" x14ac:dyDescent="0.25">
      <c r="D8136"/>
    </row>
    <row r="8137" spans="4:4" x14ac:dyDescent="0.25">
      <c r="D8137"/>
    </row>
    <row r="8138" spans="4:4" x14ac:dyDescent="0.25">
      <c r="D8138"/>
    </row>
    <row r="8139" spans="4:4" x14ac:dyDescent="0.25">
      <c r="D8139"/>
    </row>
    <row r="8140" spans="4:4" x14ac:dyDescent="0.25">
      <c r="D8140"/>
    </row>
    <row r="8141" spans="4:4" x14ac:dyDescent="0.25">
      <c r="D8141"/>
    </row>
    <row r="8142" spans="4:4" x14ac:dyDescent="0.25">
      <c r="D8142"/>
    </row>
    <row r="8143" spans="4:4" x14ac:dyDescent="0.25">
      <c r="D8143"/>
    </row>
    <row r="8144" spans="4:4" x14ac:dyDescent="0.25">
      <c r="D8144"/>
    </row>
    <row r="8145" spans="4:4" x14ac:dyDescent="0.25">
      <c r="D8145"/>
    </row>
    <row r="8146" spans="4:4" x14ac:dyDescent="0.25">
      <c r="D8146"/>
    </row>
    <row r="8147" spans="4:4" x14ac:dyDescent="0.25">
      <c r="D8147"/>
    </row>
    <row r="8148" spans="4:4" x14ac:dyDescent="0.25">
      <c r="D8148"/>
    </row>
    <row r="8149" spans="4:4" x14ac:dyDescent="0.25">
      <c r="D8149"/>
    </row>
    <row r="8150" spans="4:4" x14ac:dyDescent="0.25">
      <c r="D8150"/>
    </row>
    <row r="8151" spans="4:4" x14ac:dyDescent="0.25">
      <c r="D8151"/>
    </row>
    <row r="8152" spans="4:4" x14ac:dyDescent="0.25">
      <c r="D8152"/>
    </row>
    <row r="8153" spans="4:4" x14ac:dyDescent="0.25">
      <c r="D8153"/>
    </row>
    <row r="8154" spans="4:4" x14ac:dyDescent="0.25">
      <c r="D8154"/>
    </row>
    <row r="8155" spans="4:4" x14ac:dyDescent="0.25">
      <c r="D8155"/>
    </row>
    <row r="8156" spans="4:4" x14ac:dyDescent="0.25">
      <c r="D8156"/>
    </row>
    <row r="8157" spans="4:4" x14ac:dyDescent="0.25">
      <c r="D8157"/>
    </row>
    <row r="8158" spans="4:4" x14ac:dyDescent="0.25">
      <c r="D8158"/>
    </row>
    <row r="8159" spans="4:4" x14ac:dyDescent="0.25">
      <c r="D8159"/>
    </row>
    <row r="8160" spans="4:4" x14ac:dyDescent="0.25">
      <c r="D8160"/>
    </row>
    <row r="8161" spans="4:4" x14ac:dyDescent="0.25">
      <c r="D8161"/>
    </row>
    <row r="8162" spans="4:4" x14ac:dyDescent="0.25">
      <c r="D8162"/>
    </row>
    <row r="8163" spans="4:4" x14ac:dyDescent="0.25">
      <c r="D8163"/>
    </row>
    <row r="8164" spans="4:4" x14ac:dyDescent="0.25">
      <c r="D8164"/>
    </row>
    <row r="8165" spans="4:4" x14ac:dyDescent="0.25">
      <c r="D8165"/>
    </row>
    <row r="8166" spans="4:4" x14ac:dyDescent="0.25">
      <c r="D8166"/>
    </row>
    <row r="8167" spans="4:4" x14ac:dyDescent="0.25">
      <c r="D8167"/>
    </row>
    <row r="8168" spans="4:4" x14ac:dyDescent="0.25">
      <c r="D8168"/>
    </row>
    <row r="8169" spans="4:4" x14ac:dyDescent="0.25">
      <c r="D8169"/>
    </row>
    <row r="8170" spans="4:4" x14ac:dyDescent="0.25">
      <c r="D8170"/>
    </row>
    <row r="8171" spans="4:4" x14ac:dyDescent="0.25">
      <c r="D8171"/>
    </row>
    <row r="8172" spans="4:4" x14ac:dyDescent="0.25">
      <c r="D8172"/>
    </row>
    <row r="8173" spans="4:4" x14ac:dyDescent="0.25">
      <c r="D8173"/>
    </row>
    <row r="8174" spans="4:4" x14ac:dyDescent="0.25">
      <c r="D8174"/>
    </row>
    <row r="8175" spans="4:4" x14ac:dyDescent="0.25">
      <c r="D8175"/>
    </row>
    <row r="8176" spans="4:4" x14ac:dyDescent="0.25">
      <c r="D8176"/>
    </row>
    <row r="8177" spans="4:4" x14ac:dyDescent="0.25">
      <c r="D8177"/>
    </row>
    <row r="8178" spans="4:4" x14ac:dyDescent="0.25">
      <c r="D8178"/>
    </row>
    <row r="8179" spans="4:4" x14ac:dyDescent="0.25">
      <c r="D8179"/>
    </row>
    <row r="8180" spans="4:4" x14ac:dyDescent="0.25">
      <c r="D8180"/>
    </row>
    <row r="8181" spans="4:4" x14ac:dyDescent="0.25">
      <c r="D8181"/>
    </row>
    <row r="8182" spans="4:4" x14ac:dyDescent="0.25">
      <c r="D8182"/>
    </row>
    <row r="8183" spans="4:4" x14ac:dyDescent="0.25">
      <c r="D8183"/>
    </row>
    <row r="8184" spans="4:4" x14ac:dyDescent="0.25">
      <c r="D8184"/>
    </row>
    <row r="8185" spans="4:4" x14ac:dyDescent="0.25">
      <c r="D8185"/>
    </row>
    <row r="8186" spans="4:4" x14ac:dyDescent="0.25">
      <c r="D8186"/>
    </row>
    <row r="8187" spans="4:4" x14ac:dyDescent="0.25">
      <c r="D8187"/>
    </row>
    <row r="8188" spans="4:4" x14ac:dyDescent="0.25">
      <c r="D8188"/>
    </row>
    <row r="8189" spans="4:4" x14ac:dyDescent="0.25">
      <c r="D8189"/>
    </row>
    <row r="8190" spans="4:4" x14ac:dyDescent="0.25">
      <c r="D8190"/>
    </row>
    <row r="8191" spans="4:4" x14ac:dyDescent="0.25">
      <c r="D8191"/>
    </row>
    <row r="8192" spans="4:4" x14ac:dyDescent="0.25">
      <c r="D8192"/>
    </row>
    <row r="8193" spans="4:4" x14ac:dyDescent="0.25">
      <c r="D8193"/>
    </row>
    <row r="8194" spans="4:4" x14ac:dyDescent="0.25">
      <c r="D8194"/>
    </row>
    <row r="8195" spans="4:4" x14ac:dyDescent="0.25">
      <c r="D8195"/>
    </row>
    <row r="8196" spans="4:4" x14ac:dyDescent="0.25">
      <c r="D8196"/>
    </row>
    <row r="8197" spans="4:4" x14ac:dyDescent="0.25">
      <c r="D8197"/>
    </row>
    <row r="8198" spans="4:4" x14ac:dyDescent="0.25">
      <c r="D8198"/>
    </row>
    <row r="8199" spans="4:4" x14ac:dyDescent="0.25">
      <c r="D8199"/>
    </row>
    <row r="8200" spans="4:4" x14ac:dyDescent="0.25">
      <c r="D8200"/>
    </row>
    <row r="8201" spans="4:4" x14ac:dyDescent="0.25">
      <c r="D8201"/>
    </row>
    <row r="8202" spans="4:4" x14ac:dyDescent="0.25">
      <c r="D8202"/>
    </row>
    <row r="8203" spans="4:4" x14ac:dyDescent="0.25">
      <c r="D8203"/>
    </row>
    <row r="8204" spans="4:4" x14ac:dyDescent="0.25">
      <c r="D8204"/>
    </row>
    <row r="8205" spans="4:4" x14ac:dyDescent="0.25">
      <c r="D8205"/>
    </row>
    <row r="8206" spans="4:4" x14ac:dyDescent="0.25">
      <c r="D8206"/>
    </row>
    <row r="8207" spans="4:4" x14ac:dyDescent="0.25">
      <c r="D8207"/>
    </row>
    <row r="8208" spans="4:4" x14ac:dyDescent="0.25">
      <c r="D8208"/>
    </row>
    <row r="8209" spans="4:4" x14ac:dyDescent="0.25">
      <c r="D8209"/>
    </row>
    <row r="8210" spans="4:4" x14ac:dyDescent="0.25">
      <c r="D8210"/>
    </row>
    <row r="8211" spans="4:4" x14ac:dyDescent="0.25">
      <c r="D8211"/>
    </row>
    <row r="8212" spans="4:4" x14ac:dyDescent="0.25">
      <c r="D8212"/>
    </row>
    <row r="8213" spans="4:4" x14ac:dyDescent="0.25">
      <c r="D8213"/>
    </row>
    <row r="8214" spans="4:4" x14ac:dyDescent="0.25">
      <c r="D8214"/>
    </row>
    <row r="8215" spans="4:4" x14ac:dyDescent="0.25">
      <c r="D8215"/>
    </row>
    <row r="8216" spans="4:4" x14ac:dyDescent="0.25">
      <c r="D8216"/>
    </row>
    <row r="8217" spans="4:4" x14ac:dyDescent="0.25">
      <c r="D8217"/>
    </row>
    <row r="8218" spans="4:4" x14ac:dyDescent="0.25">
      <c r="D8218"/>
    </row>
    <row r="8219" spans="4:4" x14ac:dyDescent="0.25">
      <c r="D8219"/>
    </row>
    <row r="8220" spans="4:4" x14ac:dyDescent="0.25">
      <c r="D8220"/>
    </row>
    <row r="8221" spans="4:4" x14ac:dyDescent="0.25">
      <c r="D8221"/>
    </row>
    <row r="8222" spans="4:4" x14ac:dyDescent="0.25">
      <c r="D8222"/>
    </row>
    <row r="8223" spans="4:4" x14ac:dyDescent="0.25">
      <c r="D8223"/>
    </row>
    <row r="8224" spans="4:4" x14ac:dyDescent="0.25">
      <c r="D8224"/>
    </row>
    <row r="8225" spans="4:4" x14ac:dyDescent="0.25">
      <c r="D8225"/>
    </row>
    <row r="8226" spans="4:4" x14ac:dyDescent="0.25">
      <c r="D8226"/>
    </row>
    <row r="8227" spans="4:4" x14ac:dyDescent="0.25">
      <c r="D8227"/>
    </row>
    <row r="8228" spans="4:4" x14ac:dyDescent="0.25">
      <c r="D8228"/>
    </row>
    <row r="8229" spans="4:4" x14ac:dyDescent="0.25">
      <c r="D8229"/>
    </row>
    <row r="8230" spans="4:4" x14ac:dyDescent="0.25">
      <c r="D8230"/>
    </row>
    <row r="8231" spans="4:4" x14ac:dyDescent="0.25">
      <c r="D8231"/>
    </row>
    <row r="8232" spans="4:4" x14ac:dyDescent="0.25">
      <c r="D8232"/>
    </row>
    <row r="8233" spans="4:4" x14ac:dyDescent="0.25">
      <c r="D8233"/>
    </row>
    <row r="8234" spans="4:4" x14ac:dyDescent="0.25">
      <c r="D8234"/>
    </row>
    <row r="8235" spans="4:4" x14ac:dyDescent="0.25">
      <c r="D8235"/>
    </row>
    <row r="8236" spans="4:4" x14ac:dyDescent="0.25">
      <c r="D8236"/>
    </row>
    <row r="8237" spans="4:4" x14ac:dyDescent="0.25">
      <c r="D8237"/>
    </row>
    <row r="8238" spans="4:4" x14ac:dyDescent="0.25">
      <c r="D8238"/>
    </row>
    <row r="8239" spans="4:4" x14ac:dyDescent="0.25">
      <c r="D8239"/>
    </row>
    <row r="8240" spans="4:4" x14ac:dyDescent="0.25">
      <c r="D8240"/>
    </row>
    <row r="8241" spans="4:4" x14ac:dyDescent="0.25">
      <c r="D8241"/>
    </row>
    <row r="8242" spans="4:4" x14ac:dyDescent="0.25">
      <c r="D8242"/>
    </row>
    <row r="8243" spans="4:4" x14ac:dyDescent="0.25">
      <c r="D8243"/>
    </row>
    <row r="8244" spans="4:4" x14ac:dyDescent="0.25">
      <c r="D8244"/>
    </row>
    <row r="8245" spans="4:4" x14ac:dyDescent="0.25">
      <c r="D8245"/>
    </row>
    <row r="8246" spans="4:4" x14ac:dyDescent="0.25">
      <c r="D8246"/>
    </row>
    <row r="8247" spans="4:4" x14ac:dyDescent="0.25">
      <c r="D8247"/>
    </row>
    <row r="8248" spans="4:4" x14ac:dyDescent="0.25">
      <c r="D8248"/>
    </row>
    <row r="8249" spans="4:4" x14ac:dyDescent="0.25">
      <c r="D8249"/>
    </row>
    <row r="8250" spans="4:4" x14ac:dyDescent="0.25">
      <c r="D8250"/>
    </row>
    <row r="8251" spans="4:4" x14ac:dyDescent="0.25">
      <c r="D8251"/>
    </row>
    <row r="8252" spans="4:4" x14ac:dyDescent="0.25">
      <c r="D8252"/>
    </row>
    <row r="8253" spans="4:4" x14ac:dyDescent="0.25">
      <c r="D8253"/>
    </row>
    <row r="8254" spans="4:4" x14ac:dyDescent="0.25">
      <c r="D8254"/>
    </row>
    <row r="8255" spans="4:4" x14ac:dyDescent="0.25">
      <c r="D8255"/>
    </row>
    <row r="8256" spans="4:4" x14ac:dyDescent="0.25">
      <c r="D8256"/>
    </row>
    <row r="8257" spans="4:4" x14ac:dyDescent="0.25">
      <c r="D8257"/>
    </row>
    <row r="8258" spans="4:4" x14ac:dyDescent="0.25">
      <c r="D8258"/>
    </row>
    <row r="8259" spans="4:4" x14ac:dyDescent="0.25">
      <c r="D8259"/>
    </row>
    <row r="8260" spans="4:4" x14ac:dyDescent="0.25">
      <c r="D8260"/>
    </row>
    <row r="8261" spans="4:4" x14ac:dyDescent="0.25">
      <c r="D8261"/>
    </row>
    <row r="8262" spans="4:4" x14ac:dyDescent="0.25">
      <c r="D8262"/>
    </row>
    <row r="8263" spans="4:4" x14ac:dyDescent="0.25">
      <c r="D8263"/>
    </row>
    <row r="8264" spans="4:4" x14ac:dyDescent="0.25">
      <c r="D8264"/>
    </row>
    <row r="8265" spans="4:4" x14ac:dyDescent="0.25">
      <c r="D8265"/>
    </row>
    <row r="8266" spans="4:4" x14ac:dyDescent="0.25">
      <c r="D8266"/>
    </row>
    <row r="8267" spans="4:4" x14ac:dyDescent="0.25">
      <c r="D8267"/>
    </row>
    <row r="8268" spans="4:4" x14ac:dyDescent="0.25">
      <c r="D8268"/>
    </row>
    <row r="8269" spans="4:4" x14ac:dyDescent="0.25">
      <c r="D8269"/>
    </row>
    <row r="8270" spans="4:4" x14ac:dyDescent="0.25">
      <c r="D8270"/>
    </row>
    <row r="8271" spans="4:4" x14ac:dyDescent="0.25">
      <c r="D8271"/>
    </row>
    <row r="8272" spans="4:4" x14ac:dyDescent="0.25">
      <c r="D8272"/>
    </row>
    <row r="8273" spans="4:4" x14ac:dyDescent="0.25">
      <c r="D8273"/>
    </row>
    <row r="8274" spans="4:4" x14ac:dyDescent="0.25">
      <c r="D8274"/>
    </row>
    <row r="8275" spans="4:4" x14ac:dyDescent="0.25">
      <c r="D8275"/>
    </row>
    <row r="8276" spans="4:4" x14ac:dyDescent="0.25">
      <c r="D8276"/>
    </row>
    <row r="8277" spans="4:4" x14ac:dyDescent="0.25">
      <c r="D8277"/>
    </row>
    <row r="8278" spans="4:4" x14ac:dyDescent="0.25">
      <c r="D8278"/>
    </row>
    <row r="8279" spans="4:4" x14ac:dyDescent="0.25">
      <c r="D8279"/>
    </row>
    <row r="8280" spans="4:4" x14ac:dyDescent="0.25">
      <c r="D8280"/>
    </row>
    <row r="8281" spans="4:4" x14ac:dyDescent="0.25">
      <c r="D8281"/>
    </row>
    <row r="8282" spans="4:4" x14ac:dyDescent="0.25">
      <c r="D8282"/>
    </row>
    <row r="8283" spans="4:4" x14ac:dyDescent="0.25">
      <c r="D8283"/>
    </row>
    <row r="8284" spans="4:4" x14ac:dyDescent="0.25">
      <c r="D8284"/>
    </row>
    <row r="8285" spans="4:4" x14ac:dyDescent="0.25">
      <c r="D8285"/>
    </row>
    <row r="8286" spans="4:4" x14ac:dyDescent="0.25">
      <c r="D8286"/>
    </row>
    <row r="8287" spans="4:4" x14ac:dyDescent="0.25">
      <c r="D8287"/>
    </row>
    <row r="8288" spans="4:4" x14ac:dyDescent="0.25">
      <c r="D8288"/>
    </row>
    <row r="8289" spans="4:4" x14ac:dyDescent="0.25">
      <c r="D8289"/>
    </row>
    <row r="8290" spans="4:4" x14ac:dyDescent="0.25">
      <c r="D8290"/>
    </row>
    <row r="8291" spans="4:4" x14ac:dyDescent="0.25">
      <c r="D8291"/>
    </row>
    <row r="8292" spans="4:4" x14ac:dyDescent="0.25">
      <c r="D8292"/>
    </row>
    <row r="8293" spans="4:4" x14ac:dyDescent="0.25">
      <c r="D8293"/>
    </row>
    <row r="8294" spans="4:4" x14ac:dyDescent="0.25">
      <c r="D8294"/>
    </row>
    <row r="8295" spans="4:4" x14ac:dyDescent="0.25">
      <c r="D8295"/>
    </row>
    <row r="8296" spans="4:4" x14ac:dyDescent="0.25">
      <c r="D8296"/>
    </row>
    <row r="8297" spans="4:4" x14ac:dyDescent="0.25">
      <c r="D8297"/>
    </row>
    <row r="8298" spans="4:4" x14ac:dyDescent="0.25">
      <c r="D8298"/>
    </row>
    <row r="8299" spans="4:4" x14ac:dyDescent="0.25">
      <c r="D8299"/>
    </row>
    <row r="8300" spans="4:4" x14ac:dyDescent="0.25">
      <c r="D8300"/>
    </row>
    <row r="8301" spans="4:4" x14ac:dyDescent="0.25">
      <c r="D8301"/>
    </row>
    <row r="8302" spans="4:4" x14ac:dyDescent="0.25">
      <c r="D8302"/>
    </row>
    <row r="8303" spans="4:4" x14ac:dyDescent="0.25">
      <c r="D8303"/>
    </row>
    <row r="8304" spans="4:4" x14ac:dyDescent="0.25">
      <c r="D8304"/>
    </row>
    <row r="8305" spans="4:4" x14ac:dyDescent="0.25">
      <c r="D8305"/>
    </row>
    <row r="8306" spans="4:4" x14ac:dyDescent="0.25">
      <c r="D8306"/>
    </row>
    <row r="8307" spans="4:4" x14ac:dyDescent="0.25">
      <c r="D8307"/>
    </row>
    <row r="8308" spans="4:4" x14ac:dyDescent="0.25">
      <c r="D8308"/>
    </row>
    <row r="8309" spans="4:4" x14ac:dyDescent="0.25">
      <c r="D8309"/>
    </row>
    <row r="8310" spans="4:4" x14ac:dyDescent="0.25">
      <c r="D8310"/>
    </row>
    <row r="8311" spans="4:4" x14ac:dyDescent="0.25">
      <c r="D8311"/>
    </row>
    <row r="8312" spans="4:4" x14ac:dyDescent="0.25">
      <c r="D8312"/>
    </row>
    <row r="8313" spans="4:4" x14ac:dyDescent="0.25">
      <c r="D8313"/>
    </row>
    <row r="8314" spans="4:4" x14ac:dyDescent="0.25">
      <c r="D8314"/>
    </row>
    <row r="8315" spans="4:4" x14ac:dyDescent="0.25">
      <c r="D8315"/>
    </row>
    <row r="8316" spans="4:4" x14ac:dyDescent="0.25">
      <c r="D8316"/>
    </row>
    <row r="8317" spans="4:4" x14ac:dyDescent="0.25">
      <c r="D8317"/>
    </row>
    <row r="8318" spans="4:4" x14ac:dyDescent="0.25">
      <c r="D8318"/>
    </row>
    <row r="8319" spans="4:4" x14ac:dyDescent="0.25">
      <c r="D8319"/>
    </row>
    <row r="8320" spans="4:4" x14ac:dyDescent="0.25">
      <c r="D8320"/>
    </row>
    <row r="8321" spans="4:4" x14ac:dyDescent="0.25">
      <c r="D8321"/>
    </row>
    <row r="8322" spans="4:4" x14ac:dyDescent="0.25">
      <c r="D8322"/>
    </row>
    <row r="8323" spans="4:4" x14ac:dyDescent="0.25">
      <c r="D8323"/>
    </row>
    <row r="8324" spans="4:4" x14ac:dyDescent="0.25">
      <c r="D8324"/>
    </row>
    <row r="8325" spans="4:4" x14ac:dyDescent="0.25">
      <c r="D8325"/>
    </row>
    <row r="8326" spans="4:4" x14ac:dyDescent="0.25">
      <c r="D8326"/>
    </row>
    <row r="8327" spans="4:4" x14ac:dyDescent="0.25">
      <c r="D8327"/>
    </row>
    <row r="8328" spans="4:4" x14ac:dyDescent="0.25">
      <c r="D8328"/>
    </row>
    <row r="8329" spans="4:4" x14ac:dyDescent="0.25">
      <c r="D8329"/>
    </row>
    <row r="8330" spans="4:4" x14ac:dyDescent="0.25">
      <c r="D8330"/>
    </row>
    <row r="8331" spans="4:4" x14ac:dyDescent="0.25">
      <c r="D8331"/>
    </row>
    <row r="8332" spans="4:4" x14ac:dyDescent="0.25">
      <c r="D8332"/>
    </row>
    <row r="8333" spans="4:4" x14ac:dyDescent="0.25">
      <c r="D8333"/>
    </row>
    <row r="8334" spans="4:4" x14ac:dyDescent="0.25">
      <c r="D8334"/>
    </row>
    <row r="8335" spans="4:4" x14ac:dyDescent="0.25">
      <c r="D8335"/>
    </row>
    <row r="8336" spans="4:4" x14ac:dyDescent="0.25">
      <c r="D8336"/>
    </row>
    <row r="8337" spans="4:4" x14ac:dyDescent="0.25">
      <c r="D8337"/>
    </row>
    <row r="8338" spans="4:4" x14ac:dyDescent="0.25">
      <c r="D8338"/>
    </row>
    <row r="8339" spans="4:4" x14ac:dyDescent="0.25">
      <c r="D8339"/>
    </row>
    <row r="8340" spans="4:4" x14ac:dyDescent="0.25">
      <c r="D8340"/>
    </row>
    <row r="8341" spans="4:4" x14ac:dyDescent="0.25">
      <c r="D8341"/>
    </row>
    <row r="8342" spans="4:4" x14ac:dyDescent="0.25">
      <c r="D8342"/>
    </row>
    <row r="8343" spans="4:4" x14ac:dyDescent="0.25">
      <c r="D8343"/>
    </row>
    <row r="8344" spans="4:4" x14ac:dyDescent="0.25">
      <c r="D8344"/>
    </row>
    <row r="8345" spans="4:4" x14ac:dyDescent="0.25">
      <c r="D8345"/>
    </row>
    <row r="8346" spans="4:4" x14ac:dyDescent="0.25">
      <c r="D8346"/>
    </row>
    <row r="8347" spans="4:4" x14ac:dyDescent="0.25">
      <c r="D8347"/>
    </row>
    <row r="8348" spans="4:4" x14ac:dyDescent="0.25">
      <c r="D8348"/>
    </row>
    <row r="8349" spans="4:4" x14ac:dyDescent="0.25">
      <c r="D8349"/>
    </row>
    <row r="8350" spans="4:4" x14ac:dyDescent="0.25">
      <c r="D8350"/>
    </row>
    <row r="8351" spans="4:4" x14ac:dyDescent="0.25">
      <c r="D8351"/>
    </row>
    <row r="8352" spans="4:4" x14ac:dyDescent="0.25">
      <c r="D8352"/>
    </row>
    <row r="8353" spans="4:4" x14ac:dyDescent="0.25">
      <c r="D8353"/>
    </row>
    <row r="8354" spans="4:4" x14ac:dyDescent="0.25">
      <c r="D8354"/>
    </row>
    <row r="8355" spans="4:4" x14ac:dyDescent="0.25">
      <c r="D8355"/>
    </row>
    <row r="8356" spans="4:4" x14ac:dyDescent="0.25">
      <c r="D8356"/>
    </row>
    <row r="8357" spans="4:4" x14ac:dyDescent="0.25">
      <c r="D8357"/>
    </row>
    <row r="8358" spans="4:4" x14ac:dyDescent="0.25">
      <c r="D8358"/>
    </row>
    <row r="8359" spans="4:4" x14ac:dyDescent="0.25">
      <c r="D8359"/>
    </row>
    <row r="8360" spans="4:4" x14ac:dyDescent="0.25">
      <c r="D8360"/>
    </row>
    <row r="8361" spans="4:4" x14ac:dyDescent="0.25">
      <c r="D8361"/>
    </row>
    <row r="8362" spans="4:4" x14ac:dyDescent="0.25">
      <c r="D8362"/>
    </row>
    <row r="8363" spans="4:4" x14ac:dyDescent="0.25">
      <c r="D8363"/>
    </row>
    <row r="8364" spans="4:4" x14ac:dyDescent="0.25">
      <c r="D8364"/>
    </row>
    <row r="8365" spans="4:4" x14ac:dyDescent="0.25">
      <c r="D8365"/>
    </row>
    <row r="8366" spans="4:4" x14ac:dyDescent="0.25">
      <c r="D8366"/>
    </row>
    <row r="8367" spans="4:4" x14ac:dyDescent="0.25">
      <c r="D8367"/>
    </row>
    <row r="8368" spans="4:4" x14ac:dyDescent="0.25">
      <c r="D8368"/>
    </row>
    <row r="8369" spans="4:4" x14ac:dyDescent="0.25">
      <c r="D8369"/>
    </row>
    <row r="8370" spans="4:4" x14ac:dyDescent="0.25">
      <c r="D8370"/>
    </row>
    <row r="8371" spans="4:4" x14ac:dyDescent="0.25">
      <c r="D8371"/>
    </row>
    <row r="8372" spans="4:4" x14ac:dyDescent="0.25">
      <c r="D8372"/>
    </row>
    <row r="8373" spans="4:4" x14ac:dyDescent="0.25">
      <c r="D8373"/>
    </row>
    <row r="8374" spans="4:4" x14ac:dyDescent="0.25">
      <c r="D8374"/>
    </row>
    <row r="8375" spans="4:4" x14ac:dyDescent="0.25">
      <c r="D8375"/>
    </row>
    <row r="8376" spans="4:4" x14ac:dyDescent="0.25">
      <c r="D8376"/>
    </row>
    <row r="8377" spans="4:4" x14ac:dyDescent="0.25">
      <c r="D8377"/>
    </row>
    <row r="8378" spans="4:4" x14ac:dyDescent="0.25">
      <c r="D8378"/>
    </row>
    <row r="8379" spans="4:4" x14ac:dyDescent="0.25">
      <c r="D8379"/>
    </row>
    <row r="8380" spans="4:4" x14ac:dyDescent="0.25">
      <c r="D8380"/>
    </row>
    <row r="8381" spans="4:4" x14ac:dyDescent="0.25">
      <c r="D8381"/>
    </row>
    <row r="8382" spans="4:4" x14ac:dyDescent="0.25">
      <c r="D8382"/>
    </row>
    <row r="8383" spans="4:4" x14ac:dyDescent="0.25">
      <c r="D8383"/>
    </row>
    <row r="8384" spans="4:4" x14ac:dyDescent="0.25">
      <c r="D8384"/>
    </row>
    <row r="8385" spans="4:4" x14ac:dyDescent="0.25">
      <c r="D8385"/>
    </row>
    <row r="8386" spans="4:4" x14ac:dyDescent="0.25">
      <c r="D8386"/>
    </row>
    <row r="8387" spans="4:4" x14ac:dyDescent="0.25">
      <c r="D8387"/>
    </row>
    <row r="8388" spans="4:4" x14ac:dyDescent="0.25">
      <c r="D8388"/>
    </row>
    <row r="8389" spans="4:4" x14ac:dyDescent="0.25">
      <c r="D8389"/>
    </row>
    <row r="8390" spans="4:4" x14ac:dyDescent="0.25">
      <c r="D8390"/>
    </row>
    <row r="8391" spans="4:4" x14ac:dyDescent="0.25">
      <c r="D8391"/>
    </row>
    <row r="8392" spans="4:4" x14ac:dyDescent="0.25">
      <c r="D8392"/>
    </row>
    <row r="8393" spans="4:4" x14ac:dyDescent="0.25">
      <c r="D8393"/>
    </row>
    <row r="8394" spans="4:4" x14ac:dyDescent="0.25">
      <c r="D8394"/>
    </row>
    <row r="8395" spans="4:4" x14ac:dyDescent="0.25">
      <c r="D8395"/>
    </row>
    <row r="8396" spans="4:4" x14ac:dyDescent="0.25">
      <c r="D8396"/>
    </row>
    <row r="8397" spans="4:4" x14ac:dyDescent="0.25">
      <c r="D8397"/>
    </row>
    <row r="8398" spans="4:4" x14ac:dyDescent="0.25">
      <c r="D8398"/>
    </row>
    <row r="8399" spans="4:4" x14ac:dyDescent="0.25">
      <c r="D8399"/>
    </row>
    <row r="8400" spans="4:4" x14ac:dyDescent="0.25">
      <c r="D8400"/>
    </row>
    <row r="8401" spans="4:4" x14ac:dyDescent="0.25">
      <c r="D8401"/>
    </row>
    <row r="8402" spans="4:4" x14ac:dyDescent="0.25">
      <c r="D8402"/>
    </row>
    <row r="8403" spans="4:4" x14ac:dyDescent="0.25">
      <c r="D8403"/>
    </row>
    <row r="8404" spans="4:4" x14ac:dyDescent="0.25">
      <c r="D8404"/>
    </row>
    <row r="8405" spans="4:4" x14ac:dyDescent="0.25">
      <c r="D8405"/>
    </row>
    <row r="8406" spans="4:4" x14ac:dyDescent="0.25">
      <c r="D8406"/>
    </row>
    <row r="8407" spans="4:4" x14ac:dyDescent="0.25">
      <c r="D8407"/>
    </row>
    <row r="8408" spans="4:4" x14ac:dyDescent="0.25">
      <c r="D8408"/>
    </row>
    <row r="8409" spans="4:4" x14ac:dyDescent="0.25">
      <c r="D8409"/>
    </row>
    <row r="8410" spans="4:4" x14ac:dyDescent="0.25">
      <c r="D8410"/>
    </row>
    <row r="8411" spans="4:4" x14ac:dyDescent="0.25">
      <c r="D8411"/>
    </row>
    <row r="8412" spans="4:4" x14ac:dyDescent="0.25">
      <c r="D8412"/>
    </row>
    <row r="8413" spans="4:4" x14ac:dyDescent="0.25">
      <c r="D8413"/>
    </row>
    <row r="8414" spans="4:4" x14ac:dyDescent="0.25">
      <c r="D8414"/>
    </row>
    <row r="8415" spans="4:4" x14ac:dyDescent="0.25">
      <c r="D8415"/>
    </row>
    <row r="8416" spans="4:4" x14ac:dyDescent="0.25">
      <c r="D8416"/>
    </row>
    <row r="8417" spans="4:4" x14ac:dyDescent="0.25">
      <c r="D8417"/>
    </row>
    <row r="8418" spans="4:4" x14ac:dyDescent="0.25">
      <c r="D8418"/>
    </row>
    <row r="8419" spans="4:4" x14ac:dyDescent="0.25">
      <c r="D8419"/>
    </row>
    <row r="8420" spans="4:4" x14ac:dyDescent="0.25">
      <c r="D8420"/>
    </row>
    <row r="8421" spans="4:4" x14ac:dyDescent="0.25">
      <c r="D8421"/>
    </row>
    <row r="8422" spans="4:4" x14ac:dyDescent="0.25">
      <c r="D8422"/>
    </row>
    <row r="8423" spans="4:4" x14ac:dyDescent="0.25">
      <c r="D8423"/>
    </row>
    <row r="8424" spans="4:4" x14ac:dyDescent="0.25">
      <c r="D8424"/>
    </row>
    <row r="8425" spans="4:4" x14ac:dyDescent="0.25">
      <c r="D8425"/>
    </row>
    <row r="8426" spans="4:4" x14ac:dyDescent="0.25">
      <c r="D8426"/>
    </row>
    <row r="8427" spans="4:4" x14ac:dyDescent="0.25">
      <c r="D8427"/>
    </row>
    <row r="8428" spans="4:4" x14ac:dyDescent="0.25">
      <c r="D8428"/>
    </row>
    <row r="8429" spans="4:4" x14ac:dyDescent="0.25">
      <c r="D8429"/>
    </row>
    <row r="8430" spans="4:4" x14ac:dyDescent="0.25">
      <c r="D8430"/>
    </row>
    <row r="8431" spans="4:4" x14ac:dyDescent="0.25">
      <c r="D8431"/>
    </row>
    <row r="8432" spans="4:4" x14ac:dyDescent="0.25">
      <c r="D8432"/>
    </row>
    <row r="8433" spans="4:4" x14ac:dyDescent="0.25">
      <c r="D8433"/>
    </row>
    <row r="8434" spans="4:4" x14ac:dyDescent="0.25">
      <c r="D8434"/>
    </row>
    <row r="8435" spans="4:4" x14ac:dyDescent="0.25">
      <c r="D8435"/>
    </row>
    <row r="8436" spans="4:4" x14ac:dyDescent="0.25">
      <c r="D8436"/>
    </row>
    <row r="8437" spans="4:4" x14ac:dyDescent="0.25">
      <c r="D8437"/>
    </row>
    <row r="8438" spans="4:4" x14ac:dyDescent="0.25">
      <c r="D8438"/>
    </row>
    <row r="8439" spans="4:4" x14ac:dyDescent="0.25">
      <c r="D8439"/>
    </row>
    <row r="8440" spans="4:4" x14ac:dyDescent="0.25">
      <c r="D8440"/>
    </row>
    <row r="8441" spans="4:4" x14ac:dyDescent="0.25">
      <c r="D8441"/>
    </row>
    <row r="8442" spans="4:4" x14ac:dyDescent="0.25">
      <c r="D8442"/>
    </row>
    <row r="8443" spans="4:4" x14ac:dyDescent="0.25">
      <c r="D8443"/>
    </row>
    <row r="8444" spans="4:4" x14ac:dyDescent="0.25">
      <c r="D8444"/>
    </row>
    <row r="8445" spans="4:4" x14ac:dyDescent="0.25">
      <c r="D8445"/>
    </row>
    <row r="8446" spans="4:4" x14ac:dyDescent="0.25">
      <c r="D8446"/>
    </row>
    <row r="8447" spans="4:4" x14ac:dyDescent="0.25">
      <c r="D8447"/>
    </row>
    <row r="8448" spans="4:4" x14ac:dyDescent="0.25">
      <c r="D8448"/>
    </row>
    <row r="8449" spans="4:4" x14ac:dyDescent="0.25">
      <c r="D8449"/>
    </row>
    <row r="8450" spans="4:4" x14ac:dyDescent="0.25">
      <c r="D8450"/>
    </row>
    <row r="8451" spans="4:4" x14ac:dyDescent="0.25">
      <c r="D8451"/>
    </row>
    <row r="8452" spans="4:4" x14ac:dyDescent="0.25">
      <c r="D8452"/>
    </row>
    <row r="8453" spans="4:4" x14ac:dyDescent="0.25">
      <c r="D8453"/>
    </row>
    <row r="8454" spans="4:4" x14ac:dyDescent="0.25">
      <c r="D8454"/>
    </row>
    <row r="8455" spans="4:4" x14ac:dyDescent="0.25">
      <c r="D8455"/>
    </row>
    <row r="8456" spans="4:4" x14ac:dyDescent="0.25">
      <c r="D8456"/>
    </row>
    <row r="8457" spans="4:4" x14ac:dyDescent="0.25">
      <c r="D8457"/>
    </row>
    <row r="8458" spans="4:4" x14ac:dyDescent="0.25">
      <c r="D8458"/>
    </row>
    <row r="8459" spans="4:4" x14ac:dyDescent="0.25">
      <c r="D8459"/>
    </row>
    <row r="8460" spans="4:4" x14ac:dyDescent="0.25">
      <c r="D8460"/>
    </row>
    <row r="8461" spans="4:4" x14ac:dyDescent="0.25">
      <c r="D8461"/>
    </row>
    <row r="8462" spans="4:4" x14ac:dyDescent="0.25">
      <c r="D8462"/>
    </row>
    <row r="8463" spans="4:4" x14ac:dyDescent="0.25">
      <c r="D8463"/>
    </row>
    <row r="8464" spans="4:4" x14ac:dyDescent="0.25">
      <c r="D8464"/>
    </row>
    <row r="8465" spans="4:4" x14ac:dyDescent="0.25">
      <c r="D8465"/>
    </row>
    <row r="8466" spans="4:4" x14ac:dyDescent="0.25">
      <c r="D8466"/>
    </row>
    <row r="8467" spans="4:4" x14ac:dyDescent="0.25">
      <c r="D8467"/>
    </row>
    <row r="8468" spans="4:4" x14ac:dyDescent="0.25">
      <c r="D8468"/>
    </row>
    <row r="8469" spans="4:4" x14ac:dyDescent="0.25">
      <c r="D8469"/>
    </row>
    <row r="8470" spans="4:4" x14ac:dyDescent="0.25">
      <c r="D8470"/>
    </row>
    <row r="8471" spans="4:4" x14ac:dyDescent="0.25">
      <c r="D8471"/>
    </row>
    <row r="8472" spans="4:4" x14ac:dyDescent="0.25">
      <c r="D8472"/>
    </row>
    <row r="8473" spans="4:4" x14ac:dyDescent="0.25">
      <c r="D8473"/>
    </row>
    <row r="8474" spans="4:4" x14ac:dyDescent="0.25">
      <c r="D8474"/>
    </row>
    <row r="8475" spans="4:4" x14ac:dyDescent="0.25">
      <c r="D8475"/>
    </row>
    <row r="8476" spans="4:4" x14ac:dyDescent="0.25">
      <c r="D8476"/>
    </row>
    <row r="8477" spans="4:4" x14ac:dyDescent="0.25">
      <c r="D8477"/>
    </row>
    <row r="8478" spans="4:4" x14ac:dyDescent="0.25">
      <c r="D8478"/>
    </row>
    <row r="8479" spans="4:4" x14ac:dyDescent="0.25">
      <c r="D8479"/>
    </row>
    <row r="8480" spans="4:4" x14ac:dyDescent="0.25">
      <c r="D8480"/>
    </row>
    <row r="8481" spans="4:4" x14ac:dyDescent="0.25">
      <c r="D8481"/>
    </row>
    <row r="8482" spans="4:4" x14ac:dyDescent="0.25">
      <c r="D8482"/>
    </row>
    <row r="8483" spans="4:4" x14ac:dyDescent="0.25">
      <c r="D8483"/>
    </row>
    <row r="8484" spans="4:4" x14ac:dyDescent="0.25">
      <c r="D8484"/>
    </row>
    <row r="8485" spans="4:4" x14ac:dyDescent="0.25">
      <c r="D8485"/>
    </row>
    <row r="8486" spans="4:4" x14ac:dyDescent="0.25">
      <c r="D8486"/>
    </row>
    <row r="8487" spans="4:4" x14ac:dyDescent="0.25">
      <c r="D8487"/>
    </row>
    <row r="8488" spans="4:4" x14ac:dyDescent="0.25">
      <c r="D8488"/>
    </row>
    <row r="8489" spans="4:4" x14ac:dyDescent="0.25">
      <c r="D8489"/>
    </row>
    <row r="8490" spans="4:4" x14ac:dyDescent="0.25">
      <c r="D8490"/>
    </row>
    <row r="8491" spans="4:4" x14ac:dyDescent="0.25">
      <c r="D8491"/>
    </row>
    <row r="8492" spans="4:4" x14ac:dyDescent="0.25">
      <c r="D8492"/>
    </row>
    <row r="8493" spans="4:4" x14ac:dyDescent="0.25">
      <c r="D8493"/>
    </row>
    <row r="8494" spans="4:4" x14ac:dyDescent="0.25">
      <c r="D8494"/>
    </row>
    <row r="8495" spans="4:4" x14ac:dyDescent="0.25">
      <c r="D8495"/>
    </row>
    <row r="8496" spans="4:4" x14ac:dyDescent="0.25">
      <c r="D8496"/>
    </row>
    <row r="8497" spans="4:4" x14ac:dyDescent="0.25">
      <c r="D8497"/>
    </row>
    <row r="8498" spans="4:4" x14ac:dyDescent="0.25">
      <c r="D8498"/>
    </row>
    <row r="8499" spans="4:4" x14ac:dyDescent="0.25">
      <c r="D8499"/>
    </row>
    <row r="8500" spans="4:4" x14ac:dyDescent="0.25">
      <c r="D8500"/>
    </row>
    <row r="8501" spans="4:4" x14ac:dyDescent="0.25">
      <c r="D8501"/>
    </row>
    <row r="8502" spans="4:4" x14ac:dyDescent="0.25">
      <c r="D8502"/>
    </row>
    <row r="8503" spans="4:4" x14ac:dyDescent="0.25">
      <c r="D8503"/>
    </row>
    <row r="8504" spans="4:4" x14ac:dyDescent="0.25">
      <c r="D8504"/>
    </row>
    <row r="8505" spans="4:4" x14ac:dyDescent="0.25">
      <c r="D8505"/>
    </row>
    <row r="8506" spans="4:4" x14ac:dyDescent="0.25">
      <c r="D8506"/>
    </row>
    <row r="8507" spans="4:4" x14ac:dyDescent="0.25">
      <c r="D8507"/>
    </row>
    <row r="8508" spans="4:4" x14ac:dyDescent="0.25">
      <c r="D8508"/>
    </row>
    <row r="8509" spans="4:4" x14ac:dyDescent="0.25">
      <c r="D8509"/>
    </row>
    <row r="8510" spans="4:4" x14ac:dyDescent="0.25">
      <c r="D8510"/>
    </row>
    <row r="8511" spans="4:4" x14ac:dyDescent="0.25">
      <c r="D8511"/>
    </row>
    <row r="8512" spans="4:4" x14ac:dyDescent="0.25">
      <c r="D8512"/>
    </row>
    <row r="8513" spans="4:4" x14ac:dyDescent="0.25">
      <c r="D8513"/>
    </row>
    <row r="8514" spans="4:4" x14ac:dyDescent="0.25">
      <c r="D8514"/>
    </row>
    <row r="8515" spans="4:4" x14ac:dyDescent="0.25">
      <c r="D8515"/>
    </row>
    <row r="8516" spans="4:4" x14ac:dyDescent="0.25">
      <c r="D8516"/>
    </row>
    <row r="8517" spans="4:4" x14ac:dyDescent="0.25">
      <c r="D8517"/>
    </row>
    <row r="8518" spans="4:4" x14ac:dyDescent="0.25">
      <c r="D8518"/>
    </row>
    <row r="8519" spans="4:4" x14ac:dyDescent="0.25">
      <c r="D8519"/>
    </row>
    <row r="8520" spans="4:4" x14ac:dyDescent="0.25">
      <c r="D8520"/>
    </row>
    <row r="8521" spans="4:4" x14ac:dyDescent="0.25">
      <c r="D8521"/>
    </row>
    <row r="8522" spans="4:4" x14ac:dyDescent="0.25">
      <c r="D8522"/>
    </row>
    <row r="8523" spans="4:4" x14ac:dyDescent="0.25">
      <c r="D8523"/>
    </row>
    <row r="8524" spans="4:4" x14ac:dyDescent="0.25">
      <c r="D8524"/>
    </row>
    <row r="8525" spans="4:4" x14ac:dyDescent="0.25">
      <c r="D8525"/>
    </row>
    <row r="8526" spans="4:4" x14ac:dyDescent="0.25">
      <c r="D8526"/>
    </row>
    <row r="8527" spans="4:4" x14ac:dyDescent="0.25">
      <c r="D8527"/>
    </row>
    <row r="8528" spans="4:4" x14ac:dyDescent="0.25">
      <c r="D8528"/>
    </row>
    <row r="8529" spans="4:4" x14ac:dyDescent="0.25">
      <c r="D8529"/>
    </row>
    <row r="8530" spans="4:4" x14ac:dyDescent="0.25">
      <c r="D8530"/>
    </row>
    <row r="8531" spans="4:4" x14ac:dyDescent="0.25">
      <c r="D8531"/>
    </row>
    <row r="8532" spans="4:4" x14ac:dyDescent="0.25">
      <c r="D8532"/>
    </row>
    <row r="8533" spans="4:4" x14ac:dyDescent="0.25">
      <c r="D8533"/>
    </row>
    <row r="8534" spans="4:4" x14ac:dyDescent="0.25">
      <c r="D8534"/>
    </row>
    <row r="8535" spans="4:4" x14ac:dyDescent="0.25">
      <c r="D8535"/>
    </row>
    <row r="8536" spans="4:4" x14ac:dyDescent="0.25">
      <c r="D8536"/>
    </row>
    <row r="8537" spans="4:4" x14ac:dyDescent="0.25">
      <c r="D8537"/>
    </row>
    <row r="8538" spans="4:4" x14ac:dyDescent="0.25">
      <c r="D8538"/>
    </row>
    <row r="8539" spans="4:4" x14ac:dyDescent="0.25">
      <c r="D8539"/>
    </row>
    <row r="8540" spans="4:4" x14ac:dyDescent="0.25">
      <c r="D8540"/>
    </row>
    <row r="8541" spans="4:4" x14ac:dyDescent="0.25">
      <c r="D8541"/>
    </row>
    <row r="8542" spans="4:4" x14ac:dyDescent="0.25">
      <c r="D8542"/>
    </row>
    <row r="8543" spans="4:4" x14ac:dyDescent="0.25">
      <c r="D8543"/>
    </row>
    <row r="8544" spans="4:4" x14ac:dyDescent="0.25">
      <c r="D8544"/>
    </row>
    <row r="8545" spans="4:4" x14ac:dyDescent="0.25">
      <c r="D8545"/>
    </row>
    <row r="8546" spans="4:4" x14ac:dyDescent="0.25">
      <c r="D8546"/>
    </row>
    <row r="8547" spans="4:4" x14ac:dyDescent="0.25">
      <c r="D8547"/>
    </row>
    <row r="8548" spans="4:4" x14ac:dyDescent="0.25">
      <c r="D8548"/>
    </row>
    <row r="8549" spans="4:4" x14ac:dyDescent="0.25">
      <c r="D8549"/>
    </row>
    <row r="8550" spans="4:4" x14ac:dyDescent="0.25">
      <c r="D8550"/>
    </row>
    <row r="8551" spans="4:4" x14ac:dyDescent="0.25">
      <c r="D8551"/>
    </row>
    <row r="8552" spans="4:4" x14ac:dyDescent="0.25">
      <c r="D8552"/>
    </row>
    <row r="8553" spans="4:4" x14ac:dyDescent="0.25">
      <c r="D8553"/>
    </row>
    <row r="8554" spans="4:4" x14ac:dyDescent="0.25">
      <c r="D8554"/>
    </row>
    <row r="8555" spans="4:4" x14ac:dyDescent="0.25">
      <c r="D8555"/>
    </row>
    <row r="8556" spans="4:4" x14ac:dyDescent="0.25">
      <c r="D8556"/>
    </row>
    <row r="8557" spans="4:4" x14ac:dyDescent="0.25">
      <c r="D8557"/>
    </row>
    <row r="8558" spans="4:4" x14ac:dyDescent="0.25">
      <c r="D8558"/>
    </row>
    <row r="8559" spans="4:4" x14ac:dyDescent="0.25">
      <c r="D8559"/>
    </row>
    <row r="8560" spans="4:4" x14ac:dyDescent="0.25">
      <c r="D8560"/>
    </row>
    <row r="8561" spans="4:4" x14ac:dyDescent="0.25">
      <c r="D8561"/>
    </row>
    <row r="8562" spans="4:4" x14ac:dyDescent="0.25">
      <c r="D8562"/>
    </row>
    <row r="8563" spans="4:4" x14ac:dyDescent="0.25">
      <c r="D8563"/>
    </row>
    <row r="8564" spans="4:4" x14ac:dyDescent="0.25">
      <c r="D8564"/>
    </row>
    <row r="8565" spans="4:4" x14ac:dyDescent="0.25">
      <c r="D8565"/>
    </row>
    <row r="8566" spans="4:4" x14ac:dyDescent="0.25">
      <c r="D8566"/>
    </row>
    <row r="8567" spans="4:4" x14ac:dyDescent="0.25">
      <c r="D8567"/>
    </row>
    <row r="8568" spans="4:4" x14ac:dyDescent="0.25">
      <c r="D8568"/>
    </row>
    <row r="8569" spans="4:4" x14ac:dyDescent="0.25">
      <c r="D8569"/>
    </row>
    <row r="8570" spans="4:4" x14ac:dyDescent="0.25">
      <c r="D8570"/>
    </row>
    <row r="8571" spans="4:4" x14ac:dyDescent="0.25">
      <c r="D8571"/>
    </row>
    <row r="8572" spans="4:4" x14ac:dyDescent="0.25">
      <c r="D8572"/>
    </row>
    <row r="8573" spans="4:4" x14ac:dyDescent="0.25">
      <c r="D8573"/>
    </row>
    <row r="8574" spans="4:4" x14ac:dyDescent="0.25">
      <c r="D8574"/>
    </row>
    <row r="8575" spans="4:4" x14ac:dyDescent="0.25">
      <c r="D8575"/>
    </row>
    <row r="8576" spans="4:4" x14ac:dyDescent="0.25">
      <c r="D8576"/>
    </row>
    <row r="8577" spans="4:4" x14ac:dyDescent="0.25">
      <c r="D8577"/>
    </row>
    <row r="8578" spans="4:4" x14ac:dyDescent="0.25">
      <c r="D8578"/>
    </row>
    <row r="8579" spans="4:4" x14ac:dyDescent="0.25">
      <c r="D8579"/>
    </row>
    <row r="8580" spans="4:4" x14ac:dyDescent="0.25">
      <c r="D8580"/>
    </row>
    <row r="8581" spans="4:4" x14ac:dyDescent="0.25">
      <c r="D8581"/>
    </row>
    <row r="8582" spans="4:4" x14ac:dyDescent="0.25">
      <c r="D8582"/>
    </row>
    <row r="8583" spans="4:4" x14ac:dyDescent="0.25">
      <c r="D8583"/>
    </row>
    <row r="8584" spans="4:4" x14ac:dyDescent="0.25">
      <c r="D8584"/>
    </row>
    <row r="8585" spans="4:4" x14ac:dyDescent="0.25">
      <c r="D8585"/>
    </row>
    <row r="8586" spans="4:4" x14ac:dyDescent="0.25">
      <c r="D8586"/>
    </row>
    <row r="8587" spans="4:4" x14ac:dyDescent="0.25">
      <c r="D8587"/>
    </row>
    <row r="8588" spans="4:4" x14ac:dyDescent="0.25">
      <c r="D8588"/>
    </row>
    <row r="8589" spans="4:4" x14ac:dyDescent="0.25">
      <c r="D8589"/>
    </row>
    <row r="8590" spans="4:4" x14ac:dyDescent="0.25">
      <c r="D8590"/>
    </row>
    <row r="8591" spans="4:4" x14ac:dyDescent="0.25">
      <c r="D8591"/>
    </row>
    <row r="8592" spans="4:4" x14ac:dyDescent="0.25">
      <c r="D8592"/>
    </row>
    <row r="8593" spans="4:4" x14ac:dyDescent="0.25">
      <c r="D8593"/>
    </row>
    <row r="8594" spans="4:4" x14ac:dyDescent="0.25">
      <c r="D8594"/>
    </row>
    <row r="8595" spans="4:4" x14ac:dyDescent="0.25">
      <c r="D8595"/>
    </row>
    <row r="8596" spans="4:4" x14ac:dyDescent="0.25">
      <c r="D8596"/>
    </row>
    <row r="8597" spans="4:4" x14ac:dyDescent="0.25">
      <c r="D8597"/>
    </row>
    <row r="8598" spans="4:4" x14ac:dyDescent="0.25">
      <c r="D8598"/>
    </row>
    <row r="8599" spans="4:4" x14ac:dyDescent="0.25">
      <c r="D8599"/>
    </row>
    <row r="8600" spans="4:4" x14ac:dyDescent="0.25">
      <c r="D8600"/>
    </row>
    <row r="8601" spans="4:4" x14ac:dyDescent="0.25">
      <c r="D8601"/>
    </row>
    <row r="8602" spans="4:4" x14ac:dyDescent="0.25">
      <c r="D8602"/>
    </row>
    <row r="8603" spans="4:4" x14ac:dyDescent="0.25">
      <c r="D8603"/>
    </row>
    <row r="8604" spans="4:4" x14ac:dyDescent="0.25">
      <c r="D8604"/>
    </row>
    <row r="8605" spans="4:4" x14ac:dyDescent="0.25">
      <c r="D8605"/>
    </row>
    <row r="8606" spans="4:4" x14ac:dyDescent="0.25">
      <c r="D8606"/>
    </row>
    <row r="8607" spans="4:4" x14ac:dyDescent="0.25">
      <c r="D8607"/>
    </row>
    <row r="8608" spans="4:4" x14ac:dyDescent="0.25">
      <c r="D8608"/>
    </row>
    <row r="8609" spans="4:4" x14ac:dyDescent="0.25">
      <c r="D8609"/>
    </row>
    <row r="8610" spans="4:4" x14ac:dyDescent="0.25">
      <c r="D8610"/>
    </row>
    <row r="8611" spans="4:4" x14ac:dyDescent="0.25">
      <c r="D8611"/>
    </row>
    <row r="8612" spans="4:4" x14ac:dyDescent="0.25">
      <c r="D8612"/>
    </row>
    <row r="8613" spans="4:4" x14ac:dyDescent="0.25">
      <c r="D8613"/>
    </row>
    <row r="8614" spans="4:4" x14ac:dyDescent="0.25">
      <c r="D8614"/>
    </row>
    <row r="8615" spans="4:4" x14ac:dyDescent="0.25">
      <c r="D8615"/>
    </row>
    <row r="8616" spans="4:4" x14ac:dyDescent="0.25">
      <c r="D8616"/>
    </row>
    <row r="8617" spans="4:4" x14ac:dyDescent="0.25">
      <c r="D8617"/>
    </row>
    <row r="8618" spans="4:4" x14ac:dyDescent="0.25">
      <c r="D8618"/>
    </row>
    <row r="8619" spans="4:4" x14ac:dyDescent="0.25">
      <c r="D8619"/>
    </row>
    <row r="8620" spans="4:4" x14ac:dyDescent="0.25">
      <c r="D8620"/>
    </row>
    <row r="8621" spans="4:4" x14ac:dyDescent="0.25">
      <c r="D8621"/>
    </row>
    <row r="8622" spans="4:4" x14ac:dyDescent="0.25">
      <c r="D8622"/>
    </row>
    <row r="8623" spans="4:4" x14ac:dyDescent="0.25">
      <c r="D8623"/>
    </row>
    <row r="8624" spans="4:4" x14ac:dyDescent="0.25">
      <c r="D8624"/>
    </row>
    <row r="8625" spans="4:4" x14ac:dyDescent="0.25">
      <c r="D8625"/>
    </row>
    <row r="8626" spans="4:4" x14ac:dyDescent="0.25">
      <c r="D8626"/>
    </row>
    <row r="8627" spans="4:4" x14ac:dyDescent="0.25">
      <c r="D8627"/>
    </row>
    <row r="8628" spans="4:4" x14ac:dyDescent="0.25">
      <c r="D8628"/>
    </row>
    <row r="8629" spans="4:4" x14ac:dyDescent="0.25">
      <c r="D8629"/>
    </row>
    <row r="8630" spans="4:4" x14ac:dyDescent="0.25">
      <c r="D8630"/>
    </row>
    <row r="8631" spans="4:4" x14ac:dyDescent="0.25">
      <c r="D8631"/>
    </row>
    <row r="8632" spans="4:4" x14ac:dyDescent="0.25">
      <c r="D8632"/>
    </row>
    <row r="8633" spans="4:4" x14ac:dyDescent="0.25">
      <c r="D8633"/>
    </row>
    <row r="8634" spans="4:4" x14ac:dyDescent="0.25">
      <c r="D8634"/>
    </row>
    <row r="8635" spans="4:4" x14ac:dyDescent="0.25">
      <c r="D8635"/>
    </row>
    <row r="8636" spans="4:4" x14ac:dyDescent="0.25">
      <c r="D8636"/>
    </row>
    <row r="8637" spans="4:4" x14ac:dyDescent="0.25">
      <c r="D8637"/>
    </row>
    <row r="8638" spans="4:4" x14ac:dyDescent="0.25">
      <c r="D8638"/>
    </row>
    <row r="8639" spans="4:4" x14ac:dyDescent="0.25">
      <c r="D8639"/>
    </row>
    <row r="8640" spans="4:4" x14ac:dyDescent="0.25">
      <c r="D8640"/>
    </row>
    <row r="8641" spans="4:4" x14ac:dyDescent="0.25">
      <c r="D8641"/>
    </row>
    <row r="8642" spans="4:4" x14ac:dyDescent="0.25">
      <c r="D8642"/>
    </row>
    <row r="8643" spans="4:4" x14ac:dyDescent="0.25">
      <c r="D8643"/>
    </row>
    <row r="8644" spans="4:4" x14ac:dyDescent="0.25">
      <c r="D8644"/>
    </row>
    <row r="8645" spans="4:4" x14ac:dyDescent="0.25">
      <c r="D8645"/>
    </row>
    <row r="8646" spans="4:4" x14ac:dyDescent="0.25">
      <c r="D8646"/>
    </row>
    <row r="8647" spans="4:4" x14ac:dyDescent="0.25">
      <c r="D8647"/>
    </row>
    <row r="8648" spans="4:4" x14ac:dyDescent="0.25">
      <c r="D8648"/>
    </row>
    <row r="8649" spans="4:4" x14ac:dyDescent="0.25">
      <c r="D8649"/>
    </row>
    <row r="8650" spans="4:4" x14ac:dyDescent="0.25">
      <c r="D8650"/>
    </row>
    <row r="8651" spans="4:4" x14ac:dyDescent="0.25">
      <c r="D8651"/>
    </row>
    <row r="8652" spans="4:4" x14ac:dyDescent="0.25">
      <c r="D8652"/>
    </row>
    <row r="8653" spans="4:4" x14ac:dyDescent="0.25">
      <c r="D8653"/>
    </row>
    <row r="8654" spans="4:4" x14ac:dyDescent="0.25">
      <c r="D8654"/>
    </row>
    <row r="8655" spans="4:4" x14ac:dyDescent="0.25">
      <c r="D8655"/>
    </row>
    <row r="8656" spans="4:4" x14ac:dyDescent="0.25">
      <c r="D8656"/>
    </row>
    <row r="8657" spans="4:4" x14ac:dyDescent="0.25">
      <c r="D8657"/>
    </row>
    <row r="8658" spans="4:4" x14ac:dyDescent="0.25">
      <c r="D8658"/>
    </row>
    <row r="8659" spans="4:4" x14ac:dyDescent="0.25">
      <c r="D8659"/>
    </row>
    <row r="8660" spans="4:4" x14ac:dyDescent="0.25">
      <c r="D8660"/>
    </row>
    <row r="8661" spans="4:4" x14ac:dyDescent="0.25">
      <c r="D8661"/>
    </row>
    <row r="8662" spans="4:4" x14ac:dyDescent="0.25">
      <c r="D8662"/>
    </row>
    <row r="8663" spans="4:4" x14ac:dyDescent="0.25">
      <c r="D8663"/>
    </row>
    <row r="8664" spans="4:4" x14ac:dyDescent="0.25">
      <c r="D8664"/>
    </row>
    <row r="8665" spans="4:4" x14ac:dyDescent="0.25">
      <c r="D8665"/>
    </row>
    <row r="8666" spans="4:4" x14ac:dyDescent="0.25">
      <c r="D8666"/>
    </row>
    <row r="8667" spans="4:4" x14ac:dyDescent="0.25">
      <c r="D8667"/>
    </row>
    <row r="8668" spans="4:4" x14ac:dyDescent="0.25">
      <c r="D8668"/>
    </row>
    <row r="8669" spans="4:4" x14ac:dyDescent="0.25">
      <c r="D8669"/>
    </row>
    <row r="8670" spans="4:4" x14ac:dyDescent="0.25">
      <c r="D8670"/>
    </row>
    <row r="8671" spans="4:4" x14ac:dyDescent="0.25">
      <c r="D8671"/>
    </row>
    <row r="8672" spans="4:4" x14ac:dyDescent="0.25">
      <c r="D8672"/>
    </row>
    <row r="8673" spans="4:4" x14ac:dyDescent="0.25">
      <c r="D8673"/>
    </row>
    <row r="8674" spans="4:4" x14ac:dyDescent="0.25">
      <c r="D8674"/>
    </row>
    <row r="8675" spans="4:4" x14ac:dyDescent="0.25">
      <c r="D8675"/>
    </row>
    <row r="8676" spans="4:4" x14ac:dyDescent="0.25">
      <c r="D8676"/>
    </row>
    <row r="8677" spans="4:4" x14ac:dyDescent="0.25">
      <c r="D8677"/>
    </row>
    <row r="8678" spans="4:4" x14ac:dyDescent="0.25">
      <c r="D8678"/>
    </row>
    <row r="8679" spans="4:4" x14ac:dyDescent="0.25">
      <c r="D8679"/>
    </row>
    <row r="8680" spans="4:4" x14ac:dyDescent="0.25">
      <c r="D8680"/>
    </row>
    <row r="8681" spans="4:4" x14ac:dyDescent="0.25">
      <c r="D8681"/>
    </row>
    <row r="8682" spans="4:4" x14ac:dyDescent="0.25">
      <c r="D8682"/>
    </row>
    <row r="8683" spans="4:4" x14ac:dyDescent="0.25">
      <c r="D8683"/>
    </row>
    <row r="8684" spans="4:4" x14ac:dyDescent="0.25">
      <c r="D8684"/>
    </row>
    <row r="8685" spans="4:4" x14ac:dyDescent="0.25">
      <c r="D8685"/>
    </row>
    <row r="8686" spans="4:4" x14ac:dyDescent="0.25">
      <c r="D8686"/>
    </row>
    <row r="8687" spans="4:4" x14ac:dyDescent="0.25">
      <c r="D8687"/>
    </row>
    <row r="8688" spans="4:4" x14ac:dyDescent="0.25">
      <c r="D8688"/>
    </row>
    <row r="8689" spans="4:4" x14ac:dyDescent="0.25">
      <c r="D8689"/>
    </row>
    <row r="8690" spans="4:4" x14ac:dyDescent="0.25">
      <c r="D8690"/>
    </row>
    <row r="8691" spans="4:4" x14ac:dyDescent="0.25">
      <c r="D8691"/>
    </row>
    <row r="8692" spans="4:4" x14ac:dyDescent="0.25">
      <c r="D8692"/>
    </row>
    <row r="8693" spans="4:4" x14ac:dyDescent="0.25">
      <c r="D8693"/>
    </row>
    <row r="8694" spans="4:4" x14ac:dyDescent="0.25">
      <c r="D8694"/>
    </row>
    <row r="8695" spans="4:4" x14ac:dyDescent="0.25">
      <c r="D8695"/>
    </row>
    <row r="8696" spans="4:4" x14ac:dyDescent="0.25">
      <c r="D8696"/>
    </row>
    <row r="8697" spans="4:4" x14ac:dyDescent="0.25">
      <c r="D8697"/>
    </row>
    <row r="8698" spans="4:4" x14ac:dyDescent="0.25">
      <c r="D8698"/>
    </row>
    <row r="8699" spans="4:4" x14ac:dyDescent="0.25">
      <c r="D8699"/>
    </row>
    <row r="8700" spans="4:4" x14ac:dyDescent="0.25">
      <c r="D8700"/>
    </row>
    <row r="8701" spans="4:4" x14ac:dyDescent="0.25">
      <c r="D8701"/>
    </row>
    <row r="8702" spans="4:4" x14ac:dyDescent="0.25">
      <c r="D8702"/>
    </row>
    <row r="8703" spans="4:4" x14ac:dyDescent="0.25">
      <c r="D8703"/>
    </row>
    <row r="8704" spans="4:4" x14ac:dyDescent="0.25">
      <c r="D8704"/>
    </row>
    <row r="8705" spans="4:4" x14ac:dyDescent="0.25">
      <c r="D8705"/>
    </row>
    <row r="8706" spans="4:4" x14ac:dyDescent="0.25">
      <c r="D8706"/>
    </row>
    <row r="8707" spans="4:4" x14ac:dyDescent="0.25">
      <c r="D8707"/>
    </row>
    <row r="8708" spans="4:4" x14ac:dyDescent="0.25">
      <c r="D8708"/>
    </row>
    <row r="8709" spans="4:4" x14ac:dyDescent="0.25">
      <c r="D8709"/>
    </row>
    <row r="8710" spans="4:4" x14ac:dyDescent="0.25">
      <c r="D8710"/>
    </row>
    <row r="8711" spans="4:4" x14ac:dyDescent="0.25">
      <c r="D8711"/>
    </row>
    <row r="8712" spans="4:4" x14ac:dyDescent="0.25">
      <c r="D8712"/>
    </row>
    <row r="8713" spans="4:4" x14ac:dyDescent="0.25">
      <c r="D8713"/>
    </row>
    <row r="8714" spans="4:4" x14ac:dyDescent="0.25">
      <c r="D8714"/>
    </row>
    <row r="8715" spans="4:4" x14ac:dyDescent="0.25">
      <c r="D8715"/>
    </row>
    <row r="8716" spans="4:4" x14ac:dyDescent="0.25">
      <c r="D8716"/>
    </row>
    <row r="8717" spans="4:4" x14ac:dyDescent="0.25">
      <c r="D8717"/>
    </row>
    <row r="8718" spans="4:4" x14ac:dyDescent="0.25">
      <c r="D8718"/>
    </row>
    <row r="8719" spans="4:4" x14ac:dyDescent="0.25">
      <c r="D8719"/>
    </row>
    <row r="8720" spans="4:4" x14ac:dyDescent="0.25">
      <c r="D8720"/>
    </row>
    <row r="8721" spans="4:4" x14ac:dyDescent="0.25">
      <c r="D8721"/>
    </row>
    <row r="8722" spans="4:4" x14ac:dyDescent="0.25">
      <c r="D8722"/>
    </row>
    <row r="8723" spans="4:4" x14ac:dyDescent="0.25">
      <c r="D8723"/>
    </row>
    <row r="8724" spans="4:4" x14ac:dyDescent="0.25">
      <c r="D8724"/>
    </row>
    <row r="8725" spans="4:4" x14ac:dyDescent="0.25">
      <c r="D8725"/>
    </row>
    <row r="8726" spans="4:4" x14ac:dyDescent="0.25">
      <c r="D8726"/>
    </row>
    <row r="8727" spans="4:4" x14ac:dyDescent="0.25">
      <c r="D8727"/>
    </row>
    <row r="8728" spans="4:4" x14ac:dyDescent="0.25">
      <c r="D8728"/>
    </row>
    <row r="8729" spans="4:4" x14ac:dyDescent="0.25">
      <c r="D8729"/>
    </row>
    <row r="8730" spans="4:4" x14ac:dyDescent="0.25">
      <c r="D8730"/>
    </row>
    <row r="8731" spans="4:4" x14ac:dyDescent="0.25">
      <c r="D8731"/>
    </row>
    <row r="8732" spans="4:4" x14ac:dyDescent="0.25">
      <c r="D8732"/>
    </row>
    <row r="8733" spans="4:4" x14ac:dyDescent="0.25">
      <c r="D8733"/>
    </row>
    <row r="8734" spans="4:4" x14ac:dyDescent="0.25">
      <c r="D8734"/>
    </row>
    <row r="8735" spans="4:4" x14ac:dyDescent="0.25">
      <c r="D8735"/>
    </row>
    <row r="8736" spans="4:4" x14ac:dyDescent="0.25">
      <c r="D8736"/>
    </row>
    <row r="8737" spans="4:4" x14ac:dyDescent="0.25">
      <c r="D8737"/>
    </row>
    <row r="8738" spans="4:4" x14ac:dyDescent="0.25">
      <c r="D8738"/>
    </row>
    <row r="8739" spans="4:4" x14ac:dyDescent="0.25">
      <c r="D8739"/>
    </row>
    <row r="8740" spans="4:4" x14ac:dyDescent="0.25">
      <c r="D8740"/>
    </row>
    <row r="8741" spans="4:4" x14ac:dyDescent="0.25">
      <c r="D8741"/>
    </row>
    <row r="8742" spans="4:4" x14ac:dyDescent="0.25">
      <c r="D8742"/>
    </row>
    <row r="8743" spans="4:4" x14ac:dyDescent="0.25">
      <c r="D8743"/>
    </row>
    <row r="8744" spans="4:4" x14ac:dyDescent="0.25">
      <c r="D8744"/>
    </row>
    <row r="8745" spans="4:4" x14ac:dyDescent="0.25">
      <c r="D8745"/>
    </row>
    <row r="8746" spans="4:4" x14ac:dyDescent="0.25">
      <c r="D8746"/>
    </row>
    <row r="8747" spans="4:4" x14ac:dyDescent="0.25">
      <c r="D8747"/>
    </row>
    <row r="8748" spans="4:4" x14ac:dyDescent="0.25">
      <c r="D8748"/>
    </row>
    <row r="8749" spans="4:4" x14ac:dyDescent="0.25">
      <c r="D8749"/>
    </row>
    <row r="8750" spans="4:4" x14ac:dyDescent="0.25">
      <c r="D8750"/>
    </row>
    <row r="8751" spans="4:4" x14ac:dyDescent="0.25">
      <c r="D8751"/>
    </row>
    <row r="8752" spans="4:4" x14ac:dyDescent="0.25">
      <c r="D8752"/>
    </row>
    <row r="8753" spans="4:4" x14ac:dyDescent="0.25">
      <c r="D8753"/>
    </row>
    <row r="8754" spans="4:4" x14ac:dyDescent="0.25">
      <c r="D8754"/>
    </row>
    <row r="8755" spans="4:4" x14ac:dyDescent="0.25">
      <c r="D8755"/>
    </row>
    <row r="8756" spans="4:4" x14ac:dyDescent="0.25">
      <c r="D8756"/>
    </row>
    <row r="8757" spans="4:4" x14ac:dyDescent="0.25">
      <c r="D8757"/>
    </row>
    <row r="8758" spans="4:4" x14ac:dyDescent="0.25">
      <c r="D8758"/>
    </row>
    <row r="8759" spans="4:4" x14ac:dyDescent="0.25">
      <c r="D8759"/>
    </row>
    <row r="8760" spans="4:4" x14ac:dyDescent="0.25">
      <c r="D8760"/>
    </row>
    <row r="8761" spans="4:4" x14ac:dyDescent="0.25">
      <c r="D8761"/>
    </row>
    <row r="8762" spans="4:4" x14ac:dyDescent="0.25">
      <c r="D8762"/>
    </row>
    <row r="8763" spans="4:4" x14ac:dyDescent="0.25">
      <c r="D8763"/>
    </row>
    <row r="8764" spans="4:4" x14ac:dyDescent="0.25">
      <c r="D8764"/>
    </row>
    <row r="8765" spans="4:4" x14ac:dyDescent="0.25">
      <c r="D8765"/>
    </row>
    <row r="8766" spans="4:4" x14ac:dyDescent="0.25">
      <c r="D8766"/>
    </row>
    <row r="8767" spans="4:4" x14ac:dyDescent="0.25">
      <c r="D8767"/>
    </row>
    <row r="8768" spans="4:4" x14ac:dyDescent="0.25">
      <c r="D8768"/>
    </row>
    <row r="8769" spans="4:4" x14ac:dyDescent="0.25">
      <c r="D8769"/>
    </row>
    <row r="8770" spans="4:4" x14ac:dyDescent="0.25">
      <c r="D8770"/>
    </row>
    <row r="8771" spans="4:4" x14ac:dyDescent="0.25">
      <c r="D8771"/>
    </row>
    <row r="8772" spans="4:4" x14ac:dyDescent="0.25">
      <c r="D8772"/>
    </row>
    <row r="8773" spans="4:4" x14ac:dyDescent="0.25">
      <c r="D8773"/>
    </row>
    <row r="8774" spans="4:4" x14ac:dyDescent="0.25">
      <c r="D8774"/>
    </row>
    <row r="8775" spans="4:4" x14ac:dyDescent="0.25">
      <c r="D8775"/>
    </row>
    <row r="8776" spans="4:4" x14ac:dyDescent="0.25">
      <c r="D8776"/>
    </row>
    <row r="8777" spans="4:4" x14ac:dyDescent="0.25">
      <c r="D8777"/>
    </row>
    <row r="8778" spans="4:4" x14ac:dyDescent="0.25">
      <c r="D8778"/>
    </row>
    <row r="8779" spans="4:4" x14ac:dyDescent="0.25">
      <c r="D8779"/>
    </row>
    <row r="8780" spans="4:4" x14ac:dyDescent="0.25">
      <c r="D8780"/>
    </row>
    <row r="8781" spans="4:4" x14ac:dyDescent="0.25">
      <c r="D8781"/>
    </row>
    <row r="8782" spans="4:4" x14ac:dyDescent="0.25">
      <c r="D8782"/>
    </row>
    <row r="8783" spans="4:4" x14ac:dyDescent="0.25">
      <c r="D8783"/>
    </row>
    <row r="8784" spans="4:4" x14ac:dyDescent="0.25">
      <c r="D8784"/>
    </row>
    <row r="8785" spans="4:4" x14ac:dyDescent="0.25">
      <c r="D8785"/>
    </row>
    <row r="8786" spans="4:4" x14ac:dyDescent="0.25">
      <c r="D8786"/>
    </row>
    <row r="8787" spans="4:4" x14ac:dyDescent="0.25">
      <c r="D8787"/>
    </row>
    <row r="8788" spans="4:4" x14ac:dyDescent="0.25">
      <c r="D8788"/>
    </row>
    <row r="8789" spans="4:4" x14ac:dyDescent="0.25">
      <c r="D8789"/>
    </row>
    <row r="8790" spans="4:4" x14ac:dyDescent="0.25">
      <c r="D8790"/>
    </row>
    <row r="8791" spans="4:4" x14ac:dyDescent="0.25">
      <c r="D8791"/>
    </row>
    <row r="8792" spans="4:4" x14ac:dyDescent="0.25">
      <c r="D8792"/>
    </row>
    <row r="8793" spans="4:4" x14ac:dyDescent="0.25">
      <c r="D8793"/>
    </row>
    <row r="8794" spans="4:4" x14ac:dyDescent="0.25">
      <c r="D8794"/>
    </row>
    <row r="8795" spans="4:4" x14ac:dyDescent="0.25">
      <c r="D8795"/>
    </row>
    <row r="8796" spans="4:4" x14ac:dyDescent="0.25">
      <c r="D8796"/>
    </row>
    <row r="8797" spans="4:4" x14ac:dyDescent="0.25">
      <c r="D8797"/>
    </row>
    <row r="8798" spans="4:4" x14ac:dyDescent="0.25">
      <c r="D8798"/>
    </row>
    <row r="8799" spans="4:4" x14ac:dyDescent="0.25">
      <c r="D8799"/>
    </row>
    <row r="8800" spans="4:4" x14ac:dyDescent="0.25">
      <c r="D8800"/>
    </row>
    <row r="8801" spans="4:4" x14ac:dyDescent="0.25">
      <c r="D8801"/>
    </row>
    <row r="8802" spans="4:4" x14ac:dyDescent="0.25">
      <c r="D8802"/>
    </row>
    <row r="8803" spans="4:4" x14ac:dyDescent="0.25">
      <c r="D8803"/>
    </row>
    <row r="8804" spans="4:4" x14ac:dyDescent="0.25">
      <c r="D8804"/>
    </row>
    <row r="8805" spans="4:4" x14ac:dyDescent="0.25">
      <c r="D8805"/>
    </row>
    <row r="8806" spans="4:4" x14ac:dyDescent="0.25">
      <c r="D8806"/>
    </row>
    <row r="8807" spans="4:4" x14ac:dyDescent="0.25">
      <c r="D8807"/>
    </row>
    <row r="8808" spans="4:4" x14ac:dyDescent="0.25">
      <c r="D8808"/>
    </row>
    <row r="8809" spans="4:4" x14ac:dyDescent="0.25">
      <c r="D8809"/>
    </row>
    <row r="8810" spans="4:4" x14ac:dyDescent="0.25">
      <c r="D8810"/>
    </row>
    <row r="8811" spans="4:4" x14ac:dyDescent="0.25">
      <c r="D8811"/>
    </row>
    <row r="8812" spans="4:4" x14ac:dyDescent="0.25">
      <c r="D8812"/>
    </row>
    <row r="8813" spans="4:4" x14ac:dyDescent="0.25">
      <c r="D8813"/>
    </row>
    <row r="8814" spans="4:4" x14ac:dyDescent="0.25">
      <c r="D8814"/>
    </row>
    <row r="8815" spans="4:4" x14ac:dyDescent="0.25">
      <c r="D8815"/>
    </row>
    <row r="8816" spans="4:4" x14ac:dyDescent="0.25">
      <c r="D8816"/>
    </row>
    <row r="8817" spans="4:4" x14ac:dyDescent="0.25">
      <c r="D8817"/>
    </row>
    <row r="8818" spans="4:4" x14ac:dyDescent="0.25">
      <c r="D8818"/>
    </row>
    <row r="8819" spans="4:4" x14ac:dyDescent="0.25">
      <c r="D8819"/>
    </row>
    <row r="8820" spans="4:4" x14ac:dyDescent="0.25">
      <c r="D8820"/>
    </row>
    <row r="8821" spans="4:4" x14ac:dyDescent="0.25">
      <c r="D8821"/>
    </row>
    <row r="8822" spans="4:4" x14ac:dyDescent="0.25">
      <c r="D8822"/>
    </row>
    <row r="8823" spans="4:4" x14ac:dyDescent="0.25">
      <c r="D8823"/>
    </row>
    <row r="8824" spans="4:4" x14ac:dyDescent="0.25">
      <c r="D8824"/>
    </row>
    <row r="8825" spans="4:4" x14ac:dyDescent="0.25">
      <c r="D8825"/>
    </row>
    <row r="8826" spans="4:4" x14ac:dyDescent="0.25">
      <c r="D8826"/>
    </row>
    <row r="8827" spans="4:4" x14ac:dyDescent="0.25">
      <c r="D8827"/>
    </row>
    <row r="8828" spans="4:4" x14ac:dyDescent="0.25">
      <c r="D8828"/>
    </row>
    <row r="8829" spans="4:4" x14ac:dyDescent="0.25">
      <c r="D8829"/>
    </row>
    <row r="8830" spans="4:4" x14ac:dyDescent="0.25">
      <c r="D8830"/>
    </row>
    <row r="8831" spans="4:4" x14ac:dyDescent="0.25">
      <c r="D8831"/>
    </row>
    <row r="8832" spans="4:4" x14ac:dyDescent="0.25">
      <c r="D8832"/>
    </row>
    <row r="8833" spans="4:4" x14ac:dyDescent="0.25">
      <c r="D8833"/>
    </row>
    <row r="8834" spans="4:4" x14ac:dyDescent="0.25">
      <c r="D8834"/>
    </row>
    <row r="8835" spans="4:4" x14ac:dyDescent="0.25">
      <c r="D8835"/>
    </row>
    <row r="8836" spans="4:4" x14ac:dyDescent="0.25">
      <c r="D8836"/>
    </row>
    <row r="8837" spans="4:4" x14ac:dyDescent="0.25">
      <c r="D8837"/>
    </row>
    <row r="8838" spans="4:4" x14ac:dyDescent="0.25">
      <c r="D8838"/>
    </row>
    <row r="8839" spans="4:4" x14ac:dyDescent="0.25">
      <c r="D8839"/>
    </row>
    <row r="8840" spans="4:4" x14ac:dyDescent="0.25">
      <c r="D8840"/>
    </row>
    <row r="8841" spans="4:4" x14ac:dyDescent="0.25">
      <c r="D8841"/>
    </row>
    <row r="8842" spans="4:4" x14ac:dyDescent="0.25">
      <c r="D8842"/>
    </row>
    <row r="8843" spans="4:4" x14ac:dyDescent="0.25">
      <c r="D8843"/>
    </row>
    <row r="8844" spans="4:4" x14ac:dyDescent="0.25">
      <c r="D8844"/>
    </row>
    <row r="8845" spans="4:4" x14ac:dyDescent="0.25">
      <c r="D8845"/>
    </row>
    <row r="8846" spans="4:4" x14ac:dyDescent="0.25">
      <c r="D8846"/>
    </row>
    <row r="8847" spans="4:4" x14ac:dyDescent="0.25">
      <c r="D8847"/>
    </row>
    <row r="8848" spans="4:4" x14ac:dyDescent="0.25">
      <c r="D8848"/>
    </row>
    <row r="8849" spans="4:4" x14ac:dyDescent="0.25">
      <c r="D8849"/>
    </row>
    <row r="8850" spans="4:4" x14ac:dyDescent="0.25">
      <c r="D8850"/>
    </row>
    <row r="8851" spans="4:4" x14ac:dyDescent="0.25">
      <c r="D8851"/>
    </row>
    <row r="8852" spans="4:4" x14ac:dyDescent="0.25">
      <c r="D8852"/>
    </row>
    <row r="8853" spans="4:4" x14ac:dyDescent="0.25">
      <c r="D8853"/>
    </row>
    <row r="8854" spans="4:4" x14ac:dyDescent="0.25">
      <c r="D8854"/>
    </row>
    <row r="8855" spans="4:4" x14ac:dyDescent="0.25">
      <c r="D8855"/>
    </row>
    <row r="8856" spans="4:4" x14ac:dyDescent="0.25">
      <c r="D8856"/>
    </row>
    <row r="8857" spans="4:4" x14ac:dyDescent="0.25">
      <c r="D8857"/>
    </row>
    <row r="8858" spans="4:4" x14ac:dyDescent="0.25">
      <c r="D8858"/>
    </row>
    <row r="8859" spans="4:4" x14ac:dyDescent="0.25">
      <c r="D8859"/>
    </row>
    <row r="8860" spans="4:4" x14ac:dyDescent="0.25">
      <c r="D8860"/>
    </row>
    <row r="8861" spans="4:4" x14ac:dyDescent="0.25">
      <c r="D8861"/>
    </row>
    <row r="8862" spans="4:4" x14ac:dyDescent="0.25">
      <c r="D8862"/>
    </row>
    <row r="8863" spans="4:4" x14ac:dyDescent="0.25">
      <c r="D8863"/>
    </row>
    <row r="8864" spans="4:4" x14ac:dyDescent="0.25">
      <c r="D8864"/>
    </row>
    <row r="8865" spans="4:4" x14ac:dyDescent="0.25">
      <c r="D8865"/>
    </row>
    <row r="8866" spans="4:4" x14ac:dyDescent="0.25">
      <c r="D8866"/>
    </row>
    <row r="8867" spans="4:4" x14ac:dyDescent="0.25">
      <c r="D8867"/>
    </row>
    <row r="8868" spans="4:4" x14ac:dyDescent="0.25">
      <c r="D8868"/>
    </row>
    <row r="8869" spans="4:4" x14ac:dyDescent="0.25">
      <c r="D8869"/>
    </row>
    <row r="8870" spans="4:4" x14ac:dyDescent="0.25">
      <c r="D8870"/>
    </row>
    <row r="8871" spans="4:4" x14ac:dyDescent="0.25">
      <c r="D8871"/>
    </row>
    <row r="8872" spans="4:4" x14ac:dyDescent="0.25">
      <c r="D8872"/>
    </row>
    <row r="8873" spans="4:4" x14ac:dyDescent="0.25">
      <c r="D8873"/>
    </row>
    <row r="8874" spans="4:4" x14ac:dyDescent="0.25">
      <c r="D8874"/>
    </row>
    <row r="8875" spans="4:4" x14ac:dyDescent="0.25">
      <c r="D8875"/>
    </row>
    <row r="8876" spans="4:4" x14ac:dyDescent="0.25">
      <c r="D8876"/>
    </row>
    <row r="8877" spans="4:4" x14ac:dyDescent="0.25">
      <c r="D8877"/>
    </row>
    <row r="8878" spans="4:4" x14ac:dyDescent="0.25">
      <c r="D8878"/>
    </row>
    <row r="8879" spans="4:4" x14ac:dyDescent="0.25">
      <c r="D8879"/>
    </row>
    <row r="8880" spans="4:4" x14ac:dyDescent="0.25">
      <c r="D8880"/>
    </row>
    <row r="8881" spans="4:4" x14ac:dyDescent="0.25">
      <c r="D8881"/>
    </row>
    <row r="8882" spans="4:4" x14ac:dyDescent="0.25">
      <c r="D8882"/>
    </row>
    <row r="8883" spans="4:4" x14ac:dyDescent="0.25">
      <c r="D8883"/>
    </row>
    <row r="8884" spans="4:4" x14ac:dyDescent="0.25">
      <c r="D8884"/>
    </row>
    <row r="8885" spans="4:4" x14ac:dyDescent="0.25">
      <c r="D8885"/>
    </row>
    <row r="8886" spans="4:4" x14ac:dyDescent="0.25">
      <c r="D8886"/>
    </row>
    <row r="8887" spans="4:4" x14ac:dyDescent="0.25">
      <c r="D8887"/>
    </row>
    <row r="8888" spans="4:4" x14ac:dyDescent="0.25">
      <c r="D8888"/>
    </row>
    <row r="8889" spans="4:4" x14ac:dyDescent="0.25">
      <c r="D8889"/>
    </row>
    <row r="8890" spans="4:4" x14ac:dyDescent="0.25">
      <c r="D8890"/>
    </row>
    <row r="8891" spans="4:4" x14ac:dyDescent="0.25">
      <c r="D8891"/>
    </row>
    <row r="8892" spans="4:4" x14ac:dyDescent="0.25">
      <c r="D8892"/>
    </row>
    <row r="8893" spans="4:4" x14ac:dyDescent="0.25">
      <c r="D8893"/>
    </row>
    <row r="8894" spans="4:4" x14ac:dyDescent="0.25">
      <c r="D8894"/>
    </row>
    <row r="8895" spans="4:4" x14ac:dyDescent="0.25">
      <c r="D8895"/>
    </row>
    <row r="8896" spans="4:4" x14ac:dyDescent="0.25">
      <c r="D8896"/>
    </row>
    <row r="8897" spans="4:4" x14ac:dyDescent="0.25">
      <c r="D8897"/>
    </row>
    <row r="8898" spans="4:4" x14ac:dyDescent="0.25">
      <c r="D8898"/>
    </row>
    <row r="8899" spans="4:4" x14ac:dyDescent="0.25">
      <c r="D8899"/>
    </row>
    <row r="8900" spans="4:4" x14ac:dyDescent="0.25">
      <c r="D8900"/>
    </row>
    <row r="8901" spans="4:4" x14ac:dyDescent="0.25">
      <c r="D8901"/>
    </row>
    <row r="8902" spans="4:4" x14ac:dyDescent="0.25">
      <c r="D8902"/>
    </row>
    <row r="8903" spans="4:4" x14ac:dyDescent="0.25">
      <c r="D8903"/>
    </row>
    <row r="8904" spans="4:4" x14ac:dyDescent="0.25">
      <c r="D8904"/>
    </row>
    <row r="8905" spans="4:4" x14ac:dyDescent="0.25">
      <c r="D8905"/>
    </row>
    <row r="8906" spans="4:4" x14ac:dyDescent="0.25">
      <c r="D8906"/>
    </row>
    <row r="8907" spans="4:4" x14ac:dyDescent="0.25">
      <c r="D8907"/>
    </row>
    <row r="8908" spans="4:4" x14ac:dyDescent="0.25">
      <c r="D8908"/>
    </row>
    <row r="8909" spans="4:4" x14ac:dyDescent="0.25">
      <c r="D8909"/>
    </row>
    <row r="8910" spans="4:4" x14ac:dyDescent="0.25">
      <c r="D8910"/>
    </row>
    <row r="8911" spans="4:4" x14ac:dyDescent="0.25">
      <c r="D8911"/>
    </row>
    <row r="8912" spans="4:4" x14ac:dyDescent="0.25">
      <c r="D8912"/>
    </row>
    <row r="8913" spans="4:4" x14ac:dyDescent="0.25">
      <c r="D8913"/>
    </row>
    <row r="8914" spans="4:4" x14ac:dyDescent="0.25">
      <c r="D8914"/>
    </row>
    <row r="8915" spans="4:4" x14ac:dyDescent="0.25">
      <c r="D8915"/>
    </row>
    <row r="8916" spans="4:4" x14ac:dyDescent="0.25">
      <c r="D8916"/>
    </row>
    <row r="8917" spans="4:4" x14ac:dyDescent="0.25">
      <c r="D8917"/>
    </row>
    <row r="8918" spans="4:4" x14ac:dyDescent="0.25">
      <c r="D8918"/>
    </row>
    <row r="8919" spans="4:4" x14ac:dyDescent="0.25">
      <c r="D8919"/>
    </row>
    <row r="8920" spans="4:4" x14ac:dyDescent="0.25">
      <c r="D8920"/>
    </row>
    <row r="8921" spans="4:4" x14ac:dyDescent="0.25">
      <c r="D8921"/>
    </row>
    <row r="8922" spans="4:4" x14ac:dyDescent="0.25">
      <c r="D8922"/>
    </row>
    <row r="8923" spans="4:4" x14ac:dyDescent="0.25">
      <c r="D8923"/>
    </row>
    <row r="8924" spans="4:4" x14ac:dyDescent="0.25">
      <c r="D8924"/>
    </row>
    <row r="8925" spans="4:4" x14ac:dyDescent="0.25">
      <c r="D8925"/>
    </row>
    <row r="8926" spans="4:4" x14ac:dyDescent="0.25">
      <c r="D8926"/>
    </row>
    <row r="8927" spans="4:4" x14ac:dyDescent="0.25">
      <c r="D8927"/>
    </row>
    <row r="8928" spans="4:4" x14ac:dyDescent="0.25">
      <c r="D8928"/>
    </row>
    <row r="8929" spans="4:4" x14ac:dyDescent="0.25">
      <c r="D8929"/>
    </row>
    <row r="8930" spans="4:4" x14ac:dyDescent="0.25">
      <c r="D8930"/>
    </row>
    <row r="8931" spans="4:4" x14ac:dyDescent="0.25">
      <c r="D8931"/>
    </row>
    <row r="8932" spans="4:4" x14ac:dyDescent="0.25">
      <c r="D8932"/>
    </row>
    <row r="8933" spans="4:4" x14ac:dyDescent="0.25">
      <c r="D8933"/>
    </row>
    <row r="8934" spans="4:4" x14ac:dyDescent="0.25">
      <c r="D8934"/>
    </row>
    <row r="8935" spans="4:4" x14ac:dyDescent="0.25">
      <c r="D8935"/>
    </row>
    <row r="8936" spans="4:4" x14ac:dyDescent="0.25">
      <c r="D8936"/>
    </row>
    <row r="8937" spans="4:4" x14ac:dyDescent="0.25">
      <c r="D8937"/>
    </row>
    <row r="8938" spans="4:4" x14ac:dyDescent="0.25">
      <c r="D8938"/>
    </row>
    <row r="8939" spans="4:4" x14ac:dyDescent="0.25">
      <c r="D8939"/>
    </row>
    <row r="8940" spans="4:4" x14ac:dyDescent="0.25">
      <c r="D8940"/>
    </row>
    <row r="8941" spans="4:4" x14ac:dyDescent="0.25">
      <c r="D8941"/>
    </row>
    <row r="8942" spans="4:4" x14ac:dyDescent="0.25">
      <c r="D8942"/>
    </row>
    <row r="8943" spans="4:4" x14ac:dyDescent="0.25">
      <c r="D8943"/>
    </row>
    <row r="8944" spans="4:4" x14ac:dyDescent="0.25">
      <c r="D8944"/>
    </row>
    <row r="8945" spans="4:4" x14ac:dyDescent="0.25">
      <c r="D8945"/>
    </row>
    <row r="8946" spans="4:4" x14ac:dyDescent="0.25">
      <c r="D8946"/>
    </row>
    <row r="8947" spans="4:4" x14ac:dyDescent="0.25">
      <c r="D8947"/>
    </row>
    <row r="8948" spans="4:4" x14ac:dyDescent="0.25">
      <c r="D8948"/>
    </row>
    <row r="8949" spans="4:4" x14ac:dyDescent="0.25">
      <c r="D8949"/>
    </row>
    <row r="8950" spans="4:4" x14ac:dyDescent="0.25">
      <c r="D8950"/>
    </row>
    <row r="8951" spans="4:4" x14ac:dyDescent="0.25">
      <c r="D8951"/>
    </row>
    <row r="8952" spans="4:4" x14ac:dyDescent="0.25">
      <c r="D8952"/>
    </row>
    <row r="8953" spans="4:4" x14ac:dyDescent="0.25">
      <c r="D8953"/>
    </row>
    <row r="8954" spans="4:4" x14ac:dyDescent="0.25">
      <c r="D8954"/>
    </row>
    <row r="8955" spans="4:4" x14ac:dyDescent="0.25">
      <c r="D8955"/>
    </row>
    <row r="8956" spans="4:4" x14ac:dyDescent="0.25">
      <c r="D8956"/>
    </row>
    <row r="8957" spans="4:4" x14ac:dyDescent="0.25">
      <c r="D8957"/>
    </row>
    <row r="8958" spans="4:4" x14ac:dyDescent="0.25">
      <c r="D8958"/>
    </row>
    <row r="8959" spans="4:4" x14ac:dyDescent="0.25">
      <c r="D8959"/>
    </row>
    <row r="8960" spans="4:4" x14ac:dyDescent="0.25">
      <c r="D8960"/>
    </row>
    <row r="8961" spans="4:4" x14ac:dyDescent="0.25">
      <c r="D8961"/>
    </row>
    <row r="8962" spans="4:4" x14ac:dyDescent="0.25">
      <c r="D8962"/>
    </row>
    <row r="8963" spans="4:4" x14ac:dyDescent="0.25">
      <c r="D8963"/>
    </row>
    <row r="8964" spans="4:4" x14ac:dyDescent="0.25">
      <c r="D8964"/>
    </row>
    <row r="8965" spans="4:4" x14ac:dyDescent="0.25">
      <c r="D8965"/>
    </row>
    <row r="8966" spans="4:4" x14ac:dyDescent="0.25">
      <c r="D8966"/>
    </row>
    <row r="8967" spans="4:4" x14ac:dyDescent="0.25">
      <c r="D8967"/>
    </row>
    <row r="8968" spans="4:4" x14ac:dyDescent="0.25">
      <c r="D8968"/>
    </row>
    <row r="8969" spans="4:4" x14ac:dyDescent="0.25">
      <c r="D8969"/>
    </row>
    <row r="8970" spans="4:4" x14ac:dyDescent="0.25">
      <c r="D8970"/>
    </row>
    <row r="8971" spans="4:4" x14ac:dyDescent="0.25">
      <c r="D8971"/>
    </row>
    <row r="8972" spans="4:4" x14ac:dyDescent="0.25">
      <c r="D8972"/>
    </row>
    <row r="8973" spans="4:4" x14ac:dyDescent="0.25">
      <c r="D8973"/>
    </row>
    <row r="8974" spans="4:4" x14ac:dyDescent="0.25">
      <c r="D8974"/>
    </row>
    <row r="8975" spans="4:4" x14ac:dyDescent="0.25">
      <c r="D8975"/>
    </row>
    <row r="8976" spans="4:4" x14ac:dyDescent="0.25">
      <c r="D8976"/>
    </row>
    <row r="8977" spans="4:4" x14ac:dyDescent="0.25">
      <c r="D8977"/>
    </row>
    <row r="8978" spans="4:4" x14ac:dyDescent="0.25">
      <c r="D8978"/>
    </row>
    <row r="8979" spans="4:4" x14ac:dyDescent="0.25">
      <c r="D8979"/>
    </row>
    <row r="8980" spans="4:4" x14ac:dyDescent="0.25">
      <c r="D8980"/>
    </row>
    <row r="8981" spans="4:4" x14ac:dyDescent="0.25">
      <c r="D8981"/>
    </row>
    <row r="8982" spans="4:4" x14ac:dyDescent="0.25">
      <c r="D8982"/>
    </row>
    <row r="8983" spans="4:4" x14ac:dyDescent="0.25">
      <c r="D8983"/>
    </row>
    <row r="8984" spans="4:4" x14ac:dyDescent="0.25">
      <c r="D8984"/>
    </row>
    <row r="8985" spans="4:4" x14ac:dyDescent="0.25">
      <c r="D8985"/>
    </row>
    <row r="8986" spans="4:4" x14ac:dyDescent="0.25">
      <c r="D8986"/>
    </row>
    <row r="8987" spans="4:4" x14ac:dyDescent="0.25">
      <c r="D8987"/>
    </row>
    <row r="8988" spans="4:4" x14ac:dyDescent="0.25">
      <c r="D8988"/>
    </row>
    <row r="8989" spans="4:4" x14ac:dyDescent="0.25">
      <c r="D8989"/>
    </row>
    <row r="8990" spans="4:4" x14ac:dyDescent="0.25">
      <c r="D8990"/>
    </row>
    <row r="8991" spans="4:4" x14ac:dyDescent="0.25">
      <c r="D8991"/>
    </row>
    <row r="8992" spans="4:4" x14ac:dyDescent="0.25">
      <c r="D8992"/>
    </row>
    <row r="8993" spans="4:4" x14ac:dyDescent="0.25">
      <c r="D8993"/>
    </row>
    <row r="8994" spans="4:4" x14ac:dyDescent="0.25">
      <c r="D8994"/>
    </row>
    <row r="8995" spans="4:4" x14ac:dyDescent="0.25">
      <c r="D8995"/>
    </row>
    <row r="8996" spans="4:4" x14ac:dyDescent="0.25">
      <c r="D8996"/>
    </row>
    <row r="8997" spans="4:4" x14ac:dyDescent="0.25">
      <c r="D8997"/>
    </row>
    <row r="8998" spans="4:4" x14ac:dyDescent="0.25">
      <c r="D8998"/>
    </row>
    <row r="8999" spans="4:4" x14ac:dyDescent="0.25">
      <c r="D8999"/>
    </row>
    <row r="9000" spans="4:4" x14ac:dyDescent="0.25">
      <c r="D9000"/>
    </row>
    <row r="9001" spans="4:4" x14ac:dyDescent="0.25">
      <c r="D9001"/>
    </row>
    <row r="9002" spans="4:4" x14ac:dyDescent="0.25">
      <c r="D9002"/>
    </row>
    <row r="9003" spans="4:4" x14ac:dyDescent="0.25">
      <c r="D9003"/>
    </row>
    <row r="9004" spans="4:4" x14ac:dyDescent="0.25">
      <c r="D9004"/>
    </row>
    <row r="9005" spans="4:4" x14ac:dyDescent="0.25">
      <c r="D9005"/>
    </row>
    <row r="9006" spans="4:4" x14ac:dyDescent="0.25">
      <c r="D9006"/>
    </row>
    <row r="9007" spans="4:4" x14ac:dyDescent="0.25">
      <c r="D9007"/>
    </row>
    <row r="9008" spans="4:4" x14ac:dyDescent="0.25">
      <c r="D9008"/>
    </row>
    <row r="9009" spans="4:4" x14ac:dyDescent="0.25">
      <c r="D9009"/>
    </row>
    <row r="9010" spans="4:4" x14ac:dyDescent="0.25">
      <c r="D9010"/>
    </row>
    <row r="9011" spans="4:4" x14ac:dyDescent="0.25">
      <c r="D9011"/>
    </row>
    <row r="9012" spans="4:4" x14ac:dyDescent="0.25">
      <c r="D9012"/>
    </row>
    <row r="9013" spans="4:4" x14ac:dyDescent="0.25">
      <c r="D9013"/>
    </row>
    <row r="9014" spans="4:4" x14ac:dyDescent="0.25">
      <c r="D9014"/>
    </row>
    <row r="9015" spans="4:4" x14ac:dyDescent="0.25">
      <c r="D9015"/>
    </row>
    <row r="9016" spans="4:4" x14ac:dyDescent="0.25">
      <c r="D9016"/>
    </row>
    <row r="9017" spans="4:4" x14ac:dyDescent="0.25">
      <c r="D9017"/>
    </row>
    <row r="9018" spans="4:4" x14ac:dyDescent="0.25">
      <c r="D9018"/>
    </row>
    <row r="9019" spans="4:4" x14ac:dyDescent="0.25">
      <c r="D9019"/>
    </row>
    <row r="9020" spans="4:4" x14ac:dyDescent="0.25">
      <c r="D9020"/>
    </row>
    <row r="9021" spans="4:4" x14ac:dyDescent="0.25">
      <c r="D9021"/>
    </row>
    <row r="9022" spans="4:4" x14ac:dyDescent="0.25">
      <c r="D9022"/>
    </row>
    <row r="9023" spans="4:4" x14ac:dyDescent="0.25">
      <c r="D9023"/>
    </row>
    <row r="9024" spans="4:4" x14ac:dyDescent="0.25">
      <c r="D9024"/>
    </row>
    <row r="9025" spans="4:4" x14ac:dyDescent="0.25">
      <c r="D9025"/>
    </row>
    <row r="9026" spans="4:4" x14ac:dyDescent="0.25">
      <c r="D9026"/>
    </row>
    <row r="9027" spans="4:4" x14ac:dyDescent="0.25">
      <c r="D9027"/>
    </row>
    <row r="9028" spans="4:4" x14ac:dyDescent="0.25">
      <c r="D9028"/>
    </row>
    <row r="9029" spans="4:4" x14ac:dyDescent="0.25">
      <c r="D9029"/>
    </row>
    <row r="9030" spans="4:4" x14ac:dyDescent="0.25">
      <c r="D9030"/>
    </row>
    <row r="9031" spans="4:4" x14ac:dyDescent="0.25">
      <c r="D9031"/>
    </row>
    <row r="9032" spans="4:4" x14ac:dyDescent="0.25">
      <c r="D9032"/>
    </row>
    <row r="9033" spans="4:4" x14ac:dyDescent="0.25">
      <c r="D9033"/>
    </row>
    <row r="9034" spans="4:4" x14ac:dyDescent="0.25">
      <c r="D9034"/>
    </row>
    <row r="9035" spans="4:4" x14ac:dyDescent="0.25">
      <c r="D9035"/>
    </row>
    <row r="9036" spans="4:4" x14ac:dyDescent="0.25">
      <c r="D9036"/>
    </row>
    <row r="9037" spans="4:4" x14ac:dyDescent="0.25">
      <c r="D9037"/>
    </row>
    <row r="9038" spans="4:4" x14ac:dyDescent="0.25">
      <c r="D9038"/>
    </row>
    <row r="9039" spans="4:4" x14ac:dyDescent="0.25">
      <c r="D9039"/>
    </row>
    <row r="9040" spans="4:4" x14ac:dyDescent="0.25">
      <c r="D9040"/>
    </row>
    <row r="9041" spans="4:4" x14ac:dyDescent="0.25">
      <c r="D9041"/>
    </row>
    <row r="9042" spans="4:4" x14ac:dyDescent="0.25">
      <c r="D9042"/>
    </row>
    <row r="9043" spans="4:4" x14ac:dyDescent="0.25">
      <c r="D9043"/>
    </row>
    <row r="9044" spans="4:4" x14ac:dyDescent="0.25">
      <c r="D9044"/>
    </row>
    <row r="9045" spans="4:4" x14ac:dyDescent="0.25">
      <c r="D9045"/>
    </row>
    <row r="9046" spans="4:4" x14ac:dyDescent="0.25">
      <c r="D9046"/>
    </row>
    <row r="9047" spans="4:4" x14ac:dyDescent="0.25">
      <c r="D9047"/>
    </row>
    <row r="9048" spans="4:4" x14ac:dyDescent="0.25">
      <c r="D9048"/>
    </row>
    <row r="9049" spans="4:4" x14ac:dyDescent="0.25">
      <c r="D9049"/>
    </row>
    <row r="9050" spans="4:4" x14ac:dyDescent="0.25">
      <c r="D9050"/>
    </row>
    <row r="9051" spans="4:4" x14ac:dyDescent="0.25">
      <c r="D9051"/>
    </row>
    <row r="9052" spans="4:4" x14ac:dyDescent="0.25">
      <c r="D9052"/>
    </row>
    <row r="9053" spans="4:4" x14ac:dyDescent="0.25">
      <c r="D9053"/>
    </row>
    <row r="9054" spans="4:4" x14ac:dyDescent="0.25">
      <c r="D9054"/>
    </row>
    <row r="9055" spans="4:4" x14ac:dyDescent="0.25">
      <c r="D9055"/>
    </row>
    <row r="9056" spans="4:4" x14ac:dyDescent="0.25">
      <c r="D9056"/>
    </row>
    <row r="9057" spans="4:4" x14ac:dyDescent="0.25">
      <c r="D9057"/>
    </row>
    <row r="9058" spans="4:4" x14ac:dyDescent="0.25">
      <c r="D9058"/>
    </row>
    <row r="9059" spans="4:4" x14ac:dyDescent="0.25">
      <c r="D9059"/>
    </row>
    <row r="9060" spans="4:4" x14ac:dyDescent="0.25">
      <c r="D9060"/>
    </row>
    <row r="9061" spans="4:4" x14ac:dyDescent="0.25">
      <c r="D9061"/>
    </row>
    <row r="9062" spans="4:4" x14ac:dyDescent="0.25">
      <c r="D9062"/>
    </row>
    <row r="9063" spans="4:4" x14ac:dyDescent="0.25">
      <c r="D9063"/>
    </row>
    <row r="9064" spans="4:4" x14ac:dyDescent="0.25">
      <c r="D9064"/>
    </row>
    <row r="9065" spans="4:4" x14ac:dyDescent="0.25">
      <c r="D9065"/>
    </row>
    <row r="9066" spans="4:4" x14ac:dyDescent="0.25">
      <c r="D9066"/>
    </row>
    <row r="9067" spans="4:4" x14ac:dyDescent="0.25">
      <c r="D9067"/>
    </row>
    <row r="9068" spans="4:4" x14ac:dyDescent="0.25">
      <c r="D9068"/>
    </row>
    <row r="9069" spans="4:4" x14ac:dyDescent="0.25">
      <c r="D9069"/>
    </row>
    <row r="9070" spans="4:4" x14ac:dyDescent="0.25">
      <c r="D9070"/>
    </row>
    <row r="9071" spans="4:4" x14ac:dyDescent="0.25">
      <c r="D9071"/>
    </row>
    <row r="9072" spans="4:4" x14ac:dyDescent="0.25">
      <c r="D9072"/>
    </row>
    <row r="9073" spans="4:4" x14ac:dyDescent="0.25">
      <c r="D9073"/>
    </row>
    <row r="9074" spans="4:4" x14ac:dyDescent="0.25">
      <c r="D9074"/>
    </row>
    <row r="9075" spans="4:4" x14ac:dyDescent="0.25">
      <c r="D9075"/>
    </row>
    <row r="9076" spans="4:4" x14ac:dyDescent="0.25">
      <c r="D9076"/>
    </row>
    <row r="9077" spans="4:4" x14ac:dyDescent="0.25">
      <c r="D9077"/>
    </row>
    <row r="9078" spans="4:4" x14ac:dyDescent="0.25">
      <c r="D9078"/>
    </row>
    <row r="9079" spans="4:4" x14ac:dyDescent="0.25">
      <c r="D9079"/>
    </row>
    <row r="9080" spans="4:4" x14ac:dyDescent="0.25">
      <c r="D9080"/>
    </row>
    <row r="9081" spans="4:4" x14ac:dyDescent="0.25">
      <c r="D9081"/>
    </row>
    <row r="9082" spans="4:4" x14ac:dyDescent="0.25">
      <c r="D9082"/>
    </row>
    <row r="9083" spans="4:4" x14ac:dyDescent="0.25">
      <c r="D9083"/>
    </row>
    <row r="9084" spans="4:4" x14ac:dyDescent="0.25">
      <c r="D9084"/>
    </row>
    <row r="9085" spans="4:4" x14ac:dyDescent="0.25">
      <c r="D9085"/>
    </row>
    <row r="9086" spans="4:4" x14ac:dyDescent="0.25">
      <c r="D9086"/>
    </row>
    <row r="9087" spans="4:4" x14ac:dyDescent="0.25">
      <c r="D9087"/>
    </row>
    <row r="9088" spans="4:4" x14ac:dyDescent="0.25">
      <c r="D9088"/>
    </row>
    <row r="9089" spans="4:4" x14ac:dyDescent="0.25">
      <c r="D9089"/>
    </row>
    <row r="9090" spans="4:4" x14ac:dyDescent="0.25">
      <c r="D9090"/>
    </row>
    <row r="9091" spans="4:4" x14ac:dyDescent="0.25">
      <c r="D9091"/>
    </row>
    <row r="9092" spans="4:4" x14ac:dyDescent="0.25">
      <c r="D9092"/>
    </row>
    <row r="9093" spans="4:4" x14ac:dyDescent="0.25">
      <c r="D9093"/>
    </row>
    <row r="9094" spans="4:4" x14ac:dyDescent="0.25">
      <c r="D9094"/>
    </row>
    <row r="9095" spans="4:4" x14ac:dyDescent="0.25">
      <c r="D9095"/>
    </row>
    <row r="9096" spans="4:4" x14ac:dyDescent="0.25">
      <c r="D9096"/>
    </row>
    <row r="9097" spans="4:4" x14ac:dyDescent="0.25">
      <c r="D9097"/>
    </row>
    <row r="9098" spans="4:4" x14ac:dyDescent="0.25">
      <c r="D9098"/>
    </row>
    <row r="9099" spans="4:4" x14ac:dyDescent="0.25">
      <c r="D9099"/>
    </row>
    <row r="9100" spans="4:4" x14ac:dyDescent="0.25">
      <c r="D9100"/>
    </row>
    <row r="9101" spans="4:4" x14ac:dyDescent="0.25">
      <c r="D9101"/>
    </row>
    <row r="9102" spans="4:4" x14ac:dyDescent="0.25">
      <c r="D9102"/>
    </row>
    <row r="9103" spans="4:4" x14ac:dyDescent="0.25">
      <c r="D9103"/>
    </row>
    <row r="9104" spans="4:4" x14ac:dyDescent="0.25">
      <c r="D9104"/>
    </row>
    <row r="9105" spans="4:4" x14ac:dyDescent="0.25">
      <c r="D9105"/>
    </row>
    <row r="9106" spans="4:4" x14ac:dyDescent="0.25">
      <c r="D9106"/>
    </row>
    <row r="9107" spans="4:4" x14ac:dyDescent="0.25">
      <c r="D9107"/>
    </row>
    <row r="9108" spans="4:4" x14ac:dyDescent="0.25">
      <c r="D9108"/>
    </row>
    <row r="9109" spans="4:4" x14ac:dyDescent="0.25">
      <c r="D9109"/>
    </row>
    <row r="9110" spans="4:4" x14ac:dyDescent="0.25">
      <c r="D9110"/>
    </row>
    <row r="9111" spans="4:4" x14ac:dyDescent="0.25">
      <c r="D9111"/>
    </row>
    <row r="9112" spans="4:4" x14ac:dyDescent="0.25">
      <c r="D9112"/>
    </row>
    <row r="9113" spans="4:4" x14ac:dyDescent="0.25">
      <c r="D9113"/>
    </row>
    <row r="9114" spans="4:4" x14ac:dyDescent="0.25">
      <c r="D9114"/>
    </row>
    <row r="9115" spans="4:4" x14ac:dyDescent="0.25">
      <c r="D9115"/>
    </row>
    <row r="9116" spans="4:4" x14ac:dyDescent="0.25">
      <c r="D9116"/>
    </row>
    <row r="9117" spans="4:4" x14ac:dyDescent="0.25">
      <c r="D9117"/>
    </row>
    <row r="9118" spans="4:4" x14ac:dyDescent="0.25">
      <c r="D9118"/>
    </row>
    <row r="9119" spans="4:4" x14ac:dyDescent="0.25">
      <c r="D9119"/>
    </row>
    <row r="9120" spans="4:4" x14ac:dyDescent="0.25">
      <c r="D9120"/>
    </row>
    <row r="9121" spans="4:4" x14ac:dyDescent="0.25">
      <c r="D9121"/>
    </row>
    <row r="9122" spans="4:4" x14ac:dyDescent="0.25">
      <c r="D9122"/>
    </row>
    <row r="9123" spans="4:4" x14ac:dyDescent="0.25">
      <c r="D9123"/>
    </row>
    <row r="9124" spans="4:4" x14ac:dyDescent="0.25">
      <c r="D9124"/>
    </row>
    <row r="9125" spans="4:4" x14ac:dyDescent="0.25">
      <c r="D9125"/>
    </row>
    <row r="9126" spans="4:4" x14ac:dyDescent="0.25">
      <c r="D9126"/>
    </row>
    <row r="9127" spans="4:4" x14ac:dyDescent="0.25">
      <c r="D9127"/>
    </row>
    <row r="9128" spans="4:4" x14ac:dyDescent="0.25">
      <c r="D9128"/>
    </row>
    <row r="9129" spans="4:4" x14ac:dyDescent="0.25">
      <c r="D9129"/>
    </row>
    <row r="9130" spans="4:4" x14ac:dyDescent="0.25">
      <c r="D9130"/>
    </row>
    <row r="9131" spans="4:4" x14ac:dyDescent="0.25">
      <c r="D9131"/>
    </row>
    <row r="9132" spans="4:4" x14ac:dyDescent="0.25">
      <c r="D9132"/>
    </row>
    <row r="9133" spans="4:4" x14ac:dyDescent="0.25">
      <c r="D9133"/>
    </row>
    <row r="9134" spans="4:4" x14ac:dyDescent="0.25">
      <c r="D9134"/>
    </row>
    <row r="9135" spans="4:4" x14ac:dyDescent="0.25">
      <c r="D9135"/>
    </row>
    <row r="9136" spans="4:4" x14ac:dyDescent="0.25">
      <c r="D9136"/>
    </row>
    <row r="9137" spans="4:4" x14ac:dyDescent="0.25">
      <c r="D9137"/>
    </row>
    <row r="9138" spans="4:4" x14ac:dyDescent="0.25">
      <c r="D9138"/>
    </row>
    <row r="9139" spans="4:4" x14ac:dyDescent="0.25">
      <c r="D9139"/>
    </row>
    <row r="9140" spans="4:4" x14ac:dyDescent="0.25">
      <c r="D9140"/>
    </row>
    <row r="9141" spans="4:4" x14ac:dyDescent="0.25">
      <c r="D9141"/>
    </row>
    <row r="9142" spans="4:4" x14ac:dyDescent="0.25">
      <c r="D9142"/>
    </row>
    <row r="9143" spans="4:4" x14ac:dyDescent="0.25">
      <c r="D9143"/>
    </row>
    <row r="9144" spans="4:4" x14ac:dyDescent="0.25">
      <c r="D9144"/>
    </row>
    <row r="9145" spans="4:4" x14ac:dyDescent="0.25">
      <c r="D9145"/>
    </row>
    <row r="9146" spans="4:4" x14ac:dyDescent="0.25">
      <c r="D9146"/>
    </row>
    <row r="9147" spans="4:4" x14ac:dyDescent="0.25">
      <c r="D9147"/>
    </row>
    <row r="9148" spans="4:4" x14ac:dyDescent="0.25">
      <c r="D9148"/>
    </row>
    <row r="9149" spans="4:4" x14ac:dyDescent="0.25">
      <c r="D9149"/>
    </row>
    <row r="9150" spans="4:4" x14ac:dyDescent="0.25">
      <c r="D9150"/>
    </row>
    <row r="9151" spans="4:4" x14ac:dyDescent="0.25">
      <c r="D9151"/>
    </row>
    <row r="9152" spans="4:4" x14ac:dyDescent="0.25">
      <c r="D9152"/>
    </row>
    <row r="9153" spans="4:4" x14ac:dyDescent="0.25">
      <c r="D9153"/>
    </row>
    <row r="9154" spans="4:4" x14ac:dyDescent="0.25">
      <c r="D9154"/>
    </row>
    <row r="9155" spans="4:4" x14ac:dyDescent="0.25">
      <c r="D9155"/>
    </row>
    <row r="9156" spans="4:4" x14ac:dyDescent="0.25">
      <c r="D9156"/>
    </row>
    <row r="9157" spans="4:4" x14ac:dyDescent="0.25">
      <c r="D9157"/>
    </row>
    <row r="9158" spans="4:4" x14ac:dyDescent="0.25">
      <c r="D9158"/>
    </row>
    <row r="9159" spans="4:4" x14ac:dyDescent="0.25">
      <c r="D9159"/>
    </row>
    <row r="9160" spans="4:4" x14ac:dyDescent="0.25">
      <c r="D9160"/>
    </row>
    <row r="9161" spans="4:4" x14ac:dyDescent="0.25">
      <c r="D9161"/>
    </row>
    <row r="9162" spans="4:4" x14ac:dyDescent="0.25">
      <c r="D9162"/>
    </row>
    <row r="9163" spans="4:4" x14ac:dyDescent="0.25">
      <c r="D9163"/>
    </row>
    <row r="9164" spans="4:4" x14ac:dyDescent="0.25">
      <c r="D9164"/>
    </row>
    <row r="9165" spans="4:4" x14ac:dyDescent="0.25">
      <c r="D9165"/>
    </row>
    <row r="9166" spans="4:4" x14ac:dyDescent="0.25">
      <c r="D9166"/>
    </row>
    <row r="9167" spans="4:4" x14ac:dyDescent="0.25">
      <c r="D9167"/>
    </row>
    <row r="9168" spans="4:4" x14ac:dyDescent="0.25">
      <c r="D9168"/>
    </row>
    <row r="9169" spans="4:4" x14ac:dyDescent="0.25">
      <c r="D9169"/>
    </row>
    <row r="9170" spans="4:4" x14ac:dyDescent="0.25">
      <c r="D9170"/>
    </row>
    <row r="9171" spans="4:4" x14ac:dyDescent="0.25">
      <c r="D9171"/>
    </row>
    <row r="9172" spans="4:4" x14ac:dyDescent="0.25">
      <c r="D9172"/>
    </row>
    <row r="9173" spans="4:4" x14ac:dyDescent="0.25">
      <c r="D9173"/>
    </row>
    <row r="9174" spans="4:4" x14ac:dyDescent="0.25">
      <c r="D9174"/>
    </row>
    <row r="9175" spans="4:4" x14ac:dyDescent="0.25">
      <c r="D9175"/>
    </row>
    <row r="9176" spans="4:4" x14ac:dyDescent="0.25">
      <c r="D9176"/>
    </row>
    <row r="9177" spans="4:4" x14ac:dyDescent="0.25">
      <c r="D9177"/>
    </row>
    <row r="9178" spans="4:4" x14ac:dyDescent="0.25">
      <c r="D9178"/>
    </row>
    <row r="9179" spans="4:4" x14ac:dyDescent="0.25">
      <c r="D9179"/>
    </row>
    <row r="9180" spans="4:4" x14ac:dyDescent="0.25">
      <c r="D9180"/>
    </row>
    <row r="9181" spans="4:4" x14ac:dyDescent="0.25">
      <c r="D9181"/>
    </row>
    <row r="9182" spans="4:4" x14ac:dyDescent="0.25">
      <c r="D9182"/>
    </row>
    <row r="9183" spans="4:4" x14ac:dyDescent="0.25">
      <c r="D9183"/>
    </row>
    <row r="9184" spans="4:4" x14ac:dyDescent="0.25">
      <c r="D9184"/>
    </row>
    <row r="9185" spans="4:4" x14ac:dyDescent="0.25">
      <c r="D9185"/>
    </row>
    <row r="9186" spans="4:4" x14ac:dyDescent="0.25">
      <c r="D9186"/>
    </row>
    <row r="9187" spans="4:4" x14ac:dyDescent="0.25">
      <c r="D9187"/>
    </row>
    <row r="9188" spans="4:4" x14ac:dyDescent="0.25">
      <c r="D9188"/>
    </row>
    <row r="9189" spans="4:4" x14ac:dyDescent="0.25">
      <c r="D9189"/>
    </row>
    <row r="9190" spans="4:4" x14ac:dyDescent="0.25">
      <c r="D9190"/>
    </row>
    <row r="9191" spans="4:4" x14ac:dyDescent="0.25">
      <c r="D9191"/>
    </row>
    <row r="9192" spans="4:4" x14ac:dyDescent="0.25">
      <c r="D9192"/>
    </row>
    <row r="9193" spans="4:4" x14ac:dyDescent="0.25">
      <c r="D9193"/>
    </row>
    <row r="9194" spans="4:4" x14ac:dyDescent="0.25">
      <c r="D9194"/>
    </row>
    <row r="9195" spans="4:4" x14ac:dyDescent="0.25">
      <c r="D9195"/>
    </row>
    <row r="9196" spans="4:4" x14ac:dyDescent="0.25">
      <c r="D9196"/>
    </row>
    <row r="9197" spans="4:4" x14ac:dyDescent="0.25">
      <c r="D9197"/>
    </row>
    <row r="9198" spans="4:4" x14ac:dyDescent="0.25">
      <c r="D9198"/>
    </row>
    <row r="9199" spans="4:4" x14ac:dyDescent="0.25">
      <c r="D9199"/>
    </row>
    <row r="9200" spans="4:4" x14ac:dyDescent="0.25">
      <c r="D9200"/>
    </row>
    <row r="9201" spans="4:4" x14ac:dyDescent="0.25">
      <c r="D9201"/>
    </row>
    <row r="9202" spans="4:4" x14ac:dyDescent="0.25">
      <c r="D9202"/>
    </row>
    <row r="9203" spans="4:4" x14ac:dyDescent="0.25">
      <c r="D9203"/>
    </row>
    <row r="9204" spans="4:4" x14ac:dyDescent="0.25">
      <c r="D9204"/>
    </row>
    <row r="9205" spans="4:4" x14ac:dyDescent="0.25">
      <c r="D9205"/>
    </row>
    <row r="9206" spans="4:4" x14ac:dyDescent="0.25">
      <c r="D9206"/>
    </row>
    <row r="9207" spans="4:4" x14ac:dyDescent="0.25">
      <c r="D9207"/>
    </row>
    <row r="9208" spans="4:4" x14ac:dyDescent="0.25">
      <c r="D9208"/>
    </row>
    <row r="9209" spans="4:4" x14ac:dyDescent="0.25">
      <c r="D9209"/>
    </row>
    <row r="9210" spans="4:4" x14ac:dyDescent="0.25">
      <c r="D9210"/>
    </row>
    <row r="9211" spans="4:4" x14ac:dyDescent="0.25">
      <c r="D9211"/>
    </row>
    <row r="9212" spans="4:4" x14ac:dyDescent="0.25">
      <c r="D9212"/>
    </row>
    <row r="9213" spans="4:4" x14ac:dyDescent="0.25">
      <c r="D9213"/>
    </row>
    <row r="9214" spans="4:4" x14ac:dyDescent="0.25">
      <c r="D9214"/>
    </row>
    <row r="9215" spans="4:4" x14ac:dyDescent="0.25">
      <c r="D9215"/>
    </row>
    <row r="9216" spans="4:4" x14ac:dyDescent="0.25">
      <c r="D9216"/>
    </row>
    <row r="9217" spans="4:4" x14ac:dyDescent="0.25">
      <c r="D9217"/>
    </row>
    <row r="9218" spans="4:4" x14ac:dyDescent="0.25">
      <c r="D9218"/>
    </row>
    <row r="9219" spans="4:4" x14ac:dyDescent="0.25">
      <c r="D9219"/>
    </row>
    <row r="9220" spans="4:4" x14ac:dyDescent="0.25">
      <c r="D9220"/>
    </row>
    <row r="9221" spans="4:4" x14ac:dyDescent="0.25">
      <c r="D9221"/>
    </row>
    <row r="9222" spans="4:4" x14ac:dyDescent="0.25">
      <c r="D9222"/>
    </row>
    <row r="9223" spans="4:4" x14ac:dyDescent="0.25">
      <c r="D9223"/>
    </row>
    <row r="9224" spans="4:4" x14ac:dyDescent="0.25">
      <c r="D9224"/>
    </row>
    <row r="9225" spans="4:4" x14ac:dyDescent="0.25">
      <c r="D9225"/>
    </row>
    <row r="9226" spans="4:4" x14ac:dyDescent="0.25">
      <c r="D9226"/>
    </row>
    <row r="9227" spans="4:4" x14ac:dyDescent="0.25">
      <c r="D9227"/>
    </row>
    <row r="9228" spans="4:4" x14ac:dyDescent="0.25">
      <c r="D9228"/>
    </row>
    <row r="9229" spans="4:4" x14ac:dyDescent="0.25">
      <c r="D9229"/>
    </row>
    <row r="9230" spans="4:4" x14ac:dyDescent="0.25">
      <c r="D9230"/>
    </row>
    <row r="9231" spans="4:4" x14ac:dyDescent="0.25">
      <c r="D9231"/>
    </row>
    <row r="9232" spans="4:4" x14ac:dyDescent="0.25">
      <c r="D9232"/>
    </row>
    <row r="9233" spans="4:4" x14ac:dyDescent="0.25">
      <c r="D9233"/>
    </row>
    <row r="9234" spans="4:4" x14ac:dyDescent="0.25">
      <c r="D9234"/>
    </row>
    <row r="9235" spans="4:4" x14ac:dyDescent="0.25">
      <c r="D9235"/>
    </row>
    <row r="9236" spans="4:4" x14ac:dyDescent="0.25">
      <c r="D9236"/>
    </row>
    <row r="9237" spans="4:4" x14ac:dyDescent="0.25">
      <c r="D9237"/>
    </row>
    <row r="9238" spans="4:4" x14ac:dyDescent="0.25">
      <c r="D9238"/>
    </row>
    <row r="9239" spans="4:4" x14ac:dyDescent="0.25">
      <c r="D9239"/>
    </row>
    <row r="9240" spans="4:4" x14ac:dyDescent="0.25">
      <c r="D9240"/>
    </row>
    <row r="9241" spans="4:4" x14ac:dyDescent="0.25">
      <c r="D9241"/>
    </row>
    <row r="9242" spans="4:4" x14ac:dyDescent="0.25">
      <c r="D9242"/>
    </row>
    <row r="9243" spans="4:4" x14ac:dyDescent="0.25">
      <c r="D9243"/>
    </row>
    <row r="9244" spans="4:4" x14ac:dyDescent="0.25">
      <c r="D9244"/>
    </row>
    <row r="9245" spans="4:4" x14ac:dyDescent="0.25">
      <c r="D9245"/>
    </row>
    <row r="9246" spans="4:4" x14ac:dyDescent="0.25">
      <c r="D9246"/>
    </row>
    <row r="9247" spans="4:4" x14ac:dyDescent="0.25">
      <c r="D9247"/>
    </row>
    <row r="9248" spans="4:4" x14ac:dyDescent="0.25">
      <c r="D9248"/>
    </row>
    <row r="9249" spans="4:4" x14ac:dyDescent="0.25">
      <c r="D9249"/>
    </row>
    <row r="9250" spans="4:4" x14ac:dyDescent="0.25">
      <c r="D9250"/>
    </row>
    <row r="9251" spans="4:4" x14ac:dyDescent="0.25">
      <c r="D9251"/>
    </row>
    <row r="9252" spans="4:4" x14ac:dyDescent="0.25">
      <c r="D9252"/>
    </row>
    <row r="9253" spans="4:4" x14ac:dyDescent="0.25">
      <c r="D9253"/>
    </row>
    <row r="9254" spans="4:4" x14ac:dyDescent="0.25">
      <c r="D9254"/>
    </row>
    <row r="9255" spans="4:4" x14ac:dyDescent="0.25">
      <c r="D9255"/>
    </row>
    <row r="9256" spans="4:4" x14ac:dyDescent="0.25">
      <c r="D9256"/>
    </row>
    <row r="9257" spans="4:4" x14ac:dyDescent="0.25">
      <c r="D9257"/>
    </row>
    <row r="9258" spans="4:4" x14ac:dyDescent="0.25">
      <c r="D9258"/>
    </row>
    <row r="9259" spans="4:4" x14ac:dyDescent="0.25">
      <c r="D9259"/>
    </row>
    <row r="9260" spans="4:4" x14ac:dyDescent="0.25">
      <c r="D9260"/>
    </row>
    <row r="9261" spans="4:4" x14ac:dyDescent="0.25">
      <c r="D9261"/>
    </row>
    <row r="9262" spans="4:4" x14ac:dyDescent="0.25">
      <c r="D9262"/>
    </row>
    <row r="9263" spans="4:4" x14ac:dyDescent="0.25">
      <c r="D9263"/>
    </row>
    <row r="9264" spans="4:4" x14ac:dyDescent="0.25">
      <c r="D9264"/>
    </row>
    <row r="9265" spans="4:4" x14ac:dyDescent="0.25">
      <c r="D9265"/>
    </row>
    <row r="9266" spans="4:4" x14ac:dyDescent="0.25">
      <c r="D9266"/>
    </row>
    <row r="9267" spans="4:4" x14ac:dyDescent="0.25">
      <c r="D9267"/>
    </row>
    <row r="9268" spans="4:4" x14ac:dyDescent="0.25">
      <c r="D9268"/>
    </row>
    <row r="9269" spans="4:4" x14ac:dyDescent="0.25">
      <c r="D9269"/>
    </row>
    <row r="9270" spans="4:4" x14ac:dyDescent="0.25">
      <c r="D9270"/>
    </row>
    <row r="9271" spans="4:4" x14ac:dyDescent="0.25">
      <c r="D9271"/>
    </row>
    <row r="9272" spans="4:4" x14ac:dyDescent="0.25">
      <c r="D9272"/>
    </row>
    <row r="9273" spans="4:4" x14ac:dyDescent="0.25">
      <c r="D9273"/>
    </row>
    <row r="9274" spans="4:4" x14ac:dyDescent="0.25">
      <c r="D9274"/>
    </row>
    <row r="9275" spans="4:4" x14ac:dyDescent="0.25">
      <c r="D9275"/>
    </row>
    <row r="9276" spans="4:4" x14ac:dyDescent="0.25">
      <c r="D9276"/>
    </row>
    <row r="9277" spans="4:4" x14ac:dyDescent="0.25">
      <c r="D9277"/>
    </row>
    <row r="9278" spans="4:4" x14ac:dyDescent="0.25">
      <c r="D9278"/>
    </row>
    <row r="9279" spans="4:4" x14ac:dyDescent="0.25">
      <c r="D9279"/>
    </row>
    <row r="9280" spans="4:4" x14ac:dyDescent="0.25">
      <c r="D9280"/>
    </row>
    <row r="9281" spans="4:4" x14ac:dyDescent="0.25">
      <c r="D9281"/>
    </row>
    <row r="9282" spans="4:4" x14ac:dyDescent="0.25">
      <c r="D9282"/>
    </row>
    <row r="9283" spans="4:4" x14ac:dyDescent="0.25">
      <c r="D9283"/>
    </row>
    <row r="9284" spans="4:4" x14ac:dyDescent="0.25">
      <c r="D9284"/>
    </row>
    <row r="9285" spans="4:4" x14ac:dyDescent="0.25">
      <c r="D9285"/>
    </row>
    <row r="9286" spans="4:4" x14ac:dyDescent="0.25">
      <c r="D9286"/>
    </row>
    <row r="9287" spans="4:4" x14ac:dyDescent="0.25">
      <c r="D9287"/>
    </row>
    <row r="9288" spans="4:4" x14ac:dyDescent="0.25">
      <c r="D9288"/>
    </row>
    <row r="9289" spans="4:4" x14ac:dyDescent="0.25">
      <c r="D9289"/>
    </row>
    <row r="9290" spans="4:4" x14ac:dyDescent="0.25">
      <c r="D9290"/>
    </row>
    <row r="9291" spans="4:4" x14ac:dyDescent="0.25">
      <c r="D9291"/>
    </row>
    <row r="9292" spans="4:4" x14ac:dyDescent="0.25">
      <c r="D9292"/>
    </row>
    <row r="9293" spans="4:4" x14ac:dyDescent="0.25">
      <c r="D9293"/>
    </row>
    <row r="9294" spans="4:4" x14ac:dyDescent="0.25">
      <c r="D9294"/>
    </row>
    <row r="9295" spans="4:4" x14ac:dyDescent="0.25">
      <c r="D9295"/>
    </row>
    <row r="9296" spans="4:4" x14ac:dyDescent="0.25">
      <c r="D9296"/>
    </row>
    <row r="9297" spans="4:4" x14ac:dyDescent="0.25">
      <c r="D9297"/>
    </row>
    <row r="9298" spans="4:4" x14ac:dyDescent="0.25">
      <c r="D9298"/>
    </row>
    <row r="9299" spans="4:4" x14ac:dyDescent="0.25">
      <c r="D9299"/>
    </row>
    <row r="9300" spans="4:4" x14ac:dyDescent="0.25">
      <c r="D9300"/>
    </row>
    <row r="9301" spans="4:4" x14ac:dyDescent="0.25">
      <c r="D9301"/>
    </row>
    <row r="9302" spans="4:4" x14ac:dyDescent="0.25">
      <c r="D9302"/>
    </row>
    <row r="9303" spans="4:4" x14ac:dyDescent="0.25">
      <c r="D9303"/>
    </row>
    <row r="9304" spans="4:4" x14ac:dyDescent="0.25">
      <c r="D9304"/>
    </row>
    <row r="9305" spans="4:4" x14ac:dyDescent="0.25">
      <c r="D9305"/>
    </row>
    <row r="9306" spans="4:4" x14ac:dyDescent="0.25">
      <c r="D9306"/>
    </row>
    <row r="9307" spans="4:4" x14ac:dyDescent="0.25">
      <c r="D9307"/>
    </row>
    <row r="9308" spans="4:4" x14ac:dyDescent="0.25">
      <c r="D9308"/>
    </row>
    <row r="9309" spans="4:4" x14ac:dyDescent="0.25">
      <c r="D9309"/>
    </row>
    <row r="9310" spans="4:4" x14ac:dyDescent="0.25">
      <c r="D9310"/>
    </row>
    <row r="9311" spans="4:4" x14ac:dyDescent="0.25">
      <c r="D9311"/>
    </row>
    <row r="9312" spans="4:4" x14ac:dyDescent="0.25">
      <c r="D9312"/>
    </row>
    <row r="9313" spans="4:4" x14ac:dyDescent="0.25">
      <c r="D9313"/>
    </row>
    <row r="9314" spans="4:4" x14ac:dyDescent="0.25">
      <c r="D9314"/>
    </row>
    <row r="9315" spans="4:4" x14ac:dyDescent="0.25">
      <c r="D9315"/>
    </row>
    <row r="9316" spans="4:4" x14ac:dyDescent="0.25">
      <c r="D9316"/>
    </row>
    <row r="9317" spans="4:4" x14ac:dyDescent="0.25">
      <c r="D9317"/>
    </row>
    <row r="9318" spans="4:4" x14ac:dyDescent="0.25">
      <c r="D9318"/>
    </row>
    <row r="9319" spans="4:4" x14ac:dyDescent="0.25">
      <c r="D9319"/>
    </row>
    <row r="9320" spans="4:4" x14ac:dyDescent="0.25">
      <c r="D9320"/>
    </row>
    <row r="9321" spans="4:4" x14ac:dyDescent="0.25">
      <c r="D9321"/>
    </row>
    <row r="9322" spans="4:4" x14ac:dyDescent="0.25">
      <c r="D9322"/>
    </row>
    <row r="9323" spans="4:4" x14ac:dyDescent="0.25">
      <c r="D9323"/>
    </row>
    <row r="9324" spans="4:4" x14ac:dyDescent="0.25">
      <c r="D9324"/>
    </row>
    <row r="9325" spans="4:4" x14ac:dyDescent="0.25">
      <c r="D9325"/>
    </row>
    <row r="9326" spans="4:4" x14ac:dyDescent="0.25">
      <c r="D9326"/>
    </row>
    <row r="9327" spans="4:4" x14ac:dyDescent="0.25">
      <c r="D9327"/>
    </row>
    <row r="9328" spans="4:4" x14ac:dyDescent="0.25">
      <c r="D9328"/>
    </row>
    <row r="9329" spans="4:4" x14ac:dyDescent="0.25">
      <c r="D9329"/>
    </row>
    <row r="9330" spans="4:4" x14ac:dyDescent="0.25">
      <c r="D9330"/>
    </row>
    <row r="9331" spans="4:4" x14ac:dyDescent="0.25">
      <c r="D9331"/>
    </row>
    <row r="9332" spans="4:4" x14ac:dyDescent="0.25">
      <c r="D9332"/>
    </row>
    <row r="9333" spans="4:4" x14ac:dyDescent="0.25">
      <c r="D9333"/>
    </row>
    <row r="9334" spans="4:4" x14ac:dyDescent="0.25">
      <c r="D9334"/>
    </row>
    <row r="9335" spans="4:4" x14ac:dyDescent="0.25">
      <c r="D9335"/>
    </row>
    <row r="9336" spans="4:4" x14ac:dyDescent="0.25">
      <c r="D9336"/>
    </row>
    <row r="9337" spans="4:4" x14ac:dyDescent="0.25">
      <c r="D9337"/>
    </row>
    <row r="9338" spans="4:4" x14ac:dyDescent="0.25">
      <c r="D9338"/>
    </row>
    <row r="9339" spans="4:4" x14ac:dyDescent="0.25">
      <c r="D9339"/>
    </row>
    <row r="9340" spans="4:4" x14ac:dyDescent="0.25">
      <c r="D9340"/>
    </row>
    <row r="9341" spans="4:4" x14ac:dyDescent="0.25">
      <c r="D9341"/>
    </row>
    <row r="9342" spans="4:4" x14ac:dyDescent="0.25">
      <c r="D9342"/>
    </row>
    <row r="9343" spans="4:4" x14ac:dyDescent="0.25">
      <c r="D9343"/>
    </row>
    <row r="9344" spans="4:4" x14ac:dyDescent="0.25">
      <c r="D9344"/>
    </row>
    <row r="9345" spans="4:4" x14ac:dyDescent="0.25">
      <c r="D9345"/>
    </row>
    <row r="9346" spans="4:4" x14ac:dyDescent="0.25">
      <c r="D9346"/>
    </row>
    <row r="9347" spans="4:4" x14ac:dyDescent="0.25">
      <c r="D9347"/>
    </row>
    <row r="9348" spans="4:4" x14ac:dyDescent="0.25">
      <c r="D9348"/>
    </row>
    <row r="9349" spans="4:4" x14ac:dyDescent="0.25">
      <c r="D9349"/>
    </row>
    <row r="9350" spans="4:4" x14ac:dyDescent="0.25">
      <c r="D9350"/>
    </row>
    <row r="9351" spans="4:4" x14ac:dyDescent="0.25">
      <c r="D9351"/>
    </row>
    <row r="9352" spans="4:4" x14ac:dyDescent="0.25">
      <c r="D9352"/>
    </row>
    <row r="9353" spans="4:4" x14ac:dyDescent="0.25">
      <c r="D9353"/>
    </row>
    <row r="9354" spans="4:4" x14ac:dyDescent="0.25">
      <c r="D9354"/>
    </row>
    <row r="9355" spans="4:4" x14ac:dyDescent="0.25">
      <c r="D9355"/>
    </row>
    <row r="9356" spans="4:4" x14ac:dyDescent="0.25">
      <c r="D9356"/>
    </row>
    <row r="9357" spans="4:4" x14ac:dyDescent="0.25">
      <c r="D9357"/>
    </row>
    <row r="9358" spans="4:4" x14ac:dyDescent="0.25">
      <c r="D9358"/>
    </row>
    <row r="9359" spans="4:4" x14ac:dyDescent="0.25">
      <c r="D9359"/>
    </row>
    <row r="9360" spans="4:4" x14ac:dyDescent="0.25">
      <c r="D9360"/>
    </row>
    <row r="9361" spans="4:4" x14ac:dyDescent="0.25">
      <c r="D9361"/>
    </row>
    <row r="9362" spans="4:4" x14ac:dyDescent="0.25">
      <c r="D9362"/>
    </row>
    <row r="9363" spans="4:4" x14ac:dyDescent="0.25">
      <c r="D9363"/>
    </row>
    <row r="9364" spans="4:4" x14ac:dyDescent="0.25">
      <c r="D9364"/>
    </row>
    <row r="9365" spans="4:4" x14ac:dyDescent="0.25">
      <c r="D9365"/>
    </row>
    <row r="9366" spans="4:4" x14ac:dyDescent="0.25">
      <c r="D9366"/>
    </row>
    <row r="9367" spans="4:4" x14ac:dyDescent="0.25">
      <c r="D9367"/>
    </row>
    <row r="9368" spans="4:4" x14ac:dyDescent="0.25">
      <c r="D9368"/>
    </row>
    <row r="9369" spans="4:4" x14ac:dyDescent="0.25">
      <c r="D9369"/>
    </row>
    <row r="9370" spans="4:4" x14ac:dyDescent="0.25">
      <c r="D9370"/>
    </row>
    <row r="9371" spans="4:4" x14ac:dyDescent="0.25">
      <c r="D9371"/>
    </row>
    <row r="9372" spans="4:4" x14ac:dyDescent="0.25">
      <c r="D9372"/>
    </row>
    <row r="9373" spans="4:4" x14ac:dyDescent="0.25">
      <c r="D9373"/>
    </row>
    <row r="9374" spans="4:4" x14ac:dyDescent="0.25">
      <c r="D9374"/>
    </row>
    <row r="9375" spans="4:4" x14ac:dyDescent="0.25">
      <c r="D9375"/>
    </row>
    <row r="9376" spans="4:4" x14ac:dyDescent="0.25">
      <c r="D9376"/>
    </row>
    <row r="9377" spans="4:4" x14ac:dyDescent="0.25">
      <c r="D9377"/>
    </row>
    <row r="9378" spans="4:4" x14ac:dyDescent="0.25">
      <c r="D9378"/>
    </row>
    <row r="9379" spans="4:4" x14ac:dyDescent="0.25">
      <c r="D9379"/>
    </row>
    <row r="9380" spans="4:4" x14ac:dyDescent="0.25">
      <c r="D9380"/>
    </row>
    <row r="9381" spans="4:4" x14ac:dyDescent="0.25">
      <c r="D9381"/>
    </row>
    <row r="9382" spans="4:4" x14ac:dyDescent="0.25">
      <c r="D9382"/>
    </row>
    <row r="9383" spans="4:4" x14ac:dyDescent="0.25">
      <c r="D9383"/>
    </row>
    <row r="9384" spans="4:4" x14ac:dyDescent="0.25">
      <c r="D9384"/>
    </row>
    <row r="9385" spans="4:4" x14ac:dyDescent="0.25">
      <c r="D9385"/>
    </row>
    <row r="9386" spans="4:4" x14ac:dyDescent="0.25">
      <c r="D9386"/>
    </row>
    <row r="9387" spans="4:4" x14ac:dyDescent="0.25">
      <c r="D9387"/>
    </row>
    <row r="9388" spans="4:4" x14ac:dyDescent="0.25">
      <c r="D9388"/>
    </row>
    <row r="9389" spans="4:4" x14ac:dyDescent="0.25">
      <c r="D9389"/>
    </row>
    <row r="9390" spans="4:4" x14ac:dyDescent="0.25">
      <c r="D9390"/>
    </row>
    <row r="9391" spans="4:4" x14ac:dyDescent="0.25">
      <c r="D9391"/>
    </row>
    <row r="9392" spans="4:4" x14ac:dyDescent="0.25">
      <c r="D9392"/>
    </row>
    <row r="9393" spans="4:4" x14ac:dyDescent="0.25">
      <c r="D9393"/>
    </row>
    <row r="9394" spans="4:4" x14ac:dyDescent="0.25">
      <c r="D9394"/>
    </row>
    <row r="9395" spans="4:4" x14ac:dyDescent="0.25">
      <c r="D9395"/>
    </row>
    <row r="9396" spans="4:4" x14ac:dyDescent="0.25">
      <c r="D9396"/>
    </row>
    <row r="9397" spans="4:4" x14ac:dyDescent="0.25">
      <c r="D9397"/>
    </row>
    <row r="9398" spans="4:4" x14ac:dyDescent="0.25">
      <c r="D9398"/>
    </row>
    <row r="9399" spans="4:4" x14ac:dyDescent="0.25">
      <c r="D9399"/>
    </row>
    <row r="9400" spans="4:4" x14ac:dyDescent="0.25">
      <c r="D9400"/>
    </row>
    <row r="9401" spans="4:4" x14ac:dyDescent="0.25">
      <c r="D9401"/>
    </row>
    <row r="9402" spans="4:4" x14ac:dyDescent="0.25">
      <c r="D9402"/>
    </row>
    <row r="9403" spans="4:4" x14ac:dyDescent="0.25">
      <c r="D9403"/>
    </row>
    <row r="9404" spans="4:4" x14ac:dyDescent="0.25">
      <c r="D9404"/>
    </row>
    <row r="9405" spans="4:4" x14ac:dyDescent="0.25">
      <c r="D9405"/>
    </row>
    <row r="9406" spans="4:4" x14ac:dyDescent="0.25">
      <c r="D9406"/>
    </row>
    <row r="9407" spans="4:4" x14ac:dyDescent="0.25">
      <c r="D9407"/>
    </row>
    <row r="9408" spans="4:4" x14ac:dyDescent="0.25">
      <c r="D9408"/>
    </row>
    <row r="9409" spans="4:4" x14ac:dyDescent="0.25">
      <c r="D9409"/>
    </row>
    <row r="9410" spans="4:4" x14ac:dyDescent="0.25">
      <c r="D9410"/>
    </row>
    <row r="9411" spans="4:4" x14ac:dyDescent="0.25">
      <c r="D9411"/>
    </row>
    <row r="9412" spans="4:4" x14ac:dyDescent="0.25">
      <c r="D9412"/>
    </row>
    <row r="9413" spans="4:4" x14ac:dyDescent="0.25">
      <c r="D9413"/>
    </row>
    <row r="9414" spans="4:4" x14ac:dyDescent="0.25">
      <c r="D9414"/>
    </row>
    <row r="9415" spans="4:4" x14ac:dyDescent="0.25">
      <c r="D9415"/>
    </row>
    <row r="9416" spans="4:4" x14ac:dyDescent="0.25">
      <c r="D9416"/>
    </row>
    <row r="9417" spans="4:4" x14ac:dyDescent="0.25">
      <c r="D9417"/>
    </row>
    <row r="9418" spans="4:4" x14ac:dyDescent="0.25">
      <c r="D9418"/>
    </row>
    <row r="9419" spans="4:4" x14ac:dyDescent="0.25">
      <c r="D9419"/>
    </row>
    <row r="9420" spans="4:4" x14ac:dyDescent="0.25">
      <c r="D9420"/>
    </row>
    <row r="9421" spans="4:4" x14ac:dyDescent="0.25">
      <c r="D9421"/>
    </row>
    <row r="9422" spans="4:4" x14ac:dyDescent="0.25">
      <c r="D9422"/>
    </row>
    <row r="9423" spans="4:4" x14ac:dyDescent="0.25">
      <c r="D9423"/>
    </row>
    <row r="9424" spans="4:4" x14ac:dyDescent="0.25">
      <c r="D9424"/>
    </row>
    <row r="9425" spans="4:4" x14ac:dyDescent="0.25">
      <c r="D9425"/>
    </row>
    <row r="9426" spans="4:4" x14ac:dyDescent="0.25">
      <c r="D9426"/>
    </row>
    <row r="9427" spans="4:4" x14ac:dyDescent="0.25">
      <c r="D9427"/>
    </row>
    <row r="9428" spans="4:4" x14ac:dyDescent="0.25">
      <c r="D9428"/>
    </row>
    <row r="9429" spans="4:4" x14ac:dyDescent="0.25">
      <c r="D9429"/>
    </row>
    <row r="9430" spans="4:4" x14ac:dyDescent="0.25">
      <c r="D9430"/>
    </row>
    <row r="9431" spans="4:4" x14ac:dyDescent="0.25">
      <c r="D9431"/>
    </row>
    <row r="9432" spans="4:4" x14ac:dyDescent="0.25">
      <c r="D9432"/>
    </row>
    <row r="9433" spans="4:4" x14ac:dyDescent="0.25">
      <c r="D9433"/>
    </row>
    <row r="9434" spans="4:4" x14ac:dyDescent="0.25">
      <c r="D9434"/>
    </row>
    <row r="9435" spans="4:4" x14ac:dyDescent="0.25">
      <c r="D9435"/>
    </row>
    <row r="9436" spans="4:4" x14ac:dyDescent="0.25">
      <c r="D9436"/>
    </row>
    <row r="9437" spans="4:4" x14ac:dyDescent="0.25">
      <c r="D9437"/>
    </row>
    <row r="9438" spans="4:4" x14ac:dyDescent="0.25">
      <c r="D9438"/>
    </row>
    <row r="9439" spans="4:4" x14ac:dyDescent="0.25">
      <c r="D9439"/>
    </row>
    <row r="9440" spans="4:4" x14ac:dyDescent="0.25">
      <c r="D9440"/>
    </row>
    <row r="9441" spans="4:4" x14ac:dyDescent="0.25">
      <c r="D9441"/>
    </row>
    <row r="9442" spans="4:4" x14ac:dyDescent="0.25">
      <c r="D9442"/>
    </row>
    <row r="9443" spans="4:4" x14ac:dyDescent="0.25">
      <c r="D9443"/>
    </row>
    <row r="9444" spans="4:4" x14ac:dyDescent="0.25">
      <c r="D9444"/>
    </row>
    <row r="9445" spans="4:4" x14ac:dyDescent="0.25">
      <c r="D9445"/>
    </row>
    <row r="9446" spans="4:4" x14ac:dyDescent="0.25">
      <c r="D9446"/>
    </row>
    <row r="9447" spans="4:4" x14ac:dyDescent="0.25">
      <c r="D9447"/>
    </row>
    <row r="9448" spans="4:4" x14ac:dyDescent="0.25">
      <c r="D9448"/>
    </row>
    <row r="9449" spans="4:4" x14ac:dyDescent="0.25">
      <c r="D9449"/>
    </row>
    <row r="9450" spans="4:4" x14ac:dyDescent="0.25">
      <c r="D9450"/>
    </row>
    <row r="9451" spans="4:4" x14ac:dyDescent="0.25">
      <c r="D9451"/>
    </row>
    <row r="9452" spans="4:4" x14ac:dyDescent="0.25">
      <c r="D9452"/>
    </row>
    <row r="9453" spans="4:4" x14ac:dyDescent="0.25">
      <c r="D9453"/>
    </row>
    <row r="9454" spans="4:4" x14ac:dyDescent="0.25">
      <c r="D9454"/>
    </row>
    <row r="9455" spans="4:4" x14ac:dyDescent="0.25">
      <c r="D9455"/>
    </row>
    <row r="9456" spans="4:4" x14ac:dyDescent="0.25">
      <c r="D9456"/>
    </row>
    <row r="9457" spans="4:4" x14ac:dyDescent="0.25">
      <c r="D9457"/>
    </row>
    <row r="9458" spans="4:4" x14ac:dyDescent="0.25">
      <c r="D9458"/>
    </row>
    <row r="9459" spans="4:4" x14ac:dyDescent="0.25">
      <c r="D9459"/>
    </row>
    <row r="9460" spans="4:4" x14ac:dyDescent="0.25">
      <c r="D9460"/>
    </row>
    <row r="9461" spans="4:4" x14ac:dyDescent="0.25">
      <c r="D9461"/>
    </row>
    <row r="9462" spans="4:4" x14ac:dyDescent="0.25">
      <c r="D9462"/>
    </row>
    <row r="9463" spans="4:4" x14ac:dyDescent="0.25">
      <c r="D9463"/>
    </row>
    <row r="9464" spans="4:4" x14ac:dyDescent="0.25">
      <c r="D9464"/>
    </row>
    <row r="9465" spans="4:4" x14ac:dyDescent="0.25">
      <c r="D9465"/>
    </row>
    <row r="9466" spans="4:4" x14ac:dyDescent="0.25">
      <c r="D9466"/>
    </row>
    <row r="9467" spans="4:4" x14ac:dyDescent="0.25">
      <c r="D9467"/>
    </row>
    <row r="9468" spans="4:4" x14ac:dyDescent="0.25">
      <c r="D9468"/>
    </row>
    <row r="9469" spans="4:4" x14ac:dyDescent="0.25">
      <c r="D9469"/>
    </row>
    <row r="9470" spans="4:4" x14ac:dyDescent="0.25">
      <c r="D9470"/>
    </row>
    <row r="9471" spans="4:4" x14ac:dyDescent="0.25">
      <c r="D9471"/>
    </row>
    <row r="9472" spans="4:4" x14ac:dyDescent="0.25">
      <c r="D9472"/>
    </row>
    <row r="9473" spans="4:4" x14ac:dyDescent="0.25">
      <c r="D9473"/>
    </row>
    <row r="9474" spans="4:4" x14ac:dyDescent="0.25">
      <c r="D9474"/>
    </row>
    <row r="9475" spans="4:4" x14ac:dyDescent="0.25">
      <c r="D9475"/>
    </row>
    <row r="9476" spans="4:4" x14ac:dyDescent="0.25">
      <c r="D9476"/>
    </row>
    <row r="9477" spans="4:4" x14ac:dyDescent="0.25">
      <c r="D9477"/>
    </row>
    <row r="9478" spans="4:4" x14ac:dyDescent="0.25">
      <c r="D9478"/>
    </row>
    <row r="9479" spans="4:4" x14ac:dyDescent="0.25">
      <c r="D9479"/>
    </row>
    <row r="9480" spans="4:4" x14ac:dyDescent="0.25">
      <c r="D9480"/>
    </row>
    <row r="9481" spans="4:4" x14ac:dyDescent="0.25">
      <c r="D9481"/>
    </row>
    <row r="9482" spans="4:4" x14ac:dyDescent="0.25">
      <c r="D9482"/>
    </row>
    <row r="9483" spans="4:4" x14ac:dyDescent="0.25">
      <c r="D9483"/>
    </row>
    <row r="9484" spans="4:4" x14ac:dyDescent="0.25">
      <c r="D9484"/>
    </row>
    <row r="9485" spans="4:4" x14ac:dyDescent="0.25">
      <c r="D9485"/>
    </row>
    <row r="9486" spans="4:4" x14ac:dyDescent="0.25">
      <c r="D9486"/>
    </row>
    <row r="9487" spans="4:4" x14ac:dyDescent="0.25">
      <c r="D9487"/>
    </row>
    <row r="9488" spans="4:4" x14ac:dyDescent="0.25">
      <c r="D9488"/>
    </row>
    <row r="9489" spans="4:4" x14ac:dyDescent="0.25">
      <c r="D9489"/>
    </row>
    <row r="9490" spans="4:4" x14ac:dyDescent="0.25">
      <c r="D9490"/>
    </row>
    <row r="9491" spans="4:4" x14ac:dyDescent="0.25">
      <c r="D9491"/>
    </row>
    <row r="9492" spans="4:4" x14ac:dyDescent="0.25">
      <c r="D9492"/>
    </row>
    <row r="9493" spans="4:4" x14ac:dyDescent="0.25">
      <c r="D9493"/>
    </row>
    <row r="9494" spans="4:4" x14ac:dyDescent="0.25">
      <c r="D9494"/>
    </row>
    <row r="9495" spans="4:4" x14ac:dyDescent="0.25">
      <c r="D9495"/>
    </row>
    <row r="9496" spans="4:4" x14ac:dyDescent="0.25">
      <c r="D9496"/>
    </row>
    <row r="9497" spans="4:4" x14ac:dyDescent="0.25">
      <c r="D9497"/>
    </row>
    <row r="9498" spans="4:4" x14ac:dyDescent="0.25">
      <c r="D9498"/>
    </row>
    <row r="9499" spans="4:4" x14ac:dyDescent="0.25">
      <c r="D9499"/>
    </row>
    <row r="9500" spans="4:4" x14ac:dyDescent="0.25">
      <c r="D9500"/>
    </row>
    <row r="9501" spans="4:4" x14ac:dyDescent="0.25">
      <c r="D9501"/>
    </row>
    <row r="9502" spans="4:4" x14ac:dyDescent="0.25">
      <c r="D9502"/>
    </row>
    <row r="9503" spans="4:4" x14ac:dyDescent="0.25">
      <c r="D9503"/>
    </row>
    <row r="9504" spans="4:4" x14ac:dyDescent="0.25">
      <c r="D9504"/>
    </row>
    <row r="9505" spans="4:4" x14ac:dyDescent="0.25">
      <c r="D9505"/>
    </row>
    <row r="9506" spans="4:4" x14ac:dyDescent="0.25">
      <c r="D9506"/>
    </row>
    <row r="9507" spans="4:4" x14ac:dyDescent="0.25">
      <c r="D9507"/>
    </row>
    <row r="9508" spans="4:4" x14ac:dyDescent="0.25">
      <c r="D9508"/>
    </row>
    <row r="9509" spans="4:4" x14ac:dyDescent="0.25">
      <c r="D9509"/>
    </row>
    <row r="9510" spans="4:4" x14ac:dyDescent="0.25">
      <c r="D9510"/>
    </row>
    <row r="9511" spans="4:4" x14ac:dyDescent="0.25">
      <c r="D9511"/>
    </row>
    <row r="9512" spans="4:4" x14ac:dyDescent="0.25">
      <c r="D9512"/>
    </row>
    <row r="9513" spans="4:4" x14ac:dyDescent="0.25">
      <c r="D9513"/>
    </row>
    <row r="9514" spans="4:4" x14ac:dyDescent="0.25">
      <c r="D9514"/>
    </row>
    <row r="9515" spans="4:4" x14ac:dyDescent="0.25">
      <c r="D9515"/>
    </row>
    <row r="9516" spans="4:4" x14ac:dyDescent="0.25">
      <c r="D9516"/>
    </row>
    <row r="9517" spans="4:4" x14ac:dyDescent="0.25">
      <c r="D9517"/>
    </row>
    <row r="9518" spans="4:4" x14ac:dyDescent="0.25">
      <c r="D9518"/>
    </row>
    <row r="9519" spans="4:4" x14ac:dyDescent="0.25">
      <c r="D9519"/>
    </row>
    <row r="9520" spans="4:4" x14ac:dyDescent="0.25">
      <c r="D9520"/>
    </row>
    <row r="9521" spans="4:4" x14ac:dyDescent="0.25">
      <c r="D9521"/>
    </row>
    <row r="9522" spans="4:4" x14ac:dyDescent="0.25">
      <c r="D9522"/>
    </row>
    <row r="9523" spans="4:4" x14ac:dyDescent="0.25">
      <c r="D9523"/>
    </row>
    <row r="9524" spans="4:4" x14ac:dyDescent="0.25">
      <c r="D9524"/>
    </row>
    <row r="9525" spans="4:4" x14ac:dyDescent="0.25">
      <c r="D9525"/>
    </row>
    <row r="9526" spans="4:4" x14ac:dyDescent="0.25">
      <c r="D9526"/>
    </row>
    <row r="9527" spans="4:4" x14ac:dyDescent="0.25">
      <c r="D9527"/>
    </row>
    <row r="9528" spans="4:4" x14ac:dyDescent="0.25">
      <c r="D9528"/>
    </row>
    <row r="9529" spans="4:4" x14ac:dyDescent="0.25">
      <c r="D9529"/>
    </row>
    <row r="9530" spans="4:4" x14ac:dyDescent="0.25">
      <c r="D9530"/>
    </row>
    <row r="9531" spans="4:4" x14ac:dyDescent="0.25">
      <c r="D9531"/>
    </row>
    <row r="9532" spans="4:4" x14ac:dyDescent="0.25">
      <c r="D9532"/>
    </row>
    <row r="9533" spans="4:4" x14ac:dyDescent="0.25">
      <c r="D9533"/>
    </row>
    <row r="9534" spans="4:4" x14ac:dyDescent="0.25">
      <c r="D9534"/>
    </row>
    <row r="9535" spans="4:4" x14ac:dyDescent="0.25">
      <c r="D9535"/>
    </row>
    <row r="9536" spans="4:4" x14ac:dyDescent="0.25">
      <c r="D9536"/>
    </row>
    <row r="9537" spans="4:4" x14ac:dyDescent="0.25">
      <c r="D9537"/>
    </row>
    <row r="9538" spans="4:4" x14ac:dyDescent="0.25">
      <c r="D9538"/>
    </row>
    <row r="9539" spans="4:4" x14ac:dyDescent="0.25">
      <c r="D9539"/>
    </row>
    <row r="9540" spans="4:4" x14ac:dyDescent="0.25">
      <c r="D9540"/>
    </row>
    <row r="9541" spans="4:4" x14ac:dyDescent="0.25">
      <c r="D9541"/>
    </row>
    <row r="9542" spans="4:4" x14ac:dyDescent="0.25">
      <c r="D9542"/>
    </row>
    <row r="9543" spans="4:4" x14ac:dyDescent="0.25">
      <c r="D9543"/>
    </row>
    <row r="9544" spans="4:4" x14ac:dyDescent="0.25">
      <c r="D9544"/>
    </row>
    <row r="9545" spans="4:4" x14ac:dyDescent="0.25">
      <c r="D9545"/>
    </row>
    <row r="9546" spans="4:4" x14ac:dyDescent="0.25">
      <c r="D9546"/>
    </row>
    <row r="9547" spans="4:4" x14ac:dyDescent="0.25">
      <c r="D9547"/>
    </row>
    <row r="9548" spans="4:4" x14ac:dyDescent="0.25">
      <c r="D9548"/>
    </row>
    <row r="9549" spans="4:4" x14ac:dyDescent="0.25">
      <c r="D9549"/>
    </row>
    <row r="9550" spans="4:4" x14ac:dyDescent="0.25">
      <c r="D9550"/>
    </row>
    <row r="9551" spans="4:4" x14ac:dyDescent="0.25">
      <c r="D9551"/>
    </row>
    <row r="9552" spans="4:4" x14ac:dyDescent="0.25">
      <c r="D9552"/>
    </row>
    <row r="9553" spans="4:4" x14ac:dyDescent="0.25">
      <c r="D9553"/>
    </row>
    <row r="9554" spans="4:4" x14ac:dyDescent="0.25">
      <c r="D9554"/>
    </row>
    <row r="9555" spans="4:4" x14ac:dyDescent="0.25">
      <c r="D9555"/>
    </row>
    <row r="9556" spans="4:4" x14ac:dyDescent="0.25">
      <c r="D9556"/>
    </row>
    <row r="9557" spans="4:4" x14ac:dyDescent="0.25">
      <c r="D9557"/>
    </row>
    <row r="9558" spans="4:4" x14ac:dyDescent="0.25">
      <c r="D9558"/>
    </row>
    <row r="9559" spans="4:4" x14ac:dyDescent="0.25">
      <c r="D9559"/>
    </row>
    <row r="9560" spans="4:4" x14ac:dyDescent="0.25">
      <c r="D9560"/>
    </row>
    <row r="9561" spans="4:4" x14ac:dyDescent="0.25">
      <c r="D9561"/>
    </row>
    <row r="9562" spans="4:4" x14ac:dyDescent="0.25">
      <c r="D9562"/>
    </row>
    <row r="9563" spans="4:4" x14ac:dyDescent="0.25">
      <c r="D9563"/>
    </row>
    <row r="9564" spans="4:4" x14ac:dyDescent="0.25">
      <c r="D9564"/>
    </row>
    <row r="9565" spans="4:4" x14ac:dyDescent="0.25">
      <c r="D9565"/>
    </row>
    <row r="9566" spans="4:4" x14ac:dyDescent="0.25">
      <c r="D9566"/>
    </row>
    <row r="9567" spans="4:4" x14ac:dyDescent="0.25">
      <c r="D9567"/>
    </row>
    <row r="9568" spans="4:4" x14ac:dyDescent="0.25">
      <c r="D9568"/>
    </row>
    <row r="9569" spans="4:4" x14ac:dyDescent="0.25">
      <c r="D9569"/>
    </row>
    <row r="9570" spans="4:4" x14ac:dyDescent="0.25">
      <c r="D9570"/>
    </row>
    <row r="9571" spans="4:4" x14ac:dyDescent="0.25">
      <c r="D9571"/>
    </row>
    <row r="9572" spans="4:4" x14ac:dyDescent="0.25">
      <c r="D9572"/>
    </row>
    <row r="9573" spans="4:4" x14ac:dyDescent="0.25">
      <c r="D9573"/>
    </row>
    <row r="9574" spans="4:4" x14ac:dyDescent="0.25">
      <c r="D9574"/>
    </row>
    <row r="9575" spans="4:4" x14ac:dyDescent="0.25">
      <c r="D9575"/>
    </row>
    <row r="9576" spans="4:4" x14ac:dyDescent="0.25">
      <c r="D9576"/>
    </row>
    <row r="9577" spans="4:4" x14ac:dyDescent="0.25">
      <c r="D9577"/>
    </row>
    <row r="9578" spans="4:4" x14ac:dyDescent="0.25">
      <c r="D9578"/>
    </row>
    <row r="9579" spans="4:4" x14ac:dyDescent="0.25">
      <c r="D9579"/>
    </row>
    <row r="9580" spans="4:4" x14ac:dyDescent="0.25">
      <c r="D9580"/>
    </row>
    <row r="9581" spans="4:4" x14ac:dyDescent="0.25">
      <c r="D9581"/>
    </row>
    <row r="9582" spans="4:4" x14ac:dyDescent="0.25">
      <c r="D9582"/>
    </row>
    <row r="9583" spans="4:4" x14ac:dyDescent="0.25">
      <c r="D9583"/>
    </row>
    <row r="9584" spans="4:4" x14ac:dyDescent="0.25">
      <c r="D9584"/>
    </row>
    <row r="9585" spans="4:4" x14ac:dyDescent="0.25">
      <c r="D9585"/>
    </row>
    <row r="9586" spans="4:4" x14ac:dyDescent="0.25">
      <c r="D958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OCESSAR_DADOS">
                <anchor moveWithCells="1" sizeWithCells="1">
                  <from>
                    <xdr:col>4</xdr:col>
                    <xdr:colOff>209550</xdr:colOff>
                    <xdr:row>1</xdr:row>
                    <xdr:rowOff>28575</xdr:rowOff>
                  </from>
                  <to>
                    <xdr:col>5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16CB5-1F4A-4465-9016-FEE9038B96E9}">
  <sheetPr codeName="Planilha3">
    <tabColor theme="2" tint="-0.499984740745262"/>
  </sheetPr>
  <dimension ref="B2:C8"/>
  <sheetViews>
    <sheetView showGridLines="0" workbookViewId="0">
      <selection activeCell="B3" sqref="B3"/>
    </sheetView>
  </sheetViews>
  <sheetFormatPr defaultRowHeight="15" x14ac:dyDescent="0.25"/>
  <cols>
    <col min="2" max="2" width="16.5703125" bestFit="1" customWidth="1"/>
    <col min="3" max="3" width="65.85546875" bestFit="1" customWidth="1"/>
  </cols>
  <sheetData>
    <row r="2" spans="2:3" x14ac:dyDescent="0.25">
      <c r="B2" s="7" t="s">
        <v>77</v>
      </c>
      <c r="C2" s="7" t="s">
        <v>78</v>
      </c>
    </row>
    <row r="3" spans="2:3" x14ac:dyDescent="0.25">
      <c r="B3" s="1" t="s">
        <v>115</v>
      </c>
      <c r="C3" s="8" t="s">
        <v>875</v>
      </c>
    </row>
    <row r="8" spans="2:3" ht="15.75" x14ac:dyDescent="0.25">
      <c r="C8" s="14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BC22B-1ACF-4CA1-826D-BBC6D7E2E20A}">
  <sheetPr codeName="Planilha4">
    <tabColor theme="3" tint="0.499984740745262"/>
  </sheetPr>
  <dimension ref="B1:W4398"/>
  <sheetViews>
    <sheetView showGridLines="0" tabSelected="1" zoomScaleNormal="100" workbookViewId="0">
      <selection activeCell="A23" sqref="A23"/>
    </sheetView>
  </sheetViews>
  <sheetFormatPr defaultRowHeight="15" x14ac:dyDescent="0.25"/>
  <cols>
    <col min="1" max="1" width="2.42578125" customWidth="1"/>
    <col min="2" max="2" width="42.5703125" style="1" bestFit="1" customWidth="1"/>
    <col min="3" max="3" width="16.42578125" style="1" bestFit="1" customWidth="1"/>
    <col min="4" max="4" width="8.85546875" style="1" bestFit="1" customWidth="1"/>
    <col min="5" max="5" width="7.28515625" style="1" bestFit="1" customWidth="1"/>
    <col min="6" max="6" width="60.42578125" style="1" bestFit="1" customWidth="1"/>
    <col min="7" max="7" width="19.85546875" style="1" bestFit="1" customWidth="1"/>
    <col min="8" max="8" width="15.85546875" style="1" bestFit="1" customWidth="1"/>
    <col min="9" max="9" width="15.7109375" style="1" bestFit="1" customWidth="1"/>
    <col min="10" max="12" width="20.140625" style="1" bestFit="1" customWidth="1"/>
    <col min="13" max="13" width="20.140625" style="1" customWidth="1"/>
    <col min="14" max="14" width="16.42578125" bestFit="1" customWidth="1"/>
    <col min="15" max="15" width="7" bestFit="1" customWidth="1"/>
    <col min="16" max="16" width="60.42578125" bestFit="1" customWidth="1"/>
    <col min="17" max="17" width="16.140625" bestFit="1" customWidth="1"/>
    <col min="18" max="19" width="12" bestFit="1" customWidth="1"/>
    <col min="20" max="20" width="14.7109375" bestFit="1" customWidth="1"/>
    <col min="21" max="21" width="14.7109375" customWidth="1"/>
    <col min="23" max="23" width="11.140625" style="7" bestFit="1" customWidth="1"/>
  </cols>
  <sheetData>
    <row r="1" spans="2:23" s="2" customFormat="1" ht="9.75" customHeight="1" x14ac:dyDescent="0.25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10"/>
      <c r="W1" s="15"/>
    </row>
    <row r="2" spans="2:23" ht="15.75" x14ac:dyDescent="0.25">
      <c r="B2" s="11"/>
      <c r="C2" s="11"/>
      <c r="D2" s="11"/>
      <c r="E2" s="11"/>
      <c r="F2" s="20" t="s">
        <v>0</v>
      </c>
      <c r="G2" s="5" t="str" cm="1">
        <f t="array" ref="G2">Link[Personalizar]</f>
        <v>SETEMBRO</v>
      </c>
      <c r="H2" s="11"/>
      <c r="I2" s="11"/>
      <c r="J2" s="11"/>
      <c r="K2" s="11"/>
      <c r="L2" s="11"/>
      <c r="M2" s="11"/>
    </row>
    <row r="22" spans="2:23" x14ac:dyDescent="0.25">
      <c r="B22" t="s">
        <v>883</v>
      </c>
      <c r="C22" t="s">
        <v>884</v>
      </c>
      <c r="D22" t="s">
        <v>892</v>
      </c>
      <c r="E22" t="s">
        <v>885</v>
      </c>
      <c r="F22" t="s">
        <v>886</v>
      </c>
      <c r="G22" t="s">
        <v>887</v>
      </c>
      <c r="H22" t="s">
        <v>888</v>
      </c>
      <c r="I22" t="s">
        <v>889</v>
      </c>
      <c r="J22" t="s">
        <v>890</v>
      </c>
      <c r="K22"/>
      <c r="L22" s="7"/>
      <c r="M22"/>
      <c r="W22"/>
    </row>
    <row r="23" spans="2:23" x14ac:dyDescent="0.25">
      <c r="B23" t="s">
        <v>639</v>
      </c>
      <c r="C23" t="s">
        <v>26</v>
      </c>
      <c r="D23" t="s">
        <v>891</v>
      </c>
      <c r="E23" t="s">
        <v>211</v>
      </c>
      <c r="F23" t="s">
        <v>116</v>
      </c>
      <c r="G23"/>
      <c r="H23">
        <v>33534</v>
      </c>
      <c r="I23">
        <v>33534</v>
      </c>
      <c r="J23">
        <v>0</v>
      </c>
      <c r="K23"/>
      <c r="L23" s="12"/>
      <c r="M23"/>
      <c r="W23"/>
    </row>
    <row r="24" spans="2:23" x14ac:dyDescent="0.25">
      <c r="B24" t="s">
        <v>639</v>
      </c>
      <c r="C24" t="s">
        <v>27</v>
      </c>
      <c r="D24" t="s">
        <v>891</v>
      </c>
      <c r="E24" t="s">
        <v>212</v>
      </c>
      <c r="F24" t="s">
        <v>117</v>
      </c>
      <c r="G24"/>
      <c r="H24">
        <v>31228.84</v>
      </c>
      <c r="I24">
        <v>30921.57</v>
      </c>
      <c r="J24">
        <v>5991.26</v>
      </c>
      <c r="K24"/>
      <c r="L24" s="12"/>
      <c r="M24"/>
      <c r="W24"/>
    </row>
    <row r="25" spans="2:23" x14ac:dyDescent="0.25">
      <c r="B25" t="s">
        <v>639</v>
      </c>
      <c r="C25" t="s">
        <v>28</v>
      </c>
      <c r="D25" t="s">
        <v>891</v>
      </c>
      <c r="E25" t="s">
        <v>213</v>
      </c>
      <c r="F25" t="s">
        <v>118</v>
      </c>
      <c r="G25"/>
      <c r="H25">
        <v>80.150000000000006</v>
      </c>
      <c r="I25">
        <v>82.08</v>
      </c>
      <c r="J25">
        <v>2.4300000000000002</v>
      </c>
      <c r="K25"/>
      <c r="L25" s="12"/>
      <c r="M25"/>
      <c r="W25"/>
    </row>
    <row r="26" spans="2:23" x14ac:dyDescent="0.25">
      <c r="B26" t="s">
        <v>639</v>
      </c>
      <c r="C26" t="s">
        <v>29</v>
      </c>
      <c r="D26" t="s">
        <v>891</v>
      </c>
      <c r="E26" t="s">
        <v>214</v>
      </c>
      <c r="F26" t="s">
        <v>119</v>
      </c>
      <c r="G26"/>
      <c r="H26">
        <v>36853.300000000003</v>
      </c>
      <c r="I26">
        <v>34795.79</v>
      </c>
      <c r="J26">
        <v>4071.81</v>
      </c>
      <c r="K26"/>
      <c r="L26" s="12"/>
      <c r="M26"/>
      <c r="W26"/>
    </row>
    <row r="27" spans="2:23" x14ac:dyDescent="0.25">
      <c r="B27" t="s">
        <v>639</v>
      </c>
      <c r="C27" t="s">
        <v>30</v>
      </c>
      <c r="D27" t="s">
        <v>891</v>
      </c>
      <c r="E27" t="s">
        <v>215</v>
      </c>
      <c r="F27" t="s">
        <v>120</v>
      </c>
      <c r="G27"/>
      <c r="H27">
        <v>197863.52</v>
      </c>
      <c r="I27">
        <v>218515.94</v>
      </c>
      <c r="J27">
        <v>23634.54</v>
      </c>
      <c r="K27"/>
      <c r="L27" s="12"/>
      <c r="M27"/>
      <c r="W27"/>
    </row>
    <row r="28" spans="2:23" x14ac:dyDescent="0.25">
      <c r="B28" t="s">
        <v>639</v>
      </c>
      <c r="C28" t="s">
        <v>81</v>
      </c>
      <c r="D28" t="s">
        <v>891</v>
      </c>
      <c r="E28" t="s">
        <v>216</v>
      </c>
      <c r="F28" t="s">
        <v>121</v>
      </c>
      <c r="G28"/>
      <c r="H28">
        <v>115</v>
      </c>
      <c r="I28">
        <v>2577.85</v>
      </c>
      <c r="J28">
        <v>12672.74</v>
      </c>
      <c r="K28"/>
      <c r="L28" s="12"/>
      <c r="M28"/>
      <c r="W28"/>
    </row>
    <row r="29" spans="2:23" x14ac:dyDescent="0.25">
      <c r="B29" t="s">
        <v>639</v>
      </c>
      <c r="C29" t="s">
        <v>31</v>
      </c>
      <c r="D29" t="s">
        <v>891</v>
      </c>
      <c r="E29" t="s">
        <v>217</v>
      </c>
      <c r="F29" t="s">
        <v>122</v>
      </c>
      <c r="G29"/>
      <c r="H29">
        <v>159131.63</v>
      </c>
      <c r="I29">
        <v>159131.63</v>
      </c>
      <c r="J29">
        <v>0</v>
      </c>
      <c r="K29"/>
      <c r="L29" s="12"/>
      <c r="M29"/>
      <c r="W29"/>
    </row>
    <row r="30" spans="2:23" x14ac:dyDescent="0.25">
      <c r="B30" t="s">
        <v>639</v>
      </c>
      <c r="C30" t="s">
        <v>32</v>
      </c>
      <c r="D30" t="s">
        <v>891</v>
      </c>
      <c r="E30" t="s">
        <v>218</v>
      </c>
      <c r="F30" t="s">
        <v>123</v>
      </c>
      <c r="G30"/>
      <c r="H30">
        <v>0</v>
      </c>
      <c r="I30">
        <v>0</v>
      </c>
      <c r="J30">
        <v>30554.27</v>
      </c>
      <c r="K30"/>
      <c r="L30" s="12"/>
      <c r="M30"/>
      <c r="W30"/>
    </row>
    <row r="31" spans="2:23" x14ac:dyDescent="0.25">
      <c r="B31" t="s">
        <v>639</v>
      </c>
      <c r="C31" t="s">
        <v>33</v>
      </c>
      <c r="D31" t="s">
        <v>891</v>
      </c>
      <c r="E31" t="s">
        <v>219</v>
      </c>
      <c r="F31" t="s">
        <v>124</v>
      </c>
      <c r="G31"/>
      <c r="H31">
        <v>1405.3</v>
      </c>
      <c r="I31">
        <v>2286.7399999999998</v>
      </c>
      <c r="J31">
        <v>7060.83</v>
      </c>
      <c r="K31"/>
      <c r="L31" s="12"/>
      <c r="M31"/>
      <c r="W31"/>
    </row>
    <row r="32" spans="2:23" x14ac:dyDescent="0.25">
      <c r="B32" t="s">
        <v>639</v>
      </c>
      <c r="C32" t="s">
        <v>34</v>
      </c>
      <c r="D32" t="s">
        <v>891</v>
      </c>
      <c r="E32" t="s">
        <v>220</v>
      </c>
      <c r="F32" t="s">
        <v>125</v>
      </c>
      <c r="G32"/>
      <c r="H32">
        <v>90853.79</v>
      </c>
      <c r="I32">
        <v>92278.5</v>
      </c>
      <c r="J32">
        <v>20340.71</v>
      </c>
      <c r="K32"/>
      <c r="L32" s="12"/>
      <c r="M32"/>
      <c r="W32"/>
    </row>
    <row r="33" spans="2:12" customFormat="1" x14ac:dyDescent="0.25">
      <c r="B33" t="s">
        <v>639</v>
      </c>
      <c r="C33" t="s">
        <v>35</v>
      </c>
      <c r="D33" t="s">
        <v>891</v>
      </c>
      <c r="E33" t="s">
        <v>221</v>
      </c>
      <c r="F33" t="s">
        <v>127</v>
      </c>
      <c r="H33">
        <v>13578.98</v>
      </c>
      <c r="I33">
        <v>4142.1499999999996</v>
      </c>
      <c r="J33">
        <v>0</v>
      </c>
      <c r="L33" s="19"/>
    </row>
    <row r="34" spans="2:12" customFormat="1" x14ac:dyDescent="0.25">
      <c r="B34" t="s">
        <v>639</v>
      </c>
      <c r="C34" t="s">
        <v>36</v>
      </c>
      <c r="D34" t="s">
        <v>891</v>
      </c>
      <c r="E34" t="s">
        <v>222</v>
      </c>
      <c r="F34" t="s">
        <v>128</v>
      </c>
      <c r="H34">
        <v>961.05</v>
      </c>
      <c r="I34">
        <v>587.95000000000005</v>
      </c>
      <c r="J34">
        <v>206.91</v>
      </c>
      <c r="L34" s="7"/>
    </row>
    <row r="35" spans="2:12" customFormat="1" x14ac:dyDescent="0.25">
      <c r="B35" t="s">
        <v>639</v>
      </c>
      <c r="C35" t="s">
        <v>37</v>
      </c>
      <c r="D35" t="s">
        <v>891</v>
      </c>
      <c r="E35" t="s">
        <v>223</v>
      </c>
      <c r="F35" t="s">
        <v>129</v>
      </c>
      <c r="H35">
        <v>4426.6400000000003</v>
      </c>
      <c r="I35">
        <v>2708.14</v>
      </c>
      <c r="J35">
        <v>949.85</v>
      </c>
      <c r="L35" s="7"/>
    </row>
    <row r="36" spans="2:12" customFormat="1" x14ac:dyDescent="0.25">
      <c r="B36" t="s">
        <v>639</v>
      </c>
      <c r="C36" t="s">
        <v>38</v>
      </c>
      <c r="D36" t="s">
        <v>891</v>
      </c>
      <c r="E36" t="s">
        <v>224</v>
      </c>
      <c r="F36" t="s">
        <v>130</v>
      </c>
      <c r="H36">
        <v>110680.02</v>
      </c>
      <c r="I36">
        <v>131358.56</v>
      </c>
      <c r="J36">
        <v>362270.96</v>
      </c>
      <c r="L36" s="7"/>
    </row>
    <row r="37" spans="2:12" customFormat="1" x14ac:dyDescent="0.25">
      <c r="B37" t="s">
        <v>639</v>
      </c>
      <c r="C37" t="s">
        <v>39</v>
      </c>
      <c r="D37" t="s">
        <v>891</v>
      </c>
      <c r="E37" t="s">
        <v>225</v>
      </c>
      <c r="F37" t="s">
        <v>131</v>
      </c>
      <c r="H37">
        <v>9.6300000000000008</v>
      </c>
      <c r="I37">
        <v>0</v>
      </c>
      <c r="J37">
        <v>30.89</v>
      </c>
      <c r="L37" s="7"/>
    </row>
    <row r="38" spans="2:12" customFormat="1" x14ac:dyDescent="0.25">
      <c r="B38" t="s">
        <v>639</v>
      </c>
      <c r="C38" t="s">
        <v>82</v>
      </c>
      <c r="D38" t="s">
        <v>891</v>
      </c>
      <c r="E38" t="s">
        <v>226</v>
      </c>
      <c r="F38" t="s">
        <v>132</v>
      </c>
      <c r="H38">
        <v>0</v>
      </c>
      <c r="I38">
        <v>0</v>
      </c>
      <c r="J38">
        <v>-152458</v>
      </c>
      <c r="L38" s="7"/>
    </row>
    <row r="39" spans="2:12" customFormat="1" x14ac:dyDescent="0.25">
      <c r="B39" t="s">
        <v>639</v>
      </c>
      <c r="C39" t="s">
        <v>40</v>
      </c>
      <c r="D39" t="s">
        <v>891</v>
      </c>
      <c r="E39" t="s">
        <v>227</v>
      </c>
      <c r="F39" t="s">
        <v>133</v>
      </c>
      <c r="H39">
        <v>112751.08</v>
      </c>
      <c r="I39">
        <v>127817.91</v>
      </c>
      <c r="J39">
        <v>-26139.72</v>
      </c>
      <c r="L39" s="7"/>
    </row>
    <row r="40" spans="2:12" customFormat="1" x14ac:dyDescent="0.25">
      <c r="B40" t="s">
        <v>639</v>
      </c>
      <c r="C40" t="s">
        <v>83</v>
      </c>
      <c r="D40" t="s">
        <v>891</v>
      </c>
      <c r="E40" t="s">
        <v>228</v>
      </c>
      <c r="F40" t="s">
        <v>134</v>
      </c>
      <c r="H40">
        <v>54949.72</v>
      </c>
      <c r="I40">
        <v>59288.25</v>
      </c>
      <c r="J40">
        <v>-22152.74</v>
      </c>
      <c r="L40" s="7"/>
    </row>
    <row r="41" spans="2:12" customFormat="1" x14ac:dyDescent="0.25">
      <c r="B41" t="s">
        <v>639</v>
      </c>
      <c r="C41" t="s">
        <v>84</v>
      </c>
      <c r="D41" t="s">
        <v>891</v>
      </c>
      <c r="E41" t="s">
        <v>230</v>
      </c>
      <c r="F41" t="s">
        <v>136</v>
      </c>
      <c r="H41">
        <v>8227.48</v>
      </c>
      <c r="I41">
        <v>8227.48</v>
      </c>
      <c r="J41">
        <v>0</v>
      </c>
      <c r="L41" s="7"/>
    </row>
    <row r="42" spans="2:12" customFormat="1" x14ac:dyDescent="0.25">
      <c r="B42" t="s">
        <v>639</v>
      </c>
      <c r="C42" t="s">
        <v>41</v>
      </c>
      <c r="D42" t="s">
        <v>891</v>
      </c>
      <c r="E42" t="s">
        <v>231</v>
      </c>
      <c r="F42" t="s">
        <v>137</v>
      </c>
      <c r="H42">
        <v>10690.46</v>
      </c>
      <c r="I42">
        <v>15840.85</v>
      </c>
      <c r="J42">
        <v>-6548.31</v>
      </c>
      <c r="L42" s="7"/>
    </row>
    <row r="43" spans="2:12" customFormat="1" x14ac:dyDescent="0.25">
      <c r="B43" t="s">
        <v>639</v>
      </c>
      <c r="C43" t="s">
        <v>42</v>
      </c>
      <c r="D43" t="s">
        <v>891</v>
      </c>
      <c r="E43" t="s">
        <v>232</v>
      </c>
      <c r="F43" t="s">
        <v>138</v>
      </c>
      <c r="H43">
        <v>961.05</v>
      </c>
      <c r="I43">
        <v>961.05</v>
      </c>
      <c r="J43">
        <v>0</v>
      </c>
      <c r="L43" s="7"/>
    </row>
    <row r="44" spans="2:12" customFormat="1" x14ac:dyDescent="0.25">
      <c r="B44" t="s">
        <v>639</v>
      </c>
      <c r="C44" t="s">
        <v>43</v>
      </c>
      <c r="D44" t="s">
        <v>891</v>
      </c>
      <c r="E44" t="s">
        <v>233</v>
      </c>
      <c r="F44" t="s">
        <v>139</v>
      </c>
      <c r="H44">
        <v>4426.6400000000003</v>
      </c>
      <c r="I44">
        <v>4426.6400000000003</v>
      </c>
      <c r="J44">
        <v>0</v>
      </c>
      <c r="L44" s="7"/>
    </row>
    <row r="45" spans="2:12" customFormat="1" x14ac:dyDescent="0.25">
      <c r="B45" t="s">
        <v>639</v>
      </c>
      <c r="C45" t="s">
        <v>79</v>
      </c>
      <c r="D45" t="s">
        <v>891</v>
      </c>
      <c r="E45" t="s">
        <v>234</v>
      </c>
      <c r="F45" t="s">
        <v>140</v>
      </c>
      <c r="H45">
        <v>40.32</v>
      </c>
      <c r="I45">
        <v>0</v>
      </c>
      <c r="J45">
        <v>-211.43</v>
      </c>
      <c r="L45" s="7"/>
    </row>
    <row r="46" spans="2:12" customFormat="1" x14ac:dyDescent="0.25">
      <c r="B46" t="s">
        <v>639</v>
      </c>
      <c r="C46" t="s">
        <v>44</v>
      </c>
      <c r="D46" t="s">
        <v>891</v>
      </c>
      <c r="E46" t="s">
        <v>235</v>
      </c>
      <c r="F46" t="s">
        <v>141</v>
      </c>
      <c r="H46">
        <v>23.45</v>
      </c>
      <c r="I46">
        <v>0</v>
      </c>
      <c r="J46">
        <v>-23.45</v>
      </c>
      <c r="L46" s="7"/>
    </row>
    <row r="47" spans="2:12" customFormat="1" x14ac:dyDescent="0.25">
      <c r="B47" t="s">
        <v>639</v>
      </c>
      <c r="C47" t="s">
        <v>45</v>
      </c>
      <c r="D47" t="s">
        <v>891</v>
      </c>
      <c r="E47" t="s">
        <v>236</v>
      </c>
      <c r="F47" t="s">
        <v>142</v>
      </c>
      <c r="H47">
        <v>85.79</v>
      </c>
      <c r="I47">
        <v>19.149999999999999</v>
      </c>
      <c r="J47">
        <v>-203.52</v>
      </c>
      <c r="L47" s="7"/>
    </row>
    <row r="48" spans="2:12" customFormat="1" x14ac:dyDescent="0.25">
      <c r="B48" t="s">
        <v>639</v>
      </c>
      <c r="C48" t="s">
        <v>46</v>
      </c>
      <c r="D48" t="s">
        <v>891</v>
      </c>
      <c r="E48" t="s">
        <v>237</v>
      </c>
      <c r="F48" t="s">
        <v>143</v>
      </c>
      <c r="H48">
        <v>0</v>
      </c>
      <c r="I48">
        <v>0</v>
      </c>
      <c r="J48">
        <v>-100000</v>
      </c>
      <c r="L48" s="7"/>
    </row>
    <row r="49" spans="2:12" customFormat="1" x14ac:dyDescent="0.25">
      <c r="B49" t="s">
        <v>639</v>
      </c>
      <c r="C49" t="s">
        <v>47</v>
      </c>
      <c r="D49" t="s">
        <v>891</v>
      </c>
      <c r="E49" t="s">
        <v>238</v>
      </c>
      <c r="F49" t="s">
        <v>144</v>
      </c>
      <c r="H49">
        <v>62000</v>
      </c>
      <c r="I49">
        <v>0</v>
      </c>
      <c r="J49">
        <v>-350000</v>
      </c>
      <c r="L49" s="7"/>
    </row>
    <row r="50" spans="2:12" customFormat="1" x14ac:dyDescent="0.25">
      <c r="B50" t="s">
        <v>639</v>
      </c>
      <c r="C50" t="s">
        <v>80</v>
      </c>
      <c r="D50" t="s">
        <v>891</v>
      </c>
      <c r="E50" t="s">
        <v>239</v>
      </c>
      <c r="F50" t="s">
        <v>145</v>
      </c>
      <c r="H50">
        <v>0</v>
      </c>
      <c r="I50">
        <v>0</v>
      </c>
      <c r="J50">
        <v>-134000</v>
      </c>
      <c r="L50" s="7"/>
    </row>
    <row r="51" spans="2:12" customFormat="1" x14ac:dyDescent="0.25">
      <c r="B51" t="s">
        <v>639</v>
      </c>
      <c r="C51" t="s">
        <v>588</v>
      </c>
      <c r="D51" t="s">
        <v>891</v>
      </c>
      <c r="E51" t="s">
        <v>589</v>
      </c>
      <c r="F51" t="s">
        <v>590</v>
      </c>
      <c r="H51">
        <v>0</v>
      </c>
      <c r="I51">
        <v>0</v>
      </c>
      <c r="J51">
        <v>-9196.5300000000007</v>
      </c>
      <c r="L51" s="7"/>
    </row>
    <row r="52" spans="2:12" customFormat="1" x14ac:dyDescent="0.25">
      <c r="B52" t="s">
        <v>639</v>
      </c>
      <c r="C52" t="s">
        <v>85</v>
      </c>
      <c r="D52" t="s">
        <v>891</v>
      </c>
      <c r="E52" t="s">
        <v>240</v>
      </c>
      <c r="F52" t="s">
        <v>146</v>
      </c>
      <c r="H52">
        <v>0</v>
      </c>
      <c r="I52">
        <v>0</v>
      </c>
      <c r="J52">
        <v>62910.26</v>
      </c>
      <c r="L52" s="7"/>
    </row>
    <row r="53" spans="2:12" customFormat="1" x14ac:dyDescent="0.25">
      <c r="B53" t="s">
        <v>639</v>
      </c>
      <c r="C53" t="s">
        <v>48</v>
      </c>
      <c r="D53" t="s">
        <v>891</v>
      </c>
      <c r="E53" t="s">
        <v>241</v>
      </c>
      <c r="F53" t="s">
        <v>147</v>
      </c>
      <c r="H53">
        <v>9.6199999999999992</v>
      </c>
      <c r="I53">
        <v>0</v>
      </c>
      <c r="J53">
        <v>-39.4</v>
      </c>
      <c r="L53" s="7"/>
    </row>
    <row r="54" spans="2:12" customFormat="1" x14ac:dyDescent="0.25">
      <c r="B54" t="s">
        <v>639</v>
      </c>
      <c r="C54" t="s">
        <v>86</v>
      </c>
      <c r="D54" t="s">
        <v>891</v>
      </c>
      <c r="E54" t="s">
        <v>242</v>
      </c>
      <c r="F54" t="s">
        <v>148</v>
      </c>
      <c r="H54">
        <v>158875.56</v>
      </c>
      <c r="I54">
        <v>0</v>
      </c>
      <c r="J54">
        <v>-1039384.01</v>
      </c>
      <c r="L54" s="7"/>
    </row>
    <row r="55" spans="2:12" customFormat="1" x14ac:dyDescent="0.25">
      <c r="B55" t="s">
        <v>639</v>
      </c>
      <c r="C55" t="s">
        <v>49</v>
      </c>
      <c r="D55" t="s">
        <v>891</v>
      </c>
      <c r="E55" t="s">
        <v>243</v>
      </c>
      <c r="F55" t="s">
        <v>149</v>
      </c>
      <c r="H55">
        <v>0</v>
      </c>
      <c r="I55">
        <v>10690.46</v>
      </c>
      <c r="J55">
        <v>70074.23</v>
      </c>
      <c r="L55" s="7"/>
    </row>
    <row r="56" spans="2:12" customFormat="1" x14ac:dyDescent="0.25">
      <c r="B56" t="s">
        <v>639</v>
      </c>
      <c r="C56" t="s">
        <v>50</v>
      </c>
      <c r="D56" t="s">
        <v>891</v>
      </c>
      <c r="E56" t="s">
        <v>244</v>
      </c>
      <c r="F56" t="s">
        <v>150</v>
      </c>
      <c r="H56">
        <v>0</v>
      </c>
      <c r="I56">
        <v>961.05</v>
      </c>
      <c r="J56">
        <v>6004.2</v>
      </c>
      <c r="L56" s="7"/>
    </row>
    <row r="57" spans="2:12" customFormat="1" x14ac:dyDescent="0.25">
      <c r="B57" t="s">
        <v>639</v>
      </c>
      <c r="C57" t="s">
        <v>51</v>
      </c>
      <c r="D57" t="s">
        <v>891</v>
      </c>
      <c r="E57" t="s">
        <v>245</v>
      </c>
      <c r="F57" t="s">
        <v>151</v>
      </c>
      <c r="H57">
        <v>0</v>
      </c>
      <c r="I57">
        <v>4426.6400000000003</v>
      </c>
      <c r="J57">
        <v>27658.37</v>
      </c>
      <c r="L57" s="7"/>
    </row>
    <row r="58" spans="2:12" customFormat="1" x14ac:dyDescent="0.25">
      <c r="B58" t="s">
        <v>639</v>
      </c>
      <c r="C58" t="s">
        <v>87</v>
      </c>
      <c r="D58" t="s">
        <v>891</v>
      </c>
      <c r="E58" t="s">
        <v>246</v>
      </c>
      <c r="F58" t="s">
        <v>152</v>
      </c>
      <c r="H58">
        <v>834.35</v>
      </c>
      <c r="I58">
        <v>0</v>
      </c>
      <c r="J58">
        <v>-1248.3499999999999</v>
      </c>
      <c r="L58" s="7"/>
    </row>
    <row r="59" spans="2:12" customFormat="1" x14ac:dyDescent="0.25">
      <c r="B59" t="s">
        <v>639</v>
      </c>
      <c r="C59" t="s">
        <v>52</v>
      </c>
      <c r="D59" t="s">
        <v>891</v>
      </c>
      <c r="E59" t="s">
        <v>247</v>
      </c>
      <c r="F59" t="s">
        <v>153</v>
      </c>
      <c r="H59">
        <v>0</v>
      </c>
      <c r="I59">
        <v>0</v>
      </c>
      <c r="J59">
        <v>-324.08999999999997</v>
      </c>
      <c r="L59" s="7"/>
    </row>
    <row r="60" spans="2:12" customFormat="1" x14ac:dyDescent="0.25">
      <c r="B60" t="s">
        <v>639</v>
      </c>
      <c r="C60" t="s">
        <v>88</v>
      </c>
      <c r="D60" t="s">
        <v>891</v>
      </c>
      <c r="E60" t="s">
        <v>248</v>
      </c>
      <c r="F60" t="s">
        <v>154</v>
      </c>
      <c r="H60">
        <v>6341.75</v>
      </c>
      <c r="I60">
        <v>0</v>
      </c>
      <c r="J60">
        <v>-16012.84</v>
      </c>
      <c r="L60" s="7"/>
    </row>
    <row r="61" spans="2:12" customFormat="1" x14ac:dyDescent="0.25">
      <c r="B61" t="s">
        <v>639</v>
      </c>
      <c r="C61" t="s">
        <v>53</v>
      </c>
      <c r="D61" t="s">
        <v>891</v>
      </c>
      <c r="E61" t="s">
        <v>249</v>
      </c>
      <c r="F61" t="s">
        <v>155</v>
      </c>
      <c r="H61">
        <v>531.61</v>
      </c>
      <c r="I61">
        <v>108307</v>
      </c>
      <c r="J61">
        <v>689550.44</v>
      </c>
      <c r="L61" s="7"/>
    </row>
    <row r="62" spans="2:12" customFormat="1" x14ac:dyDescent="0.25">
      <c r="B62" t="s">
        <v>639</v>
      </c>
      <c r="C62" t="s">
        <v>54</v>
      </c>
      <c r="D62" t="s">
        <v>891</v>
      </c>
      <c r="E62" t="s">
        <v>250</v>
      </c>
      <c r="F62" t="s">
        <v>156</v>
      </c>
      <c r="H62">
        <v>0</v>
      </c>
      <c r="I62">
        <v>9.6300000000000008</v>
      </c>
      <c r="J62">
        <v>25.89</v>
      </c>
      <c r="L62" s="7"/>
    </row>
    <row r="63" spans="2:12" customFormat="1" x14ac:dyDescent="0.25">
      <c r="B63" t="s">
        <v>639</v>
      </c>
      <c r="C63" t="s">
        <v>89</v>
      </c>
      <c r="D63" t="s">
        <v>891</v>
      </c>
      <c r="E63" t="s">
        <v>251</v>
      </c>
      <c r="F63" t="s">
        <v>157</v>
      </c>
      <c r="H63">
        <v>0</v>
      </c>
      <c r="I63">
        <v>0</v>
      </c>
      <c r="J63">
        <v>152458</v>
      </c>
      <c r="L63" s="7"/>
    </row>
    <row r="64" spans="2:12" customFormat="1" x14ac:dyDescent="0.25">
      <c r="B64" t="s">
        <v>639</v>
      </c>
      <c r="C64" t="s">
        <v>55</v>
      </c>
      <c r="D64" t="s">
        <v>891</v>
      </c>
      <c r="E64" t="s">
        <v>252</v>
      </c>
      <c r="F64" t="s">
        <v>158</v>
      </c>
      <c r="H64">
        <v>0</v>
      </c>
      <c r="I64">
        <v>14709.18</v>
      </c>
      <c r="J64">
        <v>94401.37</v>
      </c>
      <c r="L64" s="7"/>
    </row>
    <row r="65" spans="2:12" customFormat="1" x14ac:dyDescent="0.25">
      <c r="B65" t="s">
        <v>639</v>
      </c>
      <c r="C65" t="s">
        <v>56</v>
      </c>
      <c r="D65" t="s">
        <v>891</v>
      </c>
      <c r="E65" t="s">
        <v>253</v>
      </c>
      <c r="F65" t="s">
        <v>159</v>
      </c>
      <c r="H65">
        <v>0</v>
      </c>
      <c r="I65">
        <v>1782.83</v>
      </c>
      <c r="J65">
        <v>31205.41</v>
      </c>
      <c r="L65" s="7"/>
    </row>
    <row r="66" spans="2:12" customFormat="1" x14ac:dyDescent="0.25">
      <c r="B66" t="s">
        <v>639</v>
      </c>
      <c r="C66" t="s">
        <v>57</v>
      </c>
      <c r="D66" t="s">
        <v>891</v>
      </c>
      <c r="E66" t="s">
        <v>254</v>
      </c>
      <c r="F66" t="s">
        <v>160</v>
      </c>
      <c r="H66">
        <v>0</v>
      </c>
      <c r="I66">
        <v>3054.59</v>
      </c>
      <c r="J66">
        <v>11853.49</v>
      </c>
      <c r="L66" s="7"/>
    </row>
    <row r="67" spans="2:12" customFormat="1" x14ac:dyDescent="0.25">
      <c r="B67" t="s">
        <v>639</v>
      </c>
      <c r="C67" t="s">
        <v>58</v>
      </c>
      <c r="D67" t="s">
        <v>891</v>
      </c>
      <c r="E67" t="s">
        <v>255</v>
      </c>
      <c r="F67" t="s">
        <v>161</v>
      </c>
      <c r="H67">
        <v>0</v>
      </c>
      <c r="I67">
        <v>0</v>
      </c>
      <c r="J67">
        <v>3667.02</v>
      </c>
      <c r="L67" s="7"/>
    </row>
    <row r="68" spans="2:12" customFormat="1" x14ac:dyDescent="0.25">
      <c r="B68" t="s">
        <v>639</v>
      </c>
      <c r="C68" t="s">
        <v>59</v>
      </c>
      <c r="D68" t="s">
        <v>891</v>
      </c>
      <c r="E68" t="s">
        <v>256</v>
      </c>
      <c r="F68" t="s">
        <v>162</v>
      </c>
      <c r="H68">
        <v>0</v>
      </c>
      <c r="I68">
        <v>798.18</v>
      </c>
      <c r="J68">
        <v>25594.23</v>
      </c>
      <c r="L68" s="7"/>
    </row>
    <row r="69" spans="2:12" customFormat="1" x14ac:dyDescent="0.25">
      <c r="B69" t="s">
        <v>639</v>
      </c>
      <c r="C69" t="s">
        <v>90</v>
      </c>
      <c r="D69" t="s">
        <v>891</v>
      </c>
      <c r="E69" t="s">
        <v>257</v>
      </c>
      <c r="F69" t="s">
        <v>163</v>
      </c>
      <c r="H69">
        <v>0</v>
      </c>
      <c r="I69">
        <v>0</v>
      </c>
      <c r="J69">
        <v>7073.63</v>
      </c>
      <c r="L69" s="7"/>
    </row>
    <row r="70" spans="2:12" customFormat="1" x14ac:dyDescent="0.25">
      <c r="B70" t="s">
        <v>639</v>
      </c>
      <c r="C70" t="s">
        <v>60</v>
      </c>
      <c r="D70" t="s">
        <v>891</v>
      </c>
      <c r="E70" t="s">
        <v>258</v>
      </c>
      <c r="F70" t="s">
        <v>164</v>
      </c>
      <c r="H70">
        <v>0</v>
      </c>
      <c r="I70">
        <v>830.98</v>
      </c>
      <c r="J70">
        <v>10046.9</v>
      </c>
      <c r="L70" s="7"/>
    </row>
    <row r="71" spans="2:12" customFormat="1" x14ac:dyDescent="0.25">
      <c r="B71" t="s">
        <v>639</v>
      </c>
      <c r="C71" t="s">
        <v>61</v>
      </c>
      <c r="D71" t="s">
        <v>891</v>
      </c>
      <c r="E71" t="s">
        <v>259</v>
      </c>
      <c r="F71" t="s">
        <v>165</v>
      </c>
      <c r="H71">
        <v>0</v>
      </c>
      <c r="I71">
        <v>0</v>
      </c>
      <c r="J71">
        <v>3735.65</v>
      </c>
      <c r="L71" s="7"/>
    </row>
    <row r="72" spans="2:12" customFormat="1" x14ac:dyDescent="0.25">
      <c r="B72" t="s">
        <v>639</v>
      </c>
      <c r="C72" t="s">
        <v>62</v>
      </c>
      <c r="D72" t="s">
        <v>891</v>
      </c>
      <c r="E72" t="s">
        <v>260</v>
      </c>
      <c r="F72" t="s">
        <v>166</v>
      </c>
      <c r="H72">
        <v>246.45</v>
      </c>
      <c r="I72">
        <v>66.040000000000006</v>
      </c>
      <c r="J72">
        <v>-73.930000000000007</v>
      </c>
      <c r="L72" s="7"/>
    </row>
    <row r="73" spans="2:12" customFormat="1" x14ac:dyDescent="0.25">
      <c r="B73" t="s">
        <v>639</v>
      </c>
      <c r="C73" t="s">
        <v>63</v>
      </c>
      <c r="D73" t="s">
        <v>891</v>
      </c>
      <c r="E73" t="s">
        <v>261</v>
      </c>
      <c r="F73" t="s">
        <v>167</v>
      </c>
      <c r="H73">
        <v>0</v>
      </c>
      <c r="I73">
        <v>1370.87</v>
      </c>
      <c r="J73">
        <v>9218.4699999999993</v>
      </c>
      <c r="L73" s="7"/>
    </row>
    <row r="74" spans="2:12" customFormat="1" x14ac:dyDescent="0.25">
      <c r="B74" t="s">
        <v>639</v>
      </c>
      <c r="C74" t="s">
        <v>91</v>
      </c>
      <c r="D74" t="s">
        <v>891</v>
      </c>
      <c r="E74" t="s">
        <v>262</v>
      </c>
      <c r="F74" t="s">
        <v>168</v>
      </c>
      <c r="H74">
        <v>0</v>
      </c>
      <c r="I74">
        <v>0</v>
      </c>
      <c r="J74">
        <v>2561.4</v>
      </c>
      <c r="L74" s="7"/>
    </row>
    <row r="75" spans="2:12" customFormat="1" x14ac:dyDescent="0.25">
      <c r="B75" t="s">
        <v>639</v>
      </c>
      <c r="C75" t="s">
        <v>92</v>
      </c>
      <c r="D75" t="s">
        <v>891</v>
      </c>
      <c r="E75" t="s">
        <v>263</v>
      </c>
      <c r="F75" t="s">
        <v>169</v>
      </c>
      <c r="H75">
        <v>0</v>
      </c>
      <c r="I75">
        <v>0</v>
      </c>
      <c r="J75">
        <v>-2417.89</v>
      </c>
      <c r="L75" s="7"/>
    </row>
    <row r="76" spans="2:12" customFormat="1" x14ac:dyDescent="0.25">
      <c r="B76" t="s">
        <v>639</v>
      </c>
      <c r="C76" t="s">
        <v>93</v>
      </c>
      <c r="D76" t="s">
        <v>891</v>
      </c>
      <c r="E76" t="s">
        <v>264</v>
      </c>
      <c r="F76" t="s">
        <v>170</v>
      </c>
      <c r="H76">
        <v>0</v>
      </c>
      <c r="I76">
        <v>1618</v>
      </c>
      <c r="J76">
        <v>1618</v>
      </c>
      <c r="L76" s="7"/>
    </row>
    <row r="77" spans="2:12" customFormat="1" x14ac:dyDescent="0.25">
      <c r="B77" t="s">
        <v>639</v>
      </c>
      <c r="C77" t="s">
        <v>640</v>
      </c>
      <c r="D77" t="s">
        <v>891</v>
      </c>
      <c r="E77" t="s">
        <v>641</v>
      </c>
      <c r="F77" t="s">
        <v>642</v>
      </c>
      <c r="H77">
        <v>0</v>
      </c>
      <c r="I77">
        <v>0</v>
      </c>
      <c r="J77">
        <v>600</v>
      </c>
      <c r="L77" s="7"/>
    </row>
    <row r="78" spans="2:12" customFormat="1" x14ac:dyDescent="0.25">
      <c r="B78" t="s">
        <v>639</v>
      </c>
      <c r="C78" t="s">
        <v>64</v>
      </c>
      <c r="D78" t="s">
        <v>891</v>
      </c>
      <c r="E78" t="s">
        <v>265</v>
      </c>
      <c r="F78" t="s">
        <v>171</v>
      </c>
      <c r="H78">
        <v>0</v>
      </c>
      <c r="I78">
        <v>1606.47</v>
      </c>
      <c r="J78">
        <v>13986.99</v>
      </c>
      <c r="L78" s="7"/>
    </row>
    <row r="79" spans="2:12" customFormat="1" x14ac:dyDescent="0.25">
      <c r="B79" t="s">
        <v>639</v>
      </c>
      <c r="C79" t="s">
        <v>94</v>
      </c>
      <c r="D79" t="s">
        <v>891</v>
      </c>
      <c r="E79" t="s">
        <v>266</v>
      </c>
      <c r="F79" t="s">
        <v>172</v>
      </c>
      <c r="H79">
        <v>0</v>
      </c>
      <c r="I79">
        <v>101.35</v>
      </c>
      <c r="J79">
        <v>857.27</v>
      </c>
      <c r="L79" s="7"/>
    </row>
    <row r="80" spans="2:12" customFormat="1" x14ac:dyDescent="0.25">
      <c r="B80" t="s">
        <v>639</v>
      </c>
      <c r="C80" t="s">
        <v>95</v>
      </c>
      <c r="D80" t="s">
        <v>891</v>
      </c>
      <c r="E80" t="s">
        <v>267</v>
      </c>
      <c r="F80" t="s">
        <v>173</v>
      </c>
      <c r="H80">
        <v>0</v>
      </c>
      <c r="I80">
        <v>213.91</v>
      </c>
      <c r="J80">
        <v>4115.78</v>
      </c>
      <c r="L80" s="7"/>
    </row>
    <row r="81" spans="2:12" customFormat="1" x14ac:dyDescent="0.25">
      <c r="B81" t="s">
        <v>639</v>
      </c>
      <c r="C81" t="s">
        <v>96</v>
      </c>
      <c r="D81" t="s">
        <v>891</v>
      </c>
      <c r="E81" t="s">
        <v>268</v>
      </c>
      <c r="F81" t="s">
        <v>174</v>
      </c>
      <c r="H81">
        <v>0</v>
      </c>
      <c r="I81">
        <v>3696.7</v>
      </c>
      <c r="J81">
        <v>9298.2999999999993</v>
      </c>
      <c r="L81" s="7"/>
    </row>
    <row r="82" spans="2:12" customFormat="1" x14ac:dyDescent="0.25">
      <c r="B82" t="s">
        <v>639</v>
      </c>
      <c r="C82" t="s">
        <v>65</v>
      </c>
      <c r="D82" t="s">
        <v>891</v>
      </c>
      <c r="E82" t="s">
        <v>269</v>
      </c>
      <c r="F82" t="s">
        <v>175</v>
      </c>
      <c r="H82">
        <v>0</v>
      </c>
      <c r="I82">
        <v>7752</v>
      </c>
      <c r="J82">
        <v>28746.36</v>
      </c>
      <c r="L82" s="7"/>
    </row>
    <row r="83" spans="2:12" customFormat="1" x14ac:dyDescent="0.25">
      <c r="B83" t="s">
        <v>639</v>
      </c>
      <c r="C83" t="s">
        <v>97</v>
      </c>
      <c r="D83" t="s">
        <v>891</v>
      </c>
      <c r="E83" t="s">
        <v>270</v>
      </c>
      <c r="F83" t="s">
        <v>176</v>
      </c>
      <c r="H83">
        <v>0</v>
      </c>
      <c r="I83">
        <v>0</v>
      </c>
      <c r="J83">
        <v>-37.61</v>
      </c>
      <c r="L83" s="7"/>
    </row>
    <row r="84" spans="2:12" customFormat="1" x14ac:dyDescent="0.25">
      <c r="B84" t="s">
        <v>639</v>
      </c>
      <c r="C84" t="s">
        <v>98</v>
      </c>
      <c r="D84" t="s">
        <v>891</v>
      </c>
      <c r="E84" t="s">
        <v>271</v>
      </c>
      <c r="F84" t="s">
        <v>177</v>
      </c>
      <c r="H84">
        <v>0</v>
      </c>
      <c r="I84">
        <v>63.03</v>
      </c>
      <c r="J84">
        <v>1655.96</v>
      </c>
      <c r="L84" s="7"/>
    </row>
    <row r="85" spans="2:12" customFormat="1" x14ac:dyDescent="0.25">
      <c r="B85" t="s">
        <v>639</v>
      </c>
      <c r="C85" t="s">
        <v>66</v>
      </c>
      <c r="D85" t="s">
        <v>891</v>
      </c>
      <c r="E85" t="s">
        <v>272</v>
      </c>
      <c r="F85" t="s">
        <v>178</v>
      </c>
      <c r="H85">
        <v>0</v>
      </c>
      <c r="I85">
        <v>130</v>
      </c>
      <c r="J85">
        <v>650</v>
      </c>
      <c r="L85" s="7"/>
    </row>
    <row r="86" spans="2:12" customFormat="1" x14ac:dyDescent="0.25">
      <c r="B86" t="s">
        <v>639</v>
      </c>
      <c r="C86" t="s">
        <v>99</v>
      </c>
      <c r="D86" t="s">
        <v>891</v>
      </c>
      <c r="E86" t="s">
        <v>273</v>
      </c>
      <c r="F86" t="s">
        <v>179</v>
      </c>
      <c r="H86">
        <v>2435.8000000000002</v>
      </c>
      <c r="I86">
        <v>0</v>
      </c>
      <c r="J86">
        <v>0</v>
      </c>
      <c r="L86" s="7"/>
    </row>
    <row r="87" spans="2:12" customFormat="1" x14ac:dyDescent="0.25">
      <c r="B87" t="s">
        <v>639</v>
      </c>
      <c r="C87" t="s">
        <v>100</v>
      </c>
      <c r="D87" t="s">
        <v>891</v>
      </c>
      <c r="E87" t="s">
        <v>274</v>
      </c>
      <c r="F87" t="s">
        <v>180</v>
      </c>
      <c r="H87">
        <v>6437</v>
      </c>
      <c r="I87">
        <v>6052.65</v>
      </c>
      <c r="J87">
        <v>25702.55</v>
      </c>
      <c r="L87" s="7"/>
    </row>
    <row r="88" spans="2:12" customFormat="1" x14ac:dyDescent="0.25">
      <c r="B88" t="s">
        <v>639</v>
      </c>
      <c r="C88" t="s">
        <v>101</v>
      </c>
      <c r="D88" t="s">
        <v>891</v>
      </c>
      <c r="E88" t="s">
        <v>275</v>
      </c>
      <c r="F88" t="s">
        <v>181</v>
      </c>
      <c r="H88">
        <v>0</v>
      </c>
      <c r="I88">
        <v>290</v>
      </c>
      <c r="J88">
        <v>290</v>
      </c>
      <c r="L88" s="7"/>
    </row>
    <row r="89" spans="2:12" customFormat="1" x14ac:dyDescent="0.25">
      <c r="B89" t="s">
        <v>639</v>
      </c>
      <c r="C89" t="s">
        <v>67</v>
      </c>
      <c r="D89" t="s">
        <v>891</v>
      </c>
      <c r="E89" t="s">
        <v>276</v>
      </c>
      <c r="F89" t="s">
        <v>182</v>
      </c>
      <c r="H89">
        <v>0</v>
      </c>
      <c r="I89">
        <v>0</v>
      </c>
      <c r="J89">
        <v>1790</v>
      </c>
      <c r="L89" s="7"/>
    </row>
    <row r="90" spans="2:12" customFormat="1" x14ac:dyDescent="0.25">
      <c r="B90" t="s">
        <v>639</v>
      </c>
      <c r="C90" t="s">
        <v>102</v>
      </c>
      <c r="D90" t="s">
        <v>891</v>
      </c>
      <c r="E90" t="s">
        <v>277</v>
      </c>
      <c r="F90" t="s">
        <v>183</v>
      </c>
      <c r="H90">
        <v>0</v>
      </c>
      <c r="I90">
        <v>0</v>
      </c>
      <c r="J90">
        <v>6881.88</v>
      </c>
      <c r="L90" s="7"/>
    </row>
    <row r="91" spans="2:12" customFormat="1" x14ac:dyDescent="0.25">
      <c r="B91" t="s">
        <v>639</v>
      </c>
      <c r="C91" t="s">
        <v>103</v>
      </c>
      <c r="D91" t="s">
        <v>891</v>
      </c>
      <c r="E91" t="s">
        <v>278</v>
      </c>
      <c r="F91" t="s">
        <v>184</v>
      </c>
      <c r="H91">
        <v>0</v>
      </c>
      <c r="I91">
        <v>0</v>
      </c>
      <c r="J91">
        <v>680</v>
      </c>
      <c r="L91" s="7"/>
    </row>
    <row r="92" spans="2:12" customFormat="1" x14ac:dyDescent="0.25">
      <c r="B92" t="s">
        <v>639</v>
      </c>
      <c r="C92" t="s">
        <v>68</v>
      </c>
      <c r="D92" t="s">
        <v>891</v>
      </c>
      <c r="E92" t="s">
        <v>279</v>
      </c>
      <c r="F92" t="s">
        <v>185</v>
      </c>
      <c r="H92">
        <v>0</v>
      </c>
      <c r="I92">
        <v>806.49</v>
      </c>
      <c r="J92">
        <v>4510.7700000000004</v>
      </c>
      <c r="L92" s="7"/>
    </row>
    <row r="93" spans="2:12" customFormat="1" x14ac:dyDescent="0.25">
      <c r="B93" t="s">
        <v>639</v>
      </c>
      <c r="C93" t="s">
        <v>104</v>
      </c>
      <c r="D93" t="s">
        <v>891</v>
      </c>
      <c r="E93" t="s">
        <v>280</v>
      </c>
      <c r="F93" t="s">
        <v>186</v>
      </c>
      <c r="H93">
        <v>0</v>
      </c>
      <c r="I93">
        <v>4227.2</v>
      </c>
      <c r="J93">
        <v>6932.44</v>
      </c>
      <c r="L93" s="7"/>
    </row>
    <row r="94" spans="2:12" customFormat="1" x14ac:dyDescent="0.25">
      <c r="B94" t="s">
        <v>639</v>
      </c>
      <c r="C94" t="s">
        <v>105</v>
      </c>
      <c r="D94" t="s">
        <v>891</v>
      </c>
      <c r="E94" t="s">
        <v>281</v>
      </c>
      <c r="F94" t="s">
        <v>187</v>
      </c>
      <c r="H94">
        <v>0</v>
      </c>
      <c r="I94">
        <v>442.79</v>
      </c>
      <c r="J94">
        <v>3241.29</v>
      </c>
      <c r="L94" s="7"/>
    </row>
    <row r="95" spans="2:12" customFormat="1" x14ac:dyDescent="0.25">
      <c r="B95" t="s">
        <v>639</v>
      </c>
      <c r="C95" t="s">
        <v>106</v>
      </c>
      <c r="D95" t="s">
        <v>891</v>
      </c>
      <c r="E95" t="s">
        <v>282</v>
      </c>
      <c r="F95" t="s">
        <v>188</v>
      </c>
      <c r="H95">
        <v>0</v>
      </c>
      <c r="I95">
        <v>130.53</v>
      </c>
      <c r="J95">
        <v>1120.06</v>
      </c>
      <c r="L95" s="7"/>
    </row>
    <row r="96" spans="2:12" customFormat="1" x14ac:dyDescent="0.25">
      <c r="B96" t="s">
        <v>639</v>
      </c>
      <c r="C96" t="s">
        <v>107</v>
      </c>
      <c r="D96" t="s">
        <v>891</v>
      </c>
      <c r="E96" t="s">
        <v>283</v>
      </c>
      <c r="F96" t="s">
        <v>189</v>
      </c>
      <c r="H96">
        <v>0</v>
      </c>
      <c r="I96">
        <v>0</v>
      </c>
      <c r="J96">
        <v>13073.21</v>
      </c>
      <c r="L96" s="7"/>
    </row>
    <row r="97" spans="2:12" customFormat="1" x14ac:dyDescent="0.25">
      <c r="B97" t="s">
        <v>639</v>
      </c>
      <c r="C97" t="s">
        <v>69</v>
      </c>
      <c r="D97" t="s">
        <v>891</v>
      </c>
      <c r="E97" t="s">
        <v>284</v>
      </c>
      <c r="F97" t="s">
        <v>190</v>
      </c>
      <c r="H97">
        <v>0</v>
      </c>
      <c r="I97">
        <v>0</v>
      </c>
      <c r="J97">
        <v>377.42</v>
      </c>
      <c r="L97" s="7"/>
    </row>
    <row r="98" spans="2:12" customFormat="1" x14ac:dyDescent="0.25">
      <c r="B98" t="s">
        <v>639</v>
      </c>
      <c r="C98" t="s">
        <v>643</v>
      </c>
      <c r="D98" t="s">
        <v>891</v>
      </c>
      <c r="E98" t="s">
        <v>644</v>
      </c>
      <c r="F98" t="s">
        <v>645</v>
      </c>
      <c r="H98">
        <v>0</v>
      </c>
      <c r="I98">
        <v>0</v>
      </c>
      <c r="J98">
        <v>49.74</v>
      </c>
      <c r="L98" s="7"/>
    </row>
    <row r="99" spans="2:12" customFormat="1" x14ac:dyDescent="0.25">
      <c r="B99" t="s">
        <v>639</v>
      </c>
      <c r="C99" t="s">
        <v>633</v>
      </c>
      <c r="D99" t="s">
        <v>891</v>
      </c>
      <c r="E99" t="s">
        <v>634</v>
      </c>
      <c r="F99" t="s">
        <v>635</v>
      </c>
      <c r="H99">
        <v>0</v>
      </c>
      <c r="I99">
        <v>0</v>
      </c>
      <c r="J99">
        <v>26546.61</v>
      </c>
      <c r="L99" s="7"/>
    </row>
    <row r="100" spans="2:12" customFormat="1" x14ac:dyDescent="0.25">
      <c r="B100" t="s">
        <v>639</v>
      </c>
      <c r="C100" t="s">
        <v>108</v>
      </c>
      <c r="D100" t="s">
        <v>891</v>
      </c>
      <c r="E100" t="s">
        <v>285</v>
      </c>
      <c r="F100" t="s">
        <v>191</v>
      </c>
      <c r="H100">
        <v>4.6100000000000003</v>
      </c>
      <c r="I100">
        <v>74.849999999999994</v>
      </c>
      <c r="J100">
        <v>954.7</v>
      </c>
      <c r="L100" s="7"/>
    </row>
    <row r="101" spans="2:12" customFormat="1" x14ac:dyDescent="0.25">
      <c r="B101" t="s">
        <v>639</v>
      </c>
      <c r="C101" t="s">
        <v>70</v>
      </c>
      <c r="D101" t="s">
        <v>891</v>
      </c>
      <c r="E101" t="s">
        <v>286</v>
      </c>
      <c r="F101" t="s">
        <v>192</v>
      </c>
      <c r="H101">
        <v>28228.09</v>
      </c>
      <c r="I101">
        <v>28228.09</v>
      </c>
      <c r="J101">
        <v>2800.24</v>
      </c>
      <c r="L101" s="7"/>
    </row>
    <row r="102" spans="2:12" customFormat="1" x14ac:dyDescent="0.25">
      <c r="B102" t="s">
        <v>639</v>
      </c>
      <c r="C102" t="s">
        <v>109</v>
      </c>
      <c r="D102" t="s">
        <v>891</v>
      </c>
      <c r="E102" t="s">
        <v>287</v>
      </c>
      <c r="F102" t="s">
        <v>193</v>
      </c>
      <c r="H102">
        <v>0</v>
      </c>
      <c r="I102">
        <v>3374.8</v>
      </c>
      <c r="J102">
        <v>8051.8</v>
      </c>
      <c r="L102" s="7"/>
    </row>
    <row r="103" spans="2:12" customFormat="1" x14ac:dyDescent="0.25">
      <c r="B103" t="s">
        <v>639</v>
      </c>
      <c r="C103" t="s">
        <v>110</v>
      </c>
      <c r="D103" t="s">
        <v>891</v>
      </c>
      <c r="E103" t="s">
        <v>288</v>
      </c>
      <c r="F103" t="s">
        <v>194</v>
      </c>
      <c r="H103">
        <v>0</v>
      </c>
      <c r="I103">
        <v>1563.63</v>
      </c>
      <c r="J103">
        <v>2827.13</v>
      </c>
      <c r="L103" s="7"/>
    </row>
    <row r="104" spans="2:12" customFormat="1" x14ac:dyDescent="0.25">
      <c r="B104" t="s">
        <v>639</v>
      </c>
      <c r="C104" t="s">
        <v>111</v>
      </c>
      <c r="D104" t="s">
        <v>891</v>
      </c>
      <c r="E104" t="s">
        <v>289</v>
      </c>
      <c r="F104" t="s">
        <v>195</v>
      </c>
      <c r="H104">
        <v>1255.79</v>
      </c>
      <c r="I104">
        <v>0</v>
      </c>
      <c r="J104">
        <v>-1808.45</v>
      </c>
      <c r="L104" s="7"/>
    </row>
    <row r="105" spans="2:12" customFormat="1" x14ac:dyDescent="0.25">
      <c r="B105" t="s">
        <v>639</v>
      </c>
      <c r="C105" t="s">
        <v>112</v>
      </c>
      <c r="D105" t="s">
        <v>891</v>
      </c>
      <c r="E105" t="s">
        <v>290</v>
      </c>
      <c r="F105" t="s">
        <v>196</v>
      </c>
      <c r="H105">
        <v>0</v>
      </c>
      <c r="I105">
        <v>475.48</v>
      </c>
      <c r="J105">
        <v>633.98</v>
      </c>
      <c r="L105" s="7"/>
    </row>
    <row r="106" spans="2:12" customFormat="1" x14ac:dyDescent="0.25">
      <c r="B106" t="s">
        <v>639</v>
      </c>
      <c r="C106" t="s">
        <v>71</v>
      </c>
      <c r="D106" t="s">
        <v>891</v>
      </c>
      <c r="E106" t="s">
        <v>291</v>
      </c>
      <c r="F106" t="s">
        <v>197</v>
      </c>
      <c r="H106">
        <v>0</v>
      </c>
      <c r="I106">
        <v>806.91</v>
      </c>
      <c r="J106">
        <v>5337.33</v>
      </c>
      <c r="L106" s="7"/>
    </row>
    <row r="107" spans="2:12" customFormat="1" x14ac:dyDescent="0.25">
      <c r="B107" t="s">
        <v>639</v>
      </c>
      <c r="C107" t="s">
        <v>72</v>
      </c>
      <c r="D107" t="s">
        <v>891</v>
      </c>
      <c r="E107" t="s">
        <v>292</v>
      </c>
      <c r="F107" t="s">
        <v>198</v>
      </c>
      <c r="H107">
        <v>0</v>
      </c>
      <c r="I107">
        <v>623.62</v>
      </c>
      <c r="J107">
        <v>3935.19</v>
      </c>
      <c r="L107" s="7"/>
    </row>
    <row r="108" spans="2:12" customFormat="1" x14ac:dyDescent="0.25">
      <c r="B108" t="s">
        <v>639</v>
      </c>
      <c r="C108" t="s">
        <v>73</v>
      </c>
      <c r="D108" t="s">
        <v>891</v>
      </c>
      <c r="E108" t="s">
        <v>293</v>
      </c>
      <c r="F108" t="s">
        <v>199</v>
      </c>
      <c r="H108">
        <v>0</v>
      </c>
      <c r="I108">
        <v>0.84</v>
      </c>
      <c r="J108">
        <v>45</v>
      </c>
      <c r="L108" s="7"/>
    </row>
    <row r="109" spans="2:12" customFormat="1" x14ac:dyDescent="0.25">
      <c r="B109" t="s">
        <v>639</v>
      </c>
      <c r="C109" t="s">
        <v>74</v>
      </c>
      <c r="D109" t="s">
        <v>891</v>
      </c>
      <c r="E109" t="s">
        <v>294</v>
      </c>
      <c r="F109" t="s">
        <v>200</v>
      </c>
      <c r="H109">
        <v>0</v>
      </c>
      <c r="I109">
        <v>1289.45</v>
      </c>
      <c r="J109">
        <v>9144.11</v>
      </c>
      <c r="L109" s="7"/>
    </row>
    <row r="110" spans="2:12" customFormat="1" x14ac:dyDescent="0.25">
      <c r="B110" t="s">
        <v>646</v>
      </c>
      <c r="C110" t="s">
        <v>30</v>
      </c>
      <c r="D110" t="s">
        <v>891</v>
      </c>
      <c r="E110" t="s">
        <v>215</v>
      </c>
      <c r="F110" t="s">
        <v>120</v>
      </c>
      <c r="H110">
        <v>92430.97</v>
      </c>
      <c r="I110">
        <v>0</v>
      </c>
      <c r="J110">
        <v>1064.72</v>
      </c>
      <c r="L110" s="7"/>
    </row>
    <row r="111" spans="2:12" customFormat="1" x14ac:dyDescent="0.25">
      <c r="B111" t="s">
        <v>646</v>
      </c>
      <c r="C111" t="s">
        <v>32</v>
      </c>
      <c r="D111" t="s">
        <v>891</v>
      </c>
      <c r="E111" t="s">
        <v>218</v>
      </c>
      <c r="F111" t="s">
        <v>123</v>
      </c>
      <c r="H111">
        <v>0</v>
      </c>
      <c r="I111">
        <v>0</v>
      </c>
      <c r="J111">
        <v>37628.54</v>
      </c>
      <c r="L111" s="7"/>
    </row>
    <row r="112" spans="2:12" customFormat="1" x14ac:dyDescent="0.25">
      <c r="B112" t="s">
        <v>646</v>
      </c>
      <c r="C112" t="s">
        <v>38</v>
      </c>
      <c r="D112" t="s">
        <v>891</v>
      </c>
      <c r="E112" t="s">
        <v>224</v>
      </c>
      <c r="F112" t="s">
        <v>130</v>
      </c>
      <c r="H112">
        <v>0</v>
      </c>
      <c r="I112">
        <v>0</v>
      </c>
      <c r="J112">
        <v>144771.85</v>
      </c>
      <c r="L112" s="7"/>
    </row>
    <row r="113" spans="2:12" customFormat="1" x14ac:dyDescent="0.25">
      <c r="B113" t="s">
        <v>646</v>
      </c>
      <c r="C113" t="s">
        <v>40</v>
      </c>
      <c r="D113" t="s">
        <v>891</v>
      </c>
      <c r="E113" t="s">
        <v>227</v>
      </c>
      <c r="F113" t="s">
        <v>133</v>
      </c>
      <c r="H113">
        <v>2508.0300000000002</v>
      </c>
      <c r="I113">
        <v>2508.0300000000002</v>
      </c>
      <c r="J113">
        <v>0</v>
      </c>
      <c r="L113" s="7"/>
    </row>
    <row r="114" spans="2:12" customFormat="1" x14ac:dyDescent="0.25">
      <c r="B114" t="s">
        <v>646</v>
      </c>
      <c r="C114" t="s">
        <v>41</v>
      </c>
      <c r="D114" t="s">
        <v>891</v>
      </c>
      <c r="E114" t="s">
        <v>231</v>
      </c>
      <c r="F114" t="s">
        <v>137</v>
      </c>
      <c r="H114">
        <v>0</v>
      </c>
      <c r="I114">
        <v>0</v>
      </c>
      <c r="J114">
        <v>44.53</v>
      </c>
      <c r="L114" s="7"/>
    </row>
    <row r="115" spans="2:12" customFormat="1" x14ac:dyDescent="0.25">
      <c r="B115" t="s">
        <v>646</v>
      </c>
      <c r="C115" t="s">
        <v>365</v>
      </c>
      <c r="D115" t="s">
        <v>891</v>
      </c>
      <c r="E115" t="s">
        <v>366</v>
      </c>
      <c r="F115" t="s">
        <v>367</v>
      </c>
      <c r="H115">
        <v>0</v>
      </c>
      <c r="I115">
        <v>6738.48</v>
      </c>
      <c r="J115">
        <v>0</v>
      </c>
      <c r="L115" s="7"/>
    </row>
    <row r="116" spans="2:12" customFormat="1" x14ac:dyDescent="0.25">
      <c r="B116" t="s">
        <v>646</v>
      </c>
      <c r="C116" t="s">
        <v>368</v>
      </c>
      <c r="D116" t="s">
        <v>891</v>
      </c>
      <c r="E116" t="s">
        <v>369</v>
      </c>
      <c r="F116" t="s">
        <v>370</v>
      </c>
      <c r="H116">
        <v>0</v>
      </c>
      <c r="I116">
        <v>4043.09</v>
      </c>
      <c r="J116">
        <v>0</v>
      </c>
      <c r="L116" s="7"/>
    </row>
    <row r="117" spans="2:12" customFormat="1" x14ac:dyDescent="0.25">
      <c r="B117" t="s">
        <v>646</v>
      </c>
      <c r="C117" t="s">
        <v>44</v>
      </c>
      <c r="D117" t="s">
        <v>891</v>
      </c>
      <c r="E117" t="s">
        <v>235</v>
      </c>
      <c r="F117" t="s">
        <v>141</v>
      </c>
      <c r="H117">
        <v>23.45</v>
      </c>
      <c r="I117">
        <v>0</v>
      </c>
      <c r="J117">
        <v>-23.45</v>
      </c>
      <c r="L117" s="7"/>
    </row>
    <row r="118" spans="2:12" customFormat="1" x14ac:dyDescent="0.25">
      <c r="B118" t="s">
        <v>646</v>
      </c>
      <c r="C118" t="s">
        <v>45</v>
      </c>
      <c r="D118" t="s">
        <v>891</v>
      </c>
      <c r="E118" t="s">
        <v>236</v>
      </c>
      <c r="F118" t="s">
        <v>142</v>
      </c>
      <c r="H118">
        <v>72.709999999999994</v>
      </c>
      <c r="I118">
        <v>0</v>
      </c>
      <c r="J118">
        <v>-225.3</v>
      </c>
      <c r="L118" s="7"/>
    </row>
    <row r="119" spans="2:12" customFormat="1" x14ac:dyDescent="0.25">
      <c r="B119" t="s">
        <v>646</v>
      </c>
      <c r="C119" t="s">
        <v>46</v>
      </c>
      <c r="D119" t="s">
        <v>891</v>
      </c>
      <c r="E119" t="s">
        <v>237</v>
      </c>
      <c r="F119" t="s">
        <v>143</v>
      </c>
      <c r="H119">
        <v>0</v>
      </c>
      <c r="I119">
        <v>0</v>
      </c>
      <c r="J119">
        <v>-149000</v>
      </c>
      <c r="L119" s="7"/>
    </row>
    <row r="120" spans="2:12" customFormat="1" x14ac:dyDescent="0.25">
      <c r="B120" t="s">
        <v>646</v>
      </c>
      <c r="C120" t="s">
        <v>47</v>
      </c>
      <c r="D120" t="s">
        <v>891</v>
      </c>
      <c r="E120" t="s">
        <v>238</v>
      </c>
      <c r="F120" t="s">
        <v>144</v>
      </c>
      <c r="H120">
        <v>0</v>
      </c>
      <c r="I120">
        <v>0</v>
      </c>
      <c r="J120">
        <v>-127625.47</v>
      </c>
      <c r="L120" s="7"/>
    </row>
    <row r="121" spans="2:12" customFormat="1" x14ac:dyDescent="0.25">
      <c r="B121" t="s">
        <v>646</v>
      </c>
      <c r="C121" t="s">
        <v>80</v>
      </c>
      <c r="D121" t="s">
        <v>891</v>
      </c>
      <c r="E121" t="s">
        <v>239</v>
      </c>
      <c r="F121" t="s">
        <v>145</v>
      </c>
      <c r="H121">
        <v>0</v>
      </c>
      <c r="I121">
        <v>0</v>
      </c>
      <c r="J121">
        <v>-29000</v>
      </c>
      <c r="L121" s="7"/>
    </row>
    <row r="122" spans="2:12" customFormat="1" x14ac:dyDescent="0.25">
      <c r="B122" t="s">
        <v>646</v>
      </c>
      <c r="C122" t="s">
        <v>588</v>
      </c>
      <c r="D122" t="s">
        <v>891</v>
      </c>
      <c r="E122" t="s">
        <v>589</v>
      </c>
      <c r="F122" t="s">
        <v>590</v>
      </c>
      <c r="H122">
        <v>0</v>
      </c>
      <c r="I122">
        <v>0</v>
      </c>
      <c r="J122">
        <v>-9293.08</v>
      </c>
      <c r="L122" s="7"/>
    </row>
    <row r="123" spans="2:12" customFormat="1" x14ac:dyDescent="0.25">
      <c r="B123" t="s">
        <v>646</v>
      </c>
      <c r="C123" t="s">
        <v>85</v>
      </c>
      <c r="D123" t="s">
        <v>891</v>
      </c>
      <c r="E123" t="s">
        <v>240</v>
      </c>
      <c r="F123" t="s">
        <v>146</v>
      </c>
      <c r="H123">
        <v>0</v>
      </c>
      <c r="I123">
        <v>0</v>
      </c>
      <c r="J123">
        <v>17357.509999999998</v>
      </c>
      <c r="L123" s="7"/>
    </row>
    <row r="124" spans="2:12" customFormat="1" x14ac:dyDescent="0.25">
      <c r="B124" t="s">
        <v>646</v>
      </c>
      <c r="C124" t="s">
        <v>86</v>
      </c>
      <c r="D124" t="s">
        <v>891</v>
      </c>
      <c r="E124" t="s">
        <v>242</v>
      </c>
      <c r="F124" t="s">
        <v>148</v>
      </c>
      <c r="H124">
        <v>0</v>
      </c>
      <c r="I124">
        <v>0</v>
      </c>
      <c r="J124">
        <v>-178383.86</v>
      </c>
      <c r="L124" s="7"/>
    </row>
    <row r="125" spans="2:12" customFormat="1" x14ac:dyDescent="0.25">
      <c r="B125" t="s">
        <v>646</v>
      </c>
      <c r="C125" t="s">
        <v>49</v>
      </c>
      <c r="D125" t="s">
        <v>891</v>
      </c>
      <c r="E125" t="s">
        <v>243</v>
      </c>
      <c r="F125" t="s">
        <v>149</v>
      </c>
      <c r="H125">
        <v>0</v>
      </c>
      <c r="I125">
        <v>0</v>
      </c>
      <c r="J125">
        <v>15213.46</v>
      </c>
      <c r="L125" s="7"/>
    </row>
    <row r="126" spans="2:12" customFormat="1" x14ac:dyDescent="0.25">
      <c r="B126" t="s">
        <v>646</v>
      </c>
      <c r="C126" t="s">
        <v>50</v>
      </c>
      <c r="D126" t="s">
        <v>891</v>
      </c>
      <c r="E126" t="s">
        <v>244</v>
      </c>
      <c r="F126" t="s">
        <v>150</v>
      </c>
      <c r="H126">
        <v>0</v>
      </c>
      <c r="I126">
        <v>0</v>
      </c>
      <c r="J126">
        <v>1240.75</v>
      </c>
      <c r="L126" s="7"/>
    </row>
    <row r="127" spans="2:12" customFormat="1" x14ac:dyDescent="0.25">
      <c r="B127" t="s">
        <v>646</v>
      </c>
      <c r="C127" t="s">
        <v>51</v>
      </c>
      <c r="D127" t="s">
        <v>891</v>
      </c>
      <c r="E127" t="s">
        <v>245</v>
      </c>
      <c r="F127" t="s">
        <v>151</v>
      </c>
      <c r="H127">
        <v>0</v>
      </c>
      <c r="I127">
        <v>0</v>
      </c>
      <c r="J127">
        <v>5714.99</v>
      </c>
      <c r="L127" s="7"/>
    </row>
    <row r="128" spans="2:12" customFormat="1" x14ac:dyDescent="0.25">
      <c r="B128" t="s">
        <v>646</v>
      </c>
      <c r="C128" t="s">
        <v>87</v>
      </c>
      <c r="D128" t="s">
        <v>891</v>
      </c>
      <c r="E128" t="s">
        <v>246</v>
      </c>
      <c r="F128" t="s">
        <v>152</v>
      </c>
      <c r="H128">
        <v>0</v>
      </c>
      <c r="I128">
        <v>0</v>
      </c>
      <c r="J128">
        <v>-321.22000000000003</v>
      </c>
      <c r="L128" s="7"/>
    </row>
    <row r="129" spans="2:12" customFormat="1" x14ac:dyDescent="0.25">
      <c r="B129" t="s">
        <v>646</v>
      </c>
      <c r="C129" t="s">
        <v>53</v>
      </c>
      <c r="D129" t="s">
        <v>891</v>
      </c>
      <c r="E129" t="s">
        <v>249</v>
      </c>
      <c r="F129" t="s">
        <v>155</v>
      </c>
      <c r="H129">
        <v>0</v>
      </c>
      <c r="I129">
        <v>0</v>
      </c>
      <c r="J129">
        <v>55431.9</v>
      </c>
      <c r="L129" s="7"/>
    </row>
    <row r="130" spans="2:12" customFormat="1" x14ac:dyDescent="0.25">
      <c r="B130" t="s">
        <v>646</v>
      </c>
      <c r="C130" t="s">
        <v>55</v>
      </c>
      <c r="D130" t="s">
        <v>891</v>
      </c>
      <c r="E130" t="s">
        <v>252</v>
      </c>
      <c r="F130" t="s">
        <v>158</v>
      </c>
      <c r="H130">
        <v>0</v>
      </c>
      <c r="I130">
        <v>0</v>
      </c>
      <c r="J130">
        <v>18300.849999999999</v>
      </c>
      <c r="L130" s="7"/>
    </row>
    <row r="131" spans="2:12" customFormat="1" x14ac:dyDescent="0.25">
      <c r="B131" t="s">
        <v>646</v>
      </c>
      <c r="C131" t="s">
        <v>56</v>
      </c>
      <c r="D131" t="s">
        <v>891</v>
      </c>
      <c r="E131" t="s">
        <v>253</v>
      </c>
      <c r="F131" t="s">
        <v>159</v>
      </c>
      <c r="H131">
        <v>0</v>
      </c>
      <c r="I131">
        <v>0</v>
      </c>
      <c r="J131">
        <v>10916.3</v>
      </c>
      <c r="L131" s="7"/>
    </row>
    <row r="132" spans="2:12" customFormat="1" x14ac:dyDescent="0.25">
      <c r="B132" t="s">
        <v>646</v>
      </c>
      <c r="C132" t="s">
        <v>57</v>
      </c>
      <c r="D132" t="s">
        <v>891</v>
      </c>
      <c r="E132" t="s">
        <v>254</v>
      </c>
      <c r="F132" t="s">
        <v>160</v>
      </c>
      <c r="H132">
        <v>0</v>
      </c>
      <c r="I132">
        <v>0</v>
      </c>
      <c r="J132">
        <v>3797.15</v>
      </c>
      <c r="L132" s="7"/>
    </row>
    <row r="133" spans="2:12" customFormat="1" x14ac:dyDescent="0.25">
      <c r="B133" t="s">
        <v>646</v>
      </c>
      <c r="C133" t="s">
        <v>58</v>
      </c>
      <c r="D133" t="s">
        <v>891</v>
      </c>
      <c r="E133" t="s">
        <v>255</v>
      </c>
      <c r="F133" t="s">
        <v>161</v>
      </c>
      <c r="H133">
        <v>0</v>
      </c>
      <c r="I133">
        <v>0</v>
      </c>
      <c r="J133">
        <v>4863.49</v>
      </c>
      <c r="L133" s="7"/>
    </row>
    <row r="134" spans="2:12" customFormat="1" x14ac:dyDescent="0.25">
      <c r="B134" t="s">
        <v>646</v>
      </c>
      <c r="C134" t="s">
        <v>59</v>
      </c>
      <c r="D134" t="s">
        <v>891</v>
      </c>
      <c r="E134" t="s">
        <v>256</v>
      </c>
      <c r="F134" t="s">
        <v>162</v>
      </c>
      <c r="H134">
        <v>0</v>
      </c>
      <c r="I134">
        <v>0</v>
      </c>
      <c r="J134">
        <v>19585.900000000001</v>
      </c>
      <c r="L134" s="7"/>
    </row>
    <row r="135" spans="2:12" customFormat="1" x14ac:dyDescent="0.25">
      <c r="B135" t="s">
        <v>646</v>
      </c>
      <c r="C135" t="s">
        <v>90</v>
      </c>
      <c r="D135" t="s">
        <v>891</v>
      </c>
      <c r="E135" t="s">
        <v>257</v>
      </c>
      <c r="F135" t="s">
        <v>163</v>
      </c>
      <c r="H135">
        <v>0</v>
      </c>
      <c r="I135">
        <v>0</v>
      </c>
      <c r="J135">
        <v>27620.16</v>
      </c>
      <c r="L135" s="7"/>
    </row>
    <row r="136" spans="2:12" customFormat="1" x14ac:dyDescent="0.25">
      <c r="B136" t="s">
        <v>646</v>
      </c>
      <c r="C136" t="s">
        <v>60</v>
      </c>
      <c r="D136" t="s">
        <v>891</v>
      </c>
      <c r="E136" t="s">
        <v>258</v>
      </c>
      <c r="F136" t="s">
        <v>164</v>
      </c>
      <c r="H136">
        <v>0</v>
      </c>
      <c r="I136">
        <v>0</v>
      </c>
      <c r="J136">
        <v>3892.66</v>
      </c>
      <c r="L136" s="7"/>
    </row>
    <row r="137" spans="2:12" customFormat="1" x14ac:dyDescent="0.25">
      <c r="B137" t="s">
        <v>646</v>
      </c>
      <c r="C137" t="s">
        <v>61</v>
      </c>
      <c r="D137" t="s">
        <v>891</v>
      </c>
      <c r="E137" t="s">
        <v>259</v>
      </c>
      <c r="F137" t="s">
        <v>165</v>
      </c>
      <c r="H137">
        <v>0</v>
      </c>
      <c r="I137">
        <v>0</v>
      </c>
      <c r="J137">
        <v>10275.719999999999</v>
      </c>
      <c r="L137" s="7"/>
    </row>
    <row r="138" spans="2:12" customFormat="1" x14ac:dyDescent="0.25">
      <c r="B138" t="s">
        <v>646</v>
      </c>
      <c r="C138" t="s">
        <v>63</v>
      </c>
      <c r="D138" t="s">
        <v>891</v>
      </c>
      <c r="E138" t="s">
        <v>261</v>
      </c>
      <c r="F138" t="s">
        <v>167</v>
      </c>
      <c r="H138">
        <v>0</v>
      </c>
      <c r="I138">
        <v>0</v>
      </c>
      <c r="J138">
        <v>4542.2700000000004</v>
      </c>
      <c r="L138" s="7"/>
    </row>
    <row r="139" spans="2:12" customFormat="1" x14ac:dyDescent="0.25">
      <c r="B139" t="s">
        <v>646</v>
      </c>
      <c r="C139" t="s">
        <v>64</v>
      </c>
      <c r="D139" t="s">
        <v>891</v>
      </c>
      <c r="E139" t="s">
        <v>265</v>
      </c>
      <c r="F139" t="s">
        <v>171</v>
      </c>
      <c r="H139">
        <v>0</v>
      </c>
      <c r="I139">
        <v>0</v>
      </c>
      <c r="J139">
        <v>39528.01</v>
      </c>
      <c r="L139" s="7"/>
    </row>
    <row r="140" spans="2:12" customFormat="1" x14ac:dyDescent="0.25">
      <c r="B140" t="s">
        <v>646</v>
      </c>
      <c r="C140" t="s">
        <v>94</v>
      </c>
      <c r="D140" t="s">
        <v>891</v>
      </c>
      <c r="E140" t="s">
        <v>266</v>
      </c>
      <c r="F140" t="s">
        <v>172</v>
      </c>
      <c r="H140">
        <v>0</v>
      </c>
      <c r="I140">
        <v>0</v>
      </c>
      <c r="J140">
        <v>2618.44</v>
      </c>
      <c r="L140" s="7"/>
    </row>
    <row r="141" spans="2:12" customFormat="1" x14ac:dyDescent="0.25">
      <c r="B141" t="s">
        <v>646</v>
      </c>
      <c r="C141" t="s">
        <v>95</v>
      </c>
      <c r="D141" t="s">
        <v>891</v>
      </c>
      <c r="E141" t="s">
        <v>267</v>
      </c>
      <c r="F141" t="s">
        <v>173</v>
      </c>
      <c r="H141">
        <v>0</v>
      </c>
      <c r="I141">
        <v>0</v>
      </c>
      <c r="J141">
        <v>2443.7199999999998</v>
      </c>
      <c r="L141" s="7"/>
    </row>
    <row r="142" spans="2:12" customFormat="1" x14ac:dyDescent="0.25">
      <c r="B142" t="s">
        <v>646</v>
      </c>
      <c r="C142" t="s">
        <v>96</v>
      </c>
      <c r="D142" t="s">
        <v>891</v>
      </c>
      <c r="E142" t="s">
        <v>268</v>
      </c>
      <c r="F142" t="s">
        <v>174</v>
      </c>
      <c r="H142">
        <v>0</v>
      </c>
      <c r="I142">
        <v>0</v>
      </c>
      <c r="J142">
        <v>348.13</v>
      </c>
      <c r="L142" s="7"/>
    </row>
    <row r="143" spans="2:12" customFormat="1" x14ac:dyDescent="0.25">
      <c r="B143" t="s">
        <v>646</v>
      </c>
      <c r="C143" t="s">
        <v>65</v>
      </c>
      <c r="D143" t="s">
        <v>891</v>
      </c>
      <c r="E143" t="s">
        <v>269</v>
      </c>
      <c r="F143" t="s">
        <v>175</v>
      </c>
      <c r="H143">
        <v>0</v>
      </c>
      <c r="I143">
        <v>0</v>
      </c>
      <c r="J143">
        <v>3592</v>
      </c>
      <c r="L143" s="7"/>
    </row>
    <row r="144" spans="2:12" customFormat="1" x14ac:dyDescent="0.25">
      <c r="B144" t="s">
        <v>646</v>
      </c>
      <c r="C144" t="s">
        <v>98</v>
      </c>
      <c r="D144" t="s">
        <v>891</v>
      </c>
      <c r="E144" t="s">
        <v>271</v>
      </c>
      <c r="F144" t="s">
        <v>177</v>
      </c>
      <c r="H144">
        <v>0</v>
      </c>
      <c r="I144">
        <v>0</v>
      </c>
      <c r="J144">
        <v>107.62</v>
      </c>
      <c r="L144" s="7"/>
    </row>
    <row r="145" spans="2:12" customFormat="1" x14ac:dyDescent="0.25">
      <c r="B145" t="s">
        <v>646</v>
      </c>
      <c r="C145" t="s">
        <v>66</v>
      </c>
      <c r="D145" t="s">
        <v>891</v>
      </c>
      <c r="E145" t="s">
        <v>272</v>
      </c>
      <c r="F145" t="s">
        <v>178</v>
      </c>
      <c r="H145">
        <v>0</v>
      </c>
      <c r="I145">
        <v>0</v>
      </c>
      <c r="J145">
        <v>260</v>
      </c>
      <c r="L145" s="7"/>
    </row>
    <row r="146" spans="2:12" customFormat="1" x14ac:dyDescent="0.25">
      <c r="B146" t="s">
        <v>646</v>
      </c>
      <c r="C146" t="s">
        <v>99</v>
      </c>
      <c r="D146" t="s">
        <v>891</v>
      </c>
      <c r="E146" t="s">
        <v>273</v>
      </c>
      <c r="F146" t="s">
        <v>179</v>
      </c>
      <c r="H146">
        <v>1800.4</v>
      </c>
      <c r="I146">
        <v>303.60000000000002</v>
      </c>
      <c r="J146">
        <v>303.60000000000002</v>
      </c>
      <c r="L146" s="7"/>
    </row>
    <row r="147" spans="2:12" customFormat="1" x14ac:dyDescent="0.25">
      <c r="B147" t="s">
        <v>646</v>
      </c>
      <c r="C147" t="s">
        <v>100</v>
      </c>
      <c r="D147" t="s">
        <v>891</v>
      </c>
      <c r="E147" t="s">
        <v>274</v>
      </c>
      <c r="F147" t="s">
        <v>180</v>
      </c>
      <c r="H147">
        <v>0</v>
      </c>
      <c r="I147">
        <v>0</v>
      </c>
      <c r="J147">
        <v>17906.04</v>
      </c>
      <c r="L147" s="7"/>
    </row>
    <row r="148" spans="2:12" customFormat="1" x14ac:dyDescent="0.25">
      <c r="B148" t="s">
        <v>646</v>
      </c>
      <c r="C148" t="s">
        <v>102</v>
      </c>
      <c r="D148" t="s">
        <v>891</v>
      </c>
      <c r="E148" t="s">
        <v>277</v>
      </c>
      <c r="F148" t="s">
        <v>183</v>
      </c>
      <c r="H148">
        <v>0</v>
      </c>
      <c r="I148">
        <v>0</v>
      </c>
      <c r="J148">
        <v>6904.77</v>
      </c>
      <c r="L148" s="7"/>
    </row>
    <row r="149" spans="2:12" customFormat="1" x14ac:dyDescent="0.25">
      <c r="B149" t="s">
        <v>646</v>
      </c>
      <c r="C149" t="s">
        <v>103</v>
      </c>
      <c r="D149" t="s">
        <v>891</v>
      </c>
      <c r="E149" t="s">
        <v>278</v>
      </c>
      <c r="F149" t="s">
        <v>184</v>
      </c>
      <c r="H149">
        <v>0</v>
      </c>
      <c r="I149">
        <v>0</v>
      </c>
      <c r="J149">
        <v>1580</v>
      </c>
      <c r="L149" s="7"/>
    </row>
    <row r="150" spans="2:12" customFormat="1" x14ac:dyDescent="0.25">
      <c r="B150" t="s">
        <v>646</v>
      </c>
      <c r="C150" t="s">
        <v>68</v>
      </c>
      <c r="D150" t="s">
        <v>891</v>
      </c>
      <c r="E150" t="s">
        <v>279</v>
      </c>
      <c r="F150" t="s">
        <v>185</v>
      </c>
      <c r="H150">
        <v>0</v>
      </c>
      <c r="I150">
        <v>0</v>
      </c>
      <c r="J150">
        <v>802.3</v>
      </c>
      <c r="L150" s="7"/>
    </row>
    <row r="151" spans="2:12" customFormat="1" x14ac:dyDescent="0.25">
      <c r="B151" t="s">
        <v>646</v>
      </c>
      <c r="C151" t="s">
        <v>106</v>
      </c>
      <c r="D151" t="s">
        <v>891</v>
      </c>
      <c r="E151" t="s">
        <v>282</v>
      </c>
      <c r="F151" t="s">
        <v>188</v>
      </c>
      <c r="H151">
        <v>0</v>
      </c>
      <c r="I151">
        <v>0</v>
      </c>
      <c r="J151">
        <v>133.34</v>
      </c>
      <c r="L151" s="7"/>
    </row>
    <row r="152" spans="2:12" customFormat="1" x14ac:dyDescent="0.25">
      <c r="B152" t="s">
        <v>646</v>
      </c>
      <c r="C152" t="s">
        <v>69</v>
      </c>
      <c r="D152" t="s">
        <v>891</v>
      </c>
      <c r="E152" t="s">
        <v>284</v>
      </c>
      <c r="F152" t="s">
        <v>190</v>
      </c>
      <c r="H152">
        <v>0</v>
      </c>
      <c r="I152">
        <v>0</v>
      </c>
      <c r="J152">
        <v>188.71</v>
      </c>
      <c r="L152" s="7"/>
    </row>
    <row r="153" spans="2:12" customFormat="1" x14ac:dyDescent="0.25">
      <c r="B153" t="s">
        <v>646</v>
      </c>
      <c r="C153" t="s">
        <v>109</v>
      </c>
      <c r="D153" t="s">
        <v>891</v>
      </c>
      <c r="E153" t="s">
        <v>287</v>
      </c>
      <c r="F153" t="s">
        <v>193</v>
      </c>
      <c r="H153">
        <v>0</v>
      </c>
      <c r="I153">
        <v>2435.8000000000002</v>
      </c>
      <c r="J153">
        <v>7448.2</v>
      </c>
      <c r="L153" s="7"/>
    </row>
    <row r="154" spans="2:12" customFormat="1" x14ac:dyDescent="0.25">
      <c r="B154" t="s">
        <v>646</v>
      </c>
      <c r="C154" t="s">
        <v>110</v>
      </c>
      <c r="D154" t="s">
        <v>891</v>
      </c>
      <c r="E154" t="s">
        <v>288</v>
      </c>
      <c r="F154" t="s">
        <v>194</v>
      </c>
      <c r="H154">
        <v>0</v>
      </c>
      <c r="I154">
        <v>1563.63</v>
      </c>
      <c r="J154">
        <v>1963.63</v>
      </c>
      <c r="L154" s="7"/>
    </row>
    <row r="155" spans="2:12" customFormat="1" x14ac:dyDescent="0.25">
      <c r="B155" t="s">
        <v>646</v>
      </c>
      <c r="C155" t="s">
        <v>71</v>
      </c>
      <c r="D155" t="s">
        <v>891</v>
      </c>
      <c r="E155" t="s">
        <v>291</v>
      </c>
      <c r="F155" t="s">
        <v>197</v>
      </c>
      <c r="H155">
        <v>0</v>
      </c>
      <c r="I155">
        <v>0.98</v>
      </c>
      <c r="J155">
        <v>1185.3699999999999</v>
      </c>
      <c r="L155" s="7"/>
    </row>
    <row r="156" spans="2:12" customFormat="1" x14ac:dyDescent="0.25">
      <c r="B156" t="s">
        <v>646</v>
      </c>
      <c r="C156" t="s">
        <v>610</v>
      </c>
      <c r="D156" t="s">
        <v>891</v>
      </c>
      <c r="E156" t="s">
        <v>611</v>
      </c>
      <c r="F156" t="s">
        <v>612</v>
      </c>
      <c r="H156">
        <v>0</v>
      </c>
      <c r="I156">
        <v>0</v>
      </c>
      <c r="J156">
        <v>12.15</v>
      </c>
      <c r="L156" s="7"/>
    </row>
    <row r="157" spans="2:12" customFormat="1" x14ac:dyDescent="0.25">
      <c r="B157" t="s">
        <v>646</v>
      </c>
      <c r="C157" t="s">
        <v>72</v>
      </c>
      <c r="D157" t="s">
        <v>891</v>
      </c>
      <c r="E157" t="s">
        <v>292</v>
      </c>
      <c r="F157" t="s">
        <v>198</v>
      </c>
      <c r="H157">
        <v>0</v>
      </c>
      <c r="I157">
        <v>23.52</v>
      </c>
      <c r="J157">
        <v>615.66999999999996</v>
      </c>
      <c r="L157" s="7"/>
    </row>
    <row r="158" spans="2:12" customFormat="1" x14ac:dyDescent="0.25">
      <c r="B158" t="s">
        <v>646</v>
      </c>
      <c r="C158" t="s">
        <v>73</v>
      </c>
      <c r="D158" t="s">
        <v>891</v>
      </c>
      <c r="E158" t="s">
        <v>293</v>
      </c>
      <c r="F158" t="s">
        <v>199</v>
      </c>
      <c r="H158">
        <v>0</v>
      </c>
      <c r="I158">
        <v>79218.429999999993</v>
      </c>
      <c r="J158">
        <v>11434.92</v>
      </c>
      <c r="L158" s="7"/>
    </row>
    <row r="159" spans="2:12" customFormat="1" x14ac:dyDescent="0.25">
      <c r="B159" t="s">
        <v>646</v>
      </c>
      <c r="C159" t="s">
        <v>74</v>
      </c>
      <c r="D159" t="s">
        <v>891</v>
      </c>
      <c r="E159" t="s">
        <v>294</v>
      </c>
      <c r="F159" t="s">
        <v>200</v>
      </c>
      <c r="H159">
        <v>0</v>
      </c>
      <c r="I159">
        <v>0</v>
      </c>
      <c r="J159">
        <v>1451.44</v>
      </c>
      <c r="L159" s="7"/>
    </row>
    <row r="160" spans="2:12" customFormat="1" x14ac:dyDescent="0.25">
      <c r="B160" t="s">
        <v>646</v>
      </c>
      <c r="C160" t="s">
        <v>75</v>
      </c>
      <c r="D160" t="s">
        <v>891</v>
      </c>
      <c r="E160" t="s">
        <v>295</v>
      </c>
      <c r="F160" t="s">
        <v>201</v>
      </c>
      <c r="H160">
        <v>0</v>
      </c>
      <c r="I160">
        <v>0</v>
      </c>
      <c r="J160">
        <v>6738.48</v>
      </c>
      <c r="L160" s="7"/>
    </row>
    <row r="161" spans="2:12" customFormat="1" x14ac:dyDescent="0.25">
      <c r="B161" t="s">
        <v>646</v>
      </c>
      <c r="C161" t="s">
        <v>76</v>
      </c>
      <c r="D161" t="s">
        <v>891</v>
      </c>
      <c r="E161" t="s">
        <v>296</v>
      </c>
      <c r="F161" t="s">
        <v>202</v>
      </c>
      <c r="H161">
        <v>0</v>
      </c>
      <c r="I161">
        <v>0</v>
      </c>
      <c r="J161">
        <v>4043.09</v>
      </c>
      <c r="L161" s="7"/>
    </row>
    <row r="162" spans="2:12" customFormat="1" x14ac:dyDescent="0.25">
      <c r="B162" t="s">
        <v>647</v>
      </c>
      <c r="C162" t="s">
        <v>26</v>
      </c>
      <c r="D162" t="s">
        <v>891</v>
      </c>
      <c r="E162" t="s">
        <v>211</v>
      </c>
      <c r="F162" t="s">
        <v>116</v>
      </c>
      <c r="H162">
        <v>58434</v>
      </c>
      <c r="I162">
        <v>58434</v>
      </c>
      <c r="J162">
        <v>0</v>
      </c>
      <c r="L162" s="7"/>
    </row>
    <row r="163" spans="2:12" customFormat="1" x14ac:dyDescent="0.25">
      <c r="B163" t="s">
        <v>647</v>
      </c>
      <c r="C163" t="s">
        <v>27</v>
      </c>
      <c r="D163" t="s">
        <v>891</v>
      </c>
      <c r="E163" t="s">
        <v>212</v>
      </c>
      <c r="F163" t="s">
        <v>117</v>
      </c>
      <c r="H163">
        <v>93.49</v>
      </c>
      <c r="I163">
        <v>23.49</v>
      </c>
      <c r="J163">
        <v>10869.29</v>
      </c>
      <c r="L163" s="7"/>
    </row>
    <row r="164" spans="2:12" customFormat="1" x14ac:dyDescent="0.25">
      <c r="B164" t="s">
        <v>647</v>
      </c>
      <c r="C164" t="s">
        <v>28</v>
      </c>
      <c r="D164" t="s">
        <v>891</v>
      </c>
      <c r="E164" t="s">
        <v>213</v>
      </c>
      <c r="F164" t="s">
        <v>118</v>
      </c>
      <c r="H164">
        <v>44299.77</v>
      </c>
      <c r="I164">
        <v>45165.83</v>
      </c>
      <c r="J164">
        <v>1295.56</v>
      </c>
      <c r="L164" s="7"/>
    </row>
    <row r="165" spans="2:12" customFormat="1" x14ac:dyDescent="0.25">
      <c r="B165" t="s">
        <v>647</v>
      </c>
      <c r="C165" t="s">
        <v>29</v>
      </c>
      <c r="D165" t="s">
        <v>891</v>
      </c>
      <c r="E165" t="s">
        <v>214</v>
      </c>
      <c r="F165" t="s">
        <v>119</v>
      </c>
      <c r="H165">
        <v>45831</v>
      </c>
      <c r="I165">
        <v>59162</v>
      </c>
      <c r="J165">
        <v>14754.71</v>
      </c>
      <c r="L165" s="7"/>
    </row>
    <row r="166" spans="2:12" customFormat="1" x14ac:dyDescent="0.25">
      <c r="B166" t="s">
        <v>647</v>
      </c>
      <c r="C166" t="s">
        <v>30</v>
      </c>
      <c r="D166" t="s">
        <v>891</v>
      </c>
      <c r="E166" t="s">
        <v>215</v>
      </c>
      <c r="F166" t="s">
        <v>120</v>
      </c>
      <c r="H166">
        <v>285612.15999999997</v>
      </c>
      <c r="I166">
        <v>281618.77</v>
      </c>
      <c r="J166">
        <v>21248.54</v>
      </c>
      <c r="L166" s="7"/>
    </row>
    <row r="167" spans="2:12" customFormat="1" x14ac:dyDescent="0.25">
      <c r="B167" t="s">
        <v>647</v>
      </c>
      <c r="C167" t="s">
        <v>81</v>
      </c>
      <c r="D167" t="s">
        <v>891</v>
      </c>
      <c r="E167" t="s">
        <v>216</v>
      </c>
      <c r="F167" t="s">
        <v>121</v>
      </c>
      <c r="H167">
        <v>115</v>
      </c>
      <c r="I167">
        <v>3944.08</v>
      </c>
      <c r="J167">
        <v>14489.58</v>
      </c>
      <c r="L167" s="7"/>
    </row>
    <row r="168" spans="2:12" customFormat="1" x14ac:dyDescent="0.25">
      <c r="B168" t="s">
        <v>647</v>
      </c>
      <c r="C168" t="s">
        <v>31</v>
      </c>
      <c r="D168" t="s">
        <v>891</v>
      </c>
      <c r="E168" t="s">
        <v>217</v>
      </c>
      <c r="F168" t="s">
        <v>122</v>
      </c>
      <c r="H168">
        <v>205929.89</v>
      </c>
      <c r="I168">
        <v>205929.89</v>
      </c>
      <c r="J168">
        <v>0</v>
      </c>
      <c r="L168" s="7"/>
    </row>
    <row r="169" spans="2:12" customFormat="1" x14ac:dyDescent="0.25">
      <c r="B169" t="s">
        <v>647</v>
      </c>
      <c r="C169" t="s">
        <v>32</v>
      </c>
      <c r="D169" t="s">
        <v>891</v>
      </c>
      <c r="E169" t="s">
        <v>218</v>
      </c>
      <c r="F169" t="s">
        <v>123</v>
      </c>
      <c r="H169">
        <v>0</v>
      </c>
      <c r="I169">
        <v>0</v>
      </c>
      <c r="J169">
        <v>16839.16</v>
      </c>
      <c r="L169" s="7"/>
    </row>
    <row r="170" spans="2:12" customFormat="1" x14ac:dyDescent="0.25">
      <c r="B170" t="s">
        <v>647</v>
      </c>
      <c r="C170" t="s">
        <v>33</v>
      </c>
      <c r="D170" t="s">
        <v>891</v>
      </c>
      <c r="E170" t="s">
        <v>219</v>
      </c>
      <c r="F170" t="s">
        <v>124</v>
      </c>
      <c r="H170">
        <v>75858.039999999994</v>
      </c>
      <c r="I170">
        <v>68980.25</v>
      </c>
      <c r="J170">
        <v>-4005.77</v>
      </c>
      <c r="L170" s="7"/>
    </row>
    <row r="171" spans="2:12" customFormat="1" x14ac:dyDescent="0.25">
      <c r="B171" t="s">
        <v>647</v>
      </c>
      <c r="C171" t="s">
        <v>34</v>
      </c>
      <c r="D171" t="s">
        <v>891</v>
      </c>
      <c r="E171" t="s">
        <v>220</v>
      </c>
      <c r="F171" t="s">
        <v>125</v>
      </c>
      <c r="H171">
        <v>24077.759999999998</v>
      </c>
      <c r="I171">
        <v>30095.05</v>
      </c>
      <c r="J171">
        <v>36787.589999999997</v>
      </c>
      <c r="L171" s="7"/>
    </row>
    <row r="172" spans="2:12" customFormat="1" x14ac:dyDescent="0.25">
      <c r="B172" t="s">
        <v>647</v>
      </c>
      <c r="C172" t="s">
        <v>205</v>
      </c>
      <c r="D172" t="s">
        <v>891</v>
      </c>
      <c r="E172" t="s">
        <v>298</v>
      </c>
      <c r="F172" t="s">
        <v>206</v>
      </c>
      <c r="H172">
        <v>0</v>
      </c>
      <c r="I172">
        <v>0</v>
      </c>
      <c r="J172">
        <v>29.46</v>
      </c>
      <c r="L172" s="7"/>
    </row>
    <row r="173" spans="2:12" customFormat="1" x14ac:dyDescent="0.25">
      <c r="B173" t="s">
        <v>647</v>
      </c>
      <c r="C173" t="s">
        <v>301</v>
      </c>
      <c r="D173" t="s">
        <v>891</v>
      </c>
      <c r="E173" t="s">
        <v>302</v>
      </c>
      <c r="F173" t="s">
        <v>303</v>
      </c>
      <c r="H173">
        <v>6769.87</v>
      </c>
      <c r="I173">
        <v>9894.14</v>
      </c>
      <c r="J173">
        <v>3124.27</v>
      </c>
      <c r="L173" s="7"/>
    </row>
    <row r="174" spans="2:12" customFormat="1" x14ac:dyDescent="0.25">
      <c r="B174" t="s">
        <v>647</v>
      </c>
      <c r="C174" t="s">
        <v>35</v>
      </c>
      <c r="D174" t="s">
        <v>891</v>
      </c>
      <c r="E174" t="s">
        <v>221</v>
      </c>
      <c r="F174" t="s">
        <v>127</v>
      </c>
      <c r="H174">
        <v>5417.96</v>
      </c>
      <c r="I174">
        <v>5417.96</v>
      </c>
      <c r="J174">
        <v>5937.45</v>
      </c>
      <c r="L174" s="7"/>
    </row>
    <row r="175" spans="2:12" customFormat="1" x14ac:dyDescent="0.25">
      <c r="B175" t="s">
        <v>647</v>
      </c>
      <c r="C175" t="s">
        <v>36</v>
      </c>
      <c r="D175" t="s">
        <v>891</v>
      </c>
      <c r="E175" t="s">
        <v>222</v>
      </c>
      <c r="F175" t="s">
        <v>128</v>
      </c>
      <c r="H175">
        <v>812.2</v>
      </c>
      <c r="I175">
        <v>947.24</v>
      </c>
      <c r="J175">
        <v>531.94000000000005</v>
      </c>
      <c r="L175" s="7"/>
    </row>
    <row r="176" spans="2:12" customFormat="1" x14ac:dyDescent="0.25">
      <c r="B176" t="s">
        <v>647</v>
      </c>
      <c r="C176" t="s">
        <v>37</v>
      </c>
      <c r="D176" t="s">
        <v>891</v>
      </c>
      <c r="E176" t="s">
        <v>223</v>
      </c>
      <c r="F176" t="s">
        <v>129</v>
      </c>
      <c r="H176">
        <v>3741.06</v>
      </c>
      <c r="I176">
        <v>4363.0600000000004</v>
      </c>
      <c r="J176">
        <v>2450.14</v>
      </c>
      <c r="L176" s="7"/>
    </row>
    <row r="177" spans="2:12" customFormat="1" x14ac:dyDescent="0.25">
      <c r="B177" t="s">
        <v>647</v>
      </c>
      <c r="C177" t="s">
        <v>304</v>
      </c>
      <c r="D177" t="s">
        <v>891</v>
      </c>
      <c r="E177" t="s">
        <v>305</v>
      </c>
      <c r="F177" t="s">
        <v>306</v>
      </c>
      <c r="H177">
        <v>0</v>
      </c>
      <c r="I177">
        <v>0</v>
      </c>
      <c r="J177">
        <v>-12.18</v>
      </c>
      <c r="L177" s="7"/>
    </row>
    <row r="178" spans="2:12" customFormat="1" x14ac:dyDescent="0.25">
      <c r="B178" t="s">
        <v>647</v>
      </c>
      <c r="C178" t="s">
        <v>38</v>
      </c>
      <c r="D178" t="s">
        <v>891</v>
      </c>
      <c r="E178" t="s">
        <v>224</v>
      </c>
      <c r="F178" t="s">
        <v>130</v>
      </c>
      <c r="H178">
        <v>162139.49</v>
      </c>
      <c r="I178">
        <v>208465.49</v>
      </c>
      <c r="J178">
        <v>92010.95</v>
      </c>
      <c r="L178" s="7"/>
    </row>
    <row r="179" spans="2:12" customFormat="1" x14ac:dyDescent="0.25">
      <c r="B179" t="s">
        <v>647</v>
      </c>
      <c r="C179" t="s">
        <v>39</v>
      </c>
      <c r="D179" t="s">
        <v>891</v>
      </c>
      <c r="E179" t="s">
        <v>225</v>
      </c>
      <c r="F179" t="s">
        <v>131</v>
      </c>
      <c r="H179">
        <v>0</v>
      </c>
      <c r="I179">
        <v>110</v>
      </c>
      <c r="J179">
        <v>92.8</v>
      </c>
      <c r="L179" s="7"/>
    </row>
    <row r="180" spans="2:12" customFormat="1" x14ac:dyDescent="0.25">
      <c r="B180" t="s">
        <v>647</v>
      </c>
      <c r="C180" t="s">
        <v>82</v>
      </c>
      <c r="D180" t="s">
        <v>891</v>
      </c>
      <c r="E180" t="s">
        <v>226</v>
      </c>
      <c r="F180" t="s">
        <v>132</v>
      </c>
      <c r="H180">
        <v>0</v>
      </c>
      <c r="I180">
        <v>0</v>
      </c>
      <c r="J180">
        <v>32367</v>
      </c>
      <c r="L180" s="7"/>
    </row>
    <row r="181" spans="2:12" customFormat="1" x14ac:dyDescent="0.25">
      <c r="B181" t="s">
        <v>647</v>
      </c>
      <c r="C181" t="s">
        <v>40</v>
      </c>
      <c r="D181" t="s">
        <v>891</v>
      </c>
      <c r="E181" t="s">
        <v>227</v>
      </c>
      <c r="F181" t="s">
        <v>133</v>
      </c>
      <c r="H181">
        <v>187942.86</v>
      </c>
      <c r="I181">
        <v>189697.72</v>
      </c>
      <c r="J181">
        <v>-46464.89</v>
      </c>
      <c r="L181" s="7"/>
    </row>
    <row r="182" spans="2:12" customFormat="1" x14ac:dyDescent="0.25">
      <c r="B182" t="s">
        <v>647</v>
      </c>
      <c r="C182" t="s">
        <v>83</v>
      </c>
      <c r="D182" t="s">
        <v>891</v>
      </c>
      <c r="E182" t="s">
        <v>228</v>
      </c>
      <c r="F182" t="s">
        <v>134</v>
      </c>
      <c r="H182">
        <v>52956.3</v>
      </c>
      <c r="I182">
        <v>53087.98</v>
      </c>
      <c r="J182">
        <v>-32250.080000000002</v>
      </c>
      <c r="L182" s="7"/>
    </row>
    <row r="183" spans="2:12" customFormat="1" x14ac:dyDescent="0.25">
      <c r="B183" t="s">
        <v>647</v>
      </c>
      <c r="C183" t="s">
        <v>84</v>
      </c>
      <c r="D183" t="s">
        <v>891</v>
      </c>
      <c r="E183" t="s">
        <v>230</v>
      </c>
      <c r="F183" t="s">
        <v>136</v>
      </c>
      <c r="H183">
        <v>3823.73</v>
      </c>
      <c r="I183">
        <v>3823.73</v>
      </c>
      <c r="J183">
        <v>0</v>
      </c>
      <c r="L183" s="7"/>
    </row>
    <row r="184" spans="2:12" customFormat="1" x14ac:dyDescent="0.25">
      <c r="B184" t="s">
        <v>647</v>
      </c>
      <c r="C184" t="s">
        <v>310</v>
      </c>
      <c r="D184" t="s">
        <v>891</v>
      </c>
      <c r="E184" t="s">
        <v>311</v>
      </c>
      <c r="F184" t="s">
        <v>312</v>
      </c>
      <c r="H184">
        <v>36513.19</v>
      </c>
      <c r="I184">
        <v>36513.19</v>
      </c>
      <c r="J184">
        <v>0</v>
      </c>
      <c r="L184" s="7"/>
    </row>
    <row r="185" spans="2:12" customFormat="1" x14ac:dyDescent="0.25">
      <c r="B185" t="s">
        <v>647</v>
      </c>
      <c r="C185" t="s">
        <v>313</v>
      </c>
      <c r="D185" t="s">
        <v>891</v>
      </c>
      <c r="E185" t="s">
        <v>314</v>
      </c>
      <c r="F185" t="s">
        <v>315</v>
      </c>
      <c r="H185">
        <v>8330.27</v>
      </c>
      <c r="I185">
        <v>8330.27</v>
      </c>
      <c r="J185">
        <v>0</v>
      </c>
      <c r="L185" s="7"/>
    </row>
    <row r="186" spans="2:12" customFormat="1" x14ac:dyDescent="0.25">
      <c r="B186" t="s">
        <v>647</v>
      </c>
      <c r="C186" t="s">
        <v>316</v>
      </c>
      <c r="D186" t="s">
        <v>891</v>
      </c>
      <c r="E186" t="s">
        <v>317</v>
      </c>
      <c r="F186" t="s">
        <v>318</v>
      </c>
      <c r="H186">
        <v>2127.2800000000002</v>
      </c>
      <c r="I186">
        <v>1422.35</v>
      </c>
      <c r="J186">
        <v>-12184.68</v>
      </c>
      <c r="L186" s="7"/>
    </row>
    <row r="187" spans="2:12" customFormat="1" x14ac:dyDescent="0.25">
      <c r="B187" t="s">
        <v>647</v>
      </c>
      <c r="C187" t="s">
        <v>319</v>
      </c>
      <c r="D187" t="s">
        <v>891</v>
      </c>
      <c r="E187" t="s">
        <v>320</v>
      </c>
      <c r="F187" t="s">
        <v>321</v>
      </c>
      <c r="H187">
        <v>1475.39</v>
      </c>
      <c r="I187">
        <v>651.51</v>
      </c>
      <c r="J187">
        <v>-5947.44</v>
      </c>
      <c r="L187" s="7"/>
    </row>
    <row r="188" spans="2:12" customFormat="1" x14ac:dyDescent="0.25">
      <c r="B188" t="s">
        <v>647</v>
      </c>
      <c r="C188" t="s">
        <v>322</v>
      </c>
      <c r="D188" t="s">
        <v>891</v>
      </c>
      <c r="E188" t="s">
        <v>323</v>
      </c>
      <c r="F188" t="s">
        <v>324</v>
      </c>
      <c r="H188">
        <v>12176.14</v>
      </c>
      <c r="I188">
        <v>12188.84</v>
      </c>
      <c r="J188">
        <v>-5994.47</v>
      </c>
      <c r="L188" s="7"/>
    </row>
    <row r="189" spans="2:12" customFormat="1" x14ac:dyDescent="0.25">
      <c r="B189" t="s">
        <v>647</v>
      </c>
      <c r="C189" t="s">
        <v>325</v>
      </c>
      <c r="D189" t="s">
        <v>891</v>
      </c>
      <c r="E189" t="s">
        <v>326</v>
      </c>
      <c r="F189" t="s">
        <v>327</v>
      </c>
      <c r="H189">
        <v>7552.4</v>
      </c>
      <c r="I189">
        <v>3854.58</v>
      </c>
      <c r="J189">
        <v>-5039.6099999999997</v>
      </c>
      <c r="L189" s="7"/>
    </row>
    <row r="190" spans="2:12" customFormat="1" x14ac:dyDescent="0.25">
      <c r="B190" t="s">
        <v>647</v>
      </c>
      <c r="C190" t="s">
        <v>328</v>
      </c>
      <c r="D190" t="s">
        <v>891</v>
      </c>
      <c r="E190" t="s">
        <v>329</v>
      </c>
      <c r="F190" t="s">
        <v>171</v>
      </c>
      <c r="H190">
        <v>591.88</v>
      </c>
      <c r="I190">
        <v>395.42</v>
      </c>
      <c r="J190">
        <v>-3387.83</v>
      </c>
      <c r="L190" s="7"/>
    </row>
    <row r="191" spans="2:12" customFormat="1" x14ac:dyDescent="0.25">
      <c r="B191" t="s">
        <v>647</v>
      </c>
      <c r="C191" t="s">
        <v>330</v>
      </c>
      <c r="D191" t="s">
        <v>891</v>
      </c>
      <c r="E191" t="s">
        <v>331</v>
      </c>
      <c r="F191" t="s">
        <v>332</v>
      </c>
      <c r="H191">
        <v>410.17</v>
      </c>
      <c r="I191">
        <v>181.14</v>
      </c>
      <c r="J191">
        <v>-1653.38</v>
      </c>
      <c r="L191" s="7"/>
    </row>
    <row r="192" spans="2:12" customFormat="1" x14ac:dyDescent="0.25">
      <c r="B192" t="s">
        <v>647</v>
      </c>
      <c r="C192" t="s">
        <v>333</v>
      </c>
      <c r="D192" t="s">
        <v>891</v>
      </c>
      <c r="E192" t="s">
        <v>334</v>
      </c>
      <c r="F192" t="s">
        <v>172</v>
      </c>
      <c r="H192">
        <v>170.17</v>
      </c>
      <c r="I192">
        <v>113.79</v>
      </c>
      <c r="J192">
        <v>-974.77</v>
      </c>
      <c r="L192" s="7"/>
    </row>
    <row r="193" spans="2:12" customFormat="1" x14ac:dyDescent="0.25">
      <c r="B193" t="s">
        <v>647</v>
      </c>
      <c r="C193" t="s">
        <v>335</v>
      </c>
      <c r="D193" t="s">
        <v>891</v>
      </c>
      <c r="E193" t="s">
        <v>336</v>
      </c>
      <c r="F193" t="s">
        <v>337</v>
      </c>
      <c r="H193">
        <v>118.02</v>
      </c>
      <c r="I193">
        <v>52.13</v>
      </c>
      <c r="J193">
        <v>-475.78</v>
      </c>
      <c r="L193" s="7"/>
    </row>
    <row r="194" spans="2:12" customFormat="1" x14ac:dyDescent="0.25">
      <c r="B194" t="s">
        <v>647</v>
      </c>
      <c r="C194" t="s">
        <v>41</v>
      </c>
      <c r="D194" t="s">
        <v>891</v>
      </c>
      <c r="E194" t="s">
        <v>231</v>
      </c>
      <c r="F194" t="s">
        <v>137</v>
      </c>
      <c r="H194">
        <v>8550.75</v>
      </c>
      <c r="I194">
        <v>7845.55</v>
      </c>
      <c r="J194">
        <v>-9070.24</v>
      </c>
      <c r="L194" s="7"/>
    </row>
    <row r="195" spans="2:12" customFormat="1" x14ac:dyDescent="0.25">
      <c r="B195" t="s">
        <v>647</v>
      </c>
      <c r="C195" t="s">
        <v>42</v>
      </c>
      <c r="D195" t="s">
        <v>891</v>
      </c>
      <c r="E195" t="s">
        <v>232</v>
      </c>
      <c r="F195" t="s">
        <v>138</v>
      </c>
      <c r="H195">
        <v>806.97</v>
      </c>
      <c r="I195">
        <v>806.97</v>
      </c>
      <c r="J195">
        <v>0</v>
      </c>
      <c r="L195" s="7"/>
    </row>
    <row r="196" spans="2:12" customFormat="1" x14ac:dyDescent="0.25">
      <c r="B196" t="s">
        <v>647</v>
      </c>
      <c r="C196" t="s">
        <v>43</v>
      </c>
      <c r="D196" t="s">
        <v>891</v>
      </c>
      <c r="E196" t="s">
        <v>233</v>
      </c>
      <c r="F196" t="s">
        <v>139</v>
      </c>
      <c r="H196">
        <v>3728.82</v>
      </c>
      <c r="I196">
        <v>3728.82</v>
      </c>
      <c r="J196">
        <v>0</v>
      </c>
      <c r="L196" s="7"/>
    </row>
    <row r="197" spans="2:12" customFormat="1" x14ac:dyDescent="0.25">
      <c r="B197" t="s">
        <v>647</v>
      </c>
      <c r="C197" t="s">
        <v>44</v>
      </c>
      <c r="D197" t="s">
        <v>891</v>
      </c>
      <c r="E197" t="s">
        <v>235</v>
      </c>
      <c r="F197" t="s">
        <v>141</v>
      </c>
      <c r="H197">
        <v>23.45</v>
      </c>
      <c r="I197">
        <v>0</v>
      </c>
      <c r="J197">
        <v>-23.45</v>
      </c>
      <c r="L197" s="7"/>
    </row>
    <row r="198" spans="2:12" customFormat="1" x14ac:dyDescent="0.25">
      <c r="B198" t="s">
        <v>647</v>
      </c>
      <c r="C198" t="s">
        <v>45</v>
      </c>
      <c r="D198" t="s">
        <v>891</v>
      </c>
      <c r="E198" t="s">
        <v>236</v>
      </c>
      <c r="F198" t="s">
        <v>142</v>
      </c>
      <c r="H198">
        <v>99.54</v>
      </c>
      <c r="I198">
        <v>84.34</v>
      </c>
      <c r="J198">
        <v>-452.56</v>
      </c>
      <c r="L198" s="7"/>
    </row>
    <row r="199" spans="2:12" customFormat="1" x14ac:dyDescent="0.25">
      <c r="B199" t="s">
        <v>647</v>
      </c>
      <c r="C199" t="s">
        <v>338</v>
      </c>
      <c r="D199" t="s">
        <v>891</v>
      </c>
      <c r="E199" t="s">
        <v>339</v>
      </c>
      <c r="F199" t="s">
        <v>340</v>
      </c>
      <c r="H199">
        <v>114.76</v>
      </c>
      <c r="I199">
        <v>169.52</v>
      </c>
      <c r="J199">
        <v>0</v>
      </c>
      <c r="L199" s="7"/>
    </row>
    <row r="200" spans="2:12" customFormat="1" x14ac:dyDescent="0.25">
      <c r="B200" t="s">
        <v>647</v>
      </c>
      <c r="C200" t="s">
        <v>341</v>
      </c>
      <c r="D200" t="s">
        <v>891</v>
      </c>
      <c r="E200" t="s">
        <v>342</v>
      </c>
      <c r="F200" t="s">
        <v>343</v>
      </c>
      <c r="H200">
        <v>233.11</v>
      </c>
      <c r="I200">
        <v>0</v>
      </c>
      <c r="J200">
        <v>-1116.82</v>
      </c>
      <c r="L200" s="7"/>
    </row>
    <row r="201" spans="2:12" customFormat="1" x14ac:dyDescent="0.25">
      <c r="B201" t="s">
        <v>647</v>
      </c>
      <c r="C201" t="s">
        <v>46</v>
      </c>
      <c r="D201" t="s">
        <v>891</v>
      </c>
      <c r="E201" t="s">
        <v>237</v>
      </c>
      <c r="F201" t="s">
        <v>143</v>
      </c>
      <c r="H201">
        <v>0</v>
      </c>
      <c r="I201">
        <v>0</v>
      </c>
      <c r="J201">
        <v>-100000</v>
      </c>
      <c r="L201" s="7"/>
    </row>
    <row r="202" spans="2:12" customFormat="1" x14ac:dyDescent="0.25">
      <c r="B202" t="s">
        <v>647</v>
      </c>
      <c r="C202" t="s">
        <v>47</v>
      </c>
      <c r="D202" t="s">
        <v>891</v>
      </c>
      <c r="E202" t="s">
        <v>238</v>
      </c>
      <c r="F202" t="s">
        <v>144</v>
      </c>
      <c r="H202">
        <v>96000</v>
      </c>
      <c r="I202">
        <v>0</v>
      </c>
      <c r="J202">
        <v>-68000</v>
      </c>
      <c r="L202" s="7"/>
    </row>
    <row r="203" spans="2:12" customFormat="1" x14ac:dyDescent="0.25">
      <c r="B203" t="s">
        <v>647</v>
      </c>
      <c r="C203" t="s">
        <v>588</v>
      </c>
      <c r="D203" t="s">
        <v>891</v>
      </c>
      <c r="E203" t="s">
        <v>589</v>
      </c>
      <c r="F203" t="s">
        <v>590</v>
      </c>
      <c r="H203">
        <v>0</v>
      </c>
      <c r="I203">
        <v>0</v>
      </c>
      <c r="J203">
        <v>-52955.76</v>
      </c>
      <c r="L203" s="7"/>
    </row>
    <row r="204" spans="2:12" customFormat="1" x14ac:dyDescent="0.25">
      <c r="B204" t="s">
        <v>647</v>
      </c>
      <c r="C204" t="s">
        <v>85</v>
      </c>
      <c r="D204" t="s">
        <v>891</v>
      </c>
      <c r="E204" t="s">
        <v>240</v>
      </c>
      <c r="F204" t="s">
        <v>146</v>
      </c>
      <c r="H204">
        <v>0</v>
      </c>
      <c r="I204">
        <v>0</v>
      </c>
      <c r="J204">
        <v>13277.36</v>
      </c>
      <c r="L204" s="7"/>
    </row>
    <row r="205" spans="2:12" customFormat="1" x14ac:dyDescent="0.25">
      <c r="B205" t="s">
        <v>647</v>
      </c>
      <c r="C205" t="s">
        <v>48</v>
      </c>
      <c r="D205" t="s">
        <v>891</v>
      </c>
      <c r="E205" t="s">
        <v>241</v>
      </c>
      <c r="F205" t="s">
        <v>147</v>
      </c>
      <c r="H205">
        <v>0</v>
      </c>
      <c r="I205">
        <v>0</v>
      </c>
      <c r="J205">
        <v>-21.07</v>
      </c>
      <c r="L205" s="7"/>
    </row>
    <row r="206" spans="2:12" customFormat="1" x14ac:dyDescent="0.25">
      <c r="B206" t="s">
        <v>647</v>
      </c>
      <c r="C206" t="s">
        <v>86</v>
      </c>
      <c r="D206" t="s">
        <v>891</v>
      </c>
      <c r="E206" t="s">
        <v>242</v>
      </c>
      <c r="F206" t="s">
        <v>148</v>
      </c>
      <c r="H206">
        <v>205333.94</v>
      </c>
      <c r="I206">
        <v>0</v>
      </c>
      <c r="J206">
        <v>-1566760.6</v>
      </c>
      <c r="L206" s="7"/>
    </row>
    <row r="207" spans="2:12" customFormat="1" x14ac:dyDescent="0.25">
      <c r="B207" t="s">
        <v>647</v>
      </c>
      <c r="C207" t="s">
        <v>49</v>
      </c>
      <c r="D207" t="s">
        <v>891</v>
      </c>
      <c r="E207" t="s">
        <v>243</v>
      </c>
      <c r="F207" t="s">
        <v>149</v>
      </c>
      <c r="H207">
        <v>0</v>
      </c>
      <c r="I207">
        <v>8550.75</v>
      </c>
      <c r="J207">
        <v>59353.43</v>
      </c>
      <c r="L207" s="7"/>
    </row>
    <row r="208" spans="2:12" customFormat="1" x14ac:dyDescent="0.25">
      <c r="B208" t="s">
        <v>647</v>
      </c>
      <c r="C208" t="s">
        <v>50</v>
      </c>
      <c r="D208" t="s">
        <v>891</v>
      </c>
      <c r="E208" t="s">
        <v>244</v>
      </c>
      <c r="F208" t="s">
        <v>150</v>
      </c>
      <c r="H208">
        <v>98.92</v>
      </c>
      <c r="I208">
        <v>806.97</v>
      </c>
      <c r="J208">
        <v>4891</v>
      </c>
      <c r="L208" s="7"/>
    </row>
    <row r="209" spans="2:12" customFormat="1" x14ac:dyDescent="0.25">
      <c r="B209" t="s">
        <v>647</v>
      </c>
      <c r="C209" t="s">
        <v>51</v>
      </c>
      <c r="D209" t="s">
        <v>891</v>
      </c>
      <c r="E209" t="s">
        <v>245</v>
      </c>
      <c r="F209" t="s">
        <v>151</v>
      </c>
      <c r="H209">
        <v>467.5</v>
      </c>
      <c r="I209">
        <v>3728.82</v>
      </c>
      <c r="J209">
        <v>22531.83</v>
      </c>
      <c r="L209" s="7"/>
    </row>
    <row r="210" spans="2:12" customFormat="1" x14ac:dyDescent="0.25">
      <c r="B210" t="s">
        <v>647</v>
      </c>
      <c r="C210" t="s">
        <v>87</v>
      </c>
      <c r="D210" t="s">
        <v>891</v>
      </c>
      <c r="E210" t="s">
        <v>246</v>
      </c>
      <c r="F210" t="s">
        <v>152</v>
      </c>
      <c r="H210">
        <v>2721.89</v>
      </c>
      <c r="I210">
        <v>0</v>
      </c>
      <c r="J210">
        <v>-8398.7900000000009</v>
      </c>
      <c r="L210" s="7"/>
    </row>
    <row r="211" spans="2:12" customFormat="1" x14ac:dyDescent="0.25">
      <c r="B211" t="s">
        <v>647</v>
      </c>
      <c r="C211" t="s">
        <v>52</v>
      </c>
      <c r="D211" t="s">
        <v>891</v>
      </c>
      <c r="E211" t="s">
        <v>247</v>
      </c>
      <c r="F211" t="s">
        <v>153</v>
      </c>
      <c r="H211">
        <v>0</v>
      </c>
      <c r="I211">
        <v>0</v>
      </c>
      <c r="J211">
        <v>-402.18</v>
      </c>
      <c r="L211" s="7"/>
    </row>
    <row r="212" spans="2:12" customFormat="1" x14ac:dyDescent="0.25">
      <c r="B212" t="s">
        <v>647</v>
      </c>
      <c r="C212" t="s">
        <v>88</v>
      </c>
      <c r="D212" t="s">
        <v>891</v>
      </c>
      <c r="E212" t="s">
        <v>248</v>
      </c>
      <c r="F212" t="s">
        <v>154</v>
      </c>
      <c r="H212">
        <v>2638.56</v>
      </c>
      <c r="I212">
        <v>0</v>
      </c>
      <c r="J212">
        <v>-11373.38</v>
      </c>
      <c r="L212" s="7"/>
    </row>
    <row r="213" spans="2:12" customFormat="1" x14ac:dyDescent="0.25">
      <c r="B213" t="s">
        <v>647</v>
      </c>
      <c r="C213" t="s">
        <v>53</v>
      </c>
      <c r="D213" t="s">
        <v>891</v>
      </c>
      <c r="E213" t="s">
        <v>249</v>
      </c>
      <c r="F213" t="s">
        <v>155</v>
      </c>
      <c r="H213">
        <v>0</v>
      </c>
      <c r="I213">
        <v>157518.06</v>
      </c>
      <c r="J213">
        <v>1126497.54</v>
      </c>
      <c r="L213" s="7"/>
    </row>
    <row r="214" spans="2:12" customFormat="1" x14ac:dyDescent="0.25">
      <c r="B214" t="s">
        <v>647</v>
      </c>
      <c r="C214" t="s">
        <v>54</v>
      </c>
      <c r="D214" t="s">
        <v>891</v>
      </c>
      <c r="E214" t="s">
        <v>250</v>
      </c>
      <c r="F214" t="s">
        <v>156</v>
      </c>
      <c r="H214">
        <v>0</v>
      </c>
      <c r="I214">
        <v>0</v>
      </c>
      <c r="J214">
        <v>17.2</v>
      </c>
      <c r="L214" s="7"/>
    </row>
    <row r="215" spans="2:12" customFormat="1" x14ac:dyDescent="0.25">
      <c r="B215" t="s">
        <v>647</v>
      </c>
      <c r="C215" t="s">
        <v>89</v>
      </c>
      <c r="D215" t="s">
        <v>891</v>
      </c>
      <c r="E215" t="s">
        <v>251</v>
      </c>
      <c r="F215" t="s">
        <v>157</v>
      </c>
      <c r="H215">
        <v>0</v>
      </c>
      <c r="I215">
        <v>0</v>
      </c>
      <c r="J215">
        <v>-32367</v>
      </c>
      <c r="L215" s="7"/>
    </row>
    <row r="216" spans="2:12" customFormat="1" x14ac:dyDescent="0.25">
      <c r="B216" t="s">
        <v>647</v>
      </c>
      <c r="C216" t="s">
        <v>55</v>
      </c>
      <c r="D216" t="s">
        <v>891</v>
      </c>
      <c r="E216" t="s">
        <v>252</v>
      </c>
      <c r="F216" t="s">
        <v>158</v>
      </c>
      <c r="H216">
        <v>319.83999999999997</v>
      </c>
      <c r="I216">
        <v>22277.87</v>
      </c>
      <c r="J216">
        <v>110511.06</v>
      </c>
      <c r="L216" s="7"/>
    </row>
    <row r="217" spans="2:12" customFormat="1" x14ac:dyDescent="0.25">
      <c r="B217" t="s">
        <v>647</v>
      </c>
      <c r="C217" t="s">
        <v>56</v>
      </c>
      <c r="D217" t="s">
        <v>891</v>
      </c>
      <c r="E217" t="s">
        <v>253</v>
      </c>
      <c r="F217" t="s">
        <v>159</v>
      </c>
      <c r="H217">
        <v>408.92</v>
      </c>
      <c r="I217">
        <v>4638.97</v>
      </c>
      <c r="J217">
        <v>19955.54</v>
      </c>
      <c r="L217" s="7"/>
    </row>
    <row r="218" spans="2:12" customFormat="1" x14ac:dyDescent="0.25">
      <c r="B218" t="s">
        <v>647</v>
      </c>
      <c r="C218" t="s">
        <v>57</v>
      </c>
      <c r="D218" t="s">
        <v>891</v>
      </c>
      <c r="E218" t="s">
        <v>254</v>
      </c>
      <c r="F218" t="s">
        <v>160</v>
      </c>
      <c r="H218">
        <v>117.67</v>
      </c>
      <c r="I218">
        <v>1211.28</v>
      </c>
      <c r="J218">
        <v>8220.11</v>
      </c>
      <c r="L218" s="7"/>
    </row>
    <row r="219" spans="2:12" customFormat="1" x14ac:dyDescent="0.25">
      <c r="B219" t="s">
        <v>647</v>
      </c>
      <c r="C219" t="s">
        <v>58</v>
      </c>
      <c r="D219" t="s">
        <v>891</v>
      </c>
      <c r="E219" t="s">
        <v>255</v>
      </c>
      <c r="F219" t="s">
        <v>161</v>
      </c>
      <c r="H219">
        <v>602.94000000000005</v>
      </c>
      <c r="I219">
        <v>2127.2800000000002</v>
      </c>
      <c r="J219">
        <v>10189.86</v>
      </c>
      <c r="L219" s="7"/>
    </row>
    <row r="220" spans="2:12" customFormat="1" x14ac:dyDescent="0.25">
      <c r="B220" t="s">
        <v>647</v>
      </c>
      <c r="C220" t="s">
        <v>59</v>
      </c>
      <c r="D220" t="s">
        <v>891</v>
      </c>
      <c r="E220" t="s">
        <v>256</v>
      </c>
      <c r="F220" t="s">
        <v>162</v>
      </c>
      <c r="H220">
        <v>0</v>
      </c>
      <c r="I220">
        <v>1475.39</v>
      </c>
      <c r="J220">
        <v>16974.919999999998</v>
      </c>
      <c r="L220" s="7"/>
    </row>
    <row r="221" spans="2:12" customFormat="1" x14ac:dyDescent="0.25">
      <c r="B221" t="s">
        <v>647</v>
      </c>
      <c r="C221" t="s">
        <v>90</v>
      </c>
      <c r="D221" t="s">
        <v>891</v>
      </c>
      <c r="E221" t="s">
        <v>257</v>
      </c>
      <c r="F221" t="s">
        <v>163</v>
      </c>
      <c r="H221">
        <v>0</v>
      </c>
      <c r="I221">
        <v>1843.61</v>
      </c>
      <c r="J221">
        <v>850.59</v>
      </c>
      <c r="L221" s="7"/>
    </row>
    <row r="222" spans="2:12" customFormat="1" x14ac:dyDescent="0.25">
      <c r="B222" t="s">
        <v>647</v>
      </c>
      <c r="C222" t="s">
        <v>60</v>
      </c>
      <c r="D222" t="s">
        <v>891</v>
      </c>
      <c r="E222" t="s">
        <v>258</v>
      </c>
      <c r="F222" t="s">
        <v>164</v>
      </c>
      <c r="H222">
        <v>0</v>
      </c>
      <c r="I222">
        <v>363.22</v>
      </c>
      <c r="J222">
        <v>3865.27</v>
      </c>
      <c r="L222" s="7"/>
    </row>
    <row r="223" spans="2:12" customFormat="1" x14ac:dyDescent="0.25">
      <c r="B223" t="s">
        <v>647</v>
      </c>
      <c r="C223" t="s">
        <v>61</v>
      </c>
      <c r="D223" t="s">
        <v>891</v>
      </c>
      <c r="E223" t="s">
        <v>259</v>
      </c>
      <c r="F223" t="s">
        <v>165</v>
      </c>
      <c r="H223">
        <v>0</v>
      </c>
      <c r="I223">
        <v>585.5</v>
      </c>
      <c r="J223">
        <v>1481.94</v>
      </c>
      <c r="L223" s="7"/>
    </row>
    <row r="224" spans="2:12" customFormat="1" x14ac:dyDescent="0.25">
      <c r="B224" t="s">
        <v>647</v>
      </c>
      <c r="C224" t="s">
        <v>654</v>
      </c>
      <c r="D224" t="s">
        <v>891</v>
      </c>
      <c r="E224" t="s">
        <v>655</v>
      </c>
      <c r="F224" t="s">
        <v>656</v>
      </c>
      <c r="H224">
        <v>0</v>
      </c>
      <c r="I224">
        <v>0</v>
      </c>
      <c r="J224">
        <v>10257.94</v>
      </c>
      <c r="L224" s="7"/>
    </row>
    <row r="225" spans="2:12" customFormat="1" x14ac:dyDescent="0.25">
      <c r="B225" t="s">
        <v>647</v>
      </c>
      <c r="C225" t="s">
        <v>344</v>
      </c>
      <c r="D225" t="s">
        <v>891</v>
      </c>
      <c r="E225" t="s">
        <v>345</v>
      </c>
      <c r="F225" t="s">
        <v>346</v>
      </c>
      <c r="H225">
        <v>0</v>
      </c>
      <c r="I225">
        <v>0</v>
      </c>
      <c r="J225">
        <v>15346.42</v>
      </c>
      <c r="L225" s="7"/>
    </row>
    <row r="226" spans="2:12" customFormat="1" x14ac:dyDescent="0.25">
      <c r="B226" t="s">
        <v>647</v>
      </c>
      <c r="C226" t="s">
        <v>62</v>
      </c>
      <c r="D226" t="s">
        <v>891</v>
      </c>
      <c r="E226" t="s">
        <v>260</v>
      </c>
      <c r="F226" t="s">
        <v>166</v>
      </c>
      <c r="H226">
        <v>595.95000000000005</v>
      </c>
      <c r="I226">
        <v>3463.76</v>
      </c>
      <c r="J226">
        <v>4928.1400000000003</v>
      </c>
      <c r="L226" s="7"/>
    </row>
    <row r="227" spans="2:12" customFormat="1" x14ac:dyDescent="0.25">
      <c r="B227" t="s">
        <v>647</v>
      </c>
      <c r="C227" t="s">
        <v>63</v>
      </c>
      <c r="D227" t="s">
        <v>891</v>
      </c>
      <c r="E227" t="s">
        <v>261</v>
      </c>
      <c r="F227" t="s">
        <v>167</v>
      </c>
      <c r="H227">
        <v>2091.0300000000002</v>
      </c>
      <c r="I227">
        <v>3758.96</v>
      </c>
      <c r="J227">
        <v>10431.719999999999</v>
      </c>
      <c r="L227" s="7"/>
    </row>
    <row r="228" spans="2:12" customFormat="1" x14ac:dyDescent="0.25">
      <c r="B228" t="s">
        <v>647</v>
      </c>
      <c r="C228" t="s">
        <v>347</v>
      </c>
      <c r="D228" t="s">
        <v>891</v>
      </c>
      <c r="E228" t="s">
        <v>348</v>
      </c>
      <c r="F228" t="s">
        <v>349</v>
      </c>
      <c r="H228">
        <v>22.51</v>
      </c>
      <c r="I228">
        <v>0</v>
      </c>
      <c r="J228">
        <v>-126.03</v>
      </c>
      <c r="L228" s="7"/>
    </row>
    <row r="229" spans="2:12" customFormat="1" x14ac:dyDescent="0.25">
      <c r="B229" t="s">
        <v>647</v>
      </c>
      <c r="C229" t="s">
        <v>91</v>
      </c>
      <c r="D229" t="s">
        <v>891</v>
      </c>
      <c r="E229" t="s">
        <v>262</v>
      </c>
      <c r="F229" t="s">
        <v>168</v>
      </c>
      <c r="H229">
        <v>0</v>
      </c>
      <c r="I229">
        <v>0</v>
      </c>
      <c r="J229">
        <v>2080.5300000000002</v>
      </c>
      <c r="L229" s="7"/>
    </row>
    <row r="230" spans="2:12" customFormat="1" x14ac:dyDescent="0.25">
      <c r="B230" t="s">
        <v>647</v>
      </c>
      <c r="C230" t="s">
        <v>92</v>
      </c>
      <c r="D230" t="s">
        <v>891</v>
      </c>
      <c r="E230" t="s">
        <v>263</v>
      </c>
      <c r="F230" t="s">
        <v>169</v>
      </c>
      <c r="H230">
        <v>0</v>
      </c>
      <c r="I230">
        <v>0</v>
      </c>
      <c r="J230">
        <v>-65.8</v>
      </c>
      <c r="L230" s="7"/>
    </row>
    <row r="231" spans="2:12" customFormat="1" x14ac:dyDescent="0.25">
      <c r="B231" t="s">
        <v>647</v>
      </c>
      <c r="C231" t="s">
        <v>93</v>
      </c>
      <c r="D231" t="s">
        <v>891</v>
      </c>
      <c r="E231" t="s">
        <v>264</v>
      </c>
      <c r="F231" t="s">
        <v>170</v>
      </c>
      <c r="H231">
        <v>0</v>
      </c>
      <c r="I231">
        <v>1974</v>
      </c>
      <c r="J231">
        <v>1974</v>
      </c>
      <c r="L231" s="7"/>
    </row>
    <row r="232" spans="2:12" customFormat="1" x14ac:dyDescent="0.25">
      <c r="B232" t="s">
        <v>647</v>
      </c>
      <c r="C232" t="s">
        <v>640</v>
      </c>
      <c r="D232" t="s">
        <v>891</v>
      </c>
      <c r="E232" t="s">
        <v>641</v>
      </c>
      <c r="F232" t="s">
        <v>642</v>
      </c>
      <c r="H232">
        <v>0</v>
      </c>
      <c r="I232">
        <v>0</v>
      </c>
      <c r="J232">
        <v>600</v>
      </c>
      <c r="L232" s="7"/>
    </row>
    <row r="233" spans="2:12" customFormat="1" x14ac:dyDescent="0.25">
      <c r="B233" t="s">
        <v>647</v>
      </c>
      <c r="C233" t="s">
        <v>350</v>
      </c>
      <c r="D233" t="s">
        <v>891</v>
      </c>
      <c r="E233" t="s">
        <v>351</v>
      </c>
      <c r="F233" t="s">
        <v>352</v>
      </c>
      <c r="H233">
        <v>0</v>
      </c>
      <c r="I233">
        <v>0</v>
      </c>
      <c r="J233">
        <v>16622.14</v>
      </c>
      <c r="L233" s="7"/>
    </row>
    <row r="234" spans="2:12" customFormat="1" x14ac:dyDescent="0.25">
      <c r="B234" t="s">
        <v>647</v>
      </c>
      <c r="C234" t="s">
        <v>64</v>
      </c>
      <c r="D234" t="s">
        <v>891</v>
      </c>
      <c r="E234" t="s">
        <v>265</v>
      </c>
      <c r="F234" t="s">
        <v>171</v>
      </c>
      <c r="H234">
        <v>215.89</v>
      </c>
      <c r="I234">
        <v>1289.74</v>
      </c>
      <c r="J234">
        <v>6685.47</v>
      </c>
      <c r="L234" s="7"/>
    </row>
    <row r="235" spans="2:12" customFormat="1" x14ac:dyDescent="0.25">
      <c r="B235" t="s">
        <v>647</v>
      </c>
      <c r="C235" t="s">
        <v>353</v>
      </c>
      <c r="D235" t="s">
        <v>891</v>
      </c>
      <c r="E235" t="s">
        <v>354</v>
      </c>
      <c r="F235" t="s">
        <v>355</v>
      </c>
      <c r="H235">
        <v>0</v>
      </c>
      <c r="I235">
        <v>0</v>
      </c>
      <c r="J235">
        <v>-0.01</v>
      </c>
      <c r="L235" s="7"/>
    </row>
    <row r="236" spans="2:12" customFormat="1" x14ac:dyDescent="0.25">
      <c r="B236" t="s">
        <v>647</v>
      </c>
      <c r="C236" t="s">
        <v>65</v>
      </c>
      <c r="D236" t="s">
        <v>891</v>
      </c>
      <c r="E236" t="s">
        <v>269</v>
      </c>
      <c r="F236" t="s">
        <v>175</v>
      </c>
      <c r="H236">
        <v>0</v>
      </c>
      <c r="I236">
        <v>3823.73</v>
      </c>
      <c r="J236">
        <v>26322.49</v>
      </c>
      <c r="L236" s="7"/>
    </row>
    <row r="237" spans="2:12" customFormat="1" x14ac:dyDescent="0.25">
      <c r="B237" t="s">
        <v>647</v>
      </c>
      <c r="C237" t="s">
        <v>97</v>
      </c>
      <c r="D237" t="s">
        <v>891</v>
      </c>
      <c r="E237" t="s">
        <v>270</v>
      </c>
      <c r="F237" t="s">
        <v>176</v>
      </c>
      <c r="H237">
        <v>0</v>
      </c>
      <c r="I237">
        <v>0</v>
      </c>
      <c r="J237">
        <v>292.61</v>
      </c>
      <c r="L237" s="7"/>
    </row>
    <row r="238" spans="2:12" customFormat="1" x14ac:dyDescent="0.25">
      <c r="B238" t="s">
        <v>647</v>
      </c>
      <c r="C238" t="s">
        <v>66</v>
      </c>
      <c r="D238" t="s">
        <v>891</v>
      </c>
      <c r="E238" t="s">
        <v>272</v>
      </c>
      <c r="F238" t="s">
        <v>178</v>
      </c>
      <c r="H238">
        <v>0</v>
      </c>
      <c r="I238">
        <v>130</v>
      </c>
      <c r="J238">
        <v>520</v>
      </c>
      <c r="L238" s="7"/>
    </row>
    <row r="239" spans="2:12" customFormat="1" x14ac:dyDescent="0.25">
      <c r="B239" t="s">
        <v>647</v>
      </c>
      <c r="C239" t="s">
        <v>99</v>
      </c>
      <c r="D239" t="s">
        <v>891</v>
      </c>
      <c r="E239" t="s">
        <v>273</v>
      </c>
      <c r="F239" t="s">
        <v>179</v>
      </c>
      <c r="H239">
        <v>1496.8</v>
      </c>
      <c r="I239">
        <v>303.60000000000002</v>
      </c>
      <c r="J239">
        <v>303.60000000000002</v>
      </c>
      <c r="L239" s="7"/>
    </row>
    <row r="240" spans="2:12" customFormat="1" x14ac:dyDescent="0.25">
      <c r="B240" t="s">
        <v>647</v>
      </c>
      <c r="C240" t="s">
        <v>100</v>
      </c>
      <c r="D240" t="s">
        <v>891</v>
      </c>
      <c r="E240" t="s">
        <v>274</v>
      </c>
      <c r="F240" t="s">
        <v>180</v>
      </c>
      <c r="H240">
        <v>6328</v>
      </c>
      <c r="I240">
        <v>7013.78</v>
      </c>
      <c r="J240">
        <v>52430.42</v>
      </c>
      <c r="L240" s="7"/>
    </row>
    <row r="241" spans="2:12" customFormat="1" x14ac:dyDescent="0.25">
      <c r="B241" t="s">
        <v>647</v>
      </c>
      <c r="C241" t="s">
        <v>101</v>
      </c>
      <c r="D241" t="s">
        <v>891</v>
      </c>
      <c r="E241" t="s">
        <v>275</v>
      </c>
      <c r="F241" t="s">
        <v>181</v>
      </c>
      <c r="H241">
        <v>0</v>
      </c>
      <c r="I241">
        <v>290</v>
      </c>
      <c r="J241">
        <v>290</v>
      </c>
      <c r="L241" s="7"/>
    </row>
    <row r="242" spans="2:12" customFormat="1" x14ac:dyDescent="0.25">
      <c r="B242" t="s">
        <v>647</v>
      </c>
      <c r="C242" t="s">
        <v>67</v>
      </c>
      <c r="D242" t="s">
        <v>891</v>
      </c>
      <c r="E242" t="s">
        <v>276</v>
      </c>
      <c r="F242" t="s">
        <v>182</v>
      </c>
      <c r="H242">
        <v>0</v>
      </c>
      <c r="I242">
        <v>165</v>
      </c>
      <c r="J242">
        <v>29540.55</v>
      </c>
      <c r="L242" s="7"/>
    </row>
    <row r="243" spans="2:12" customFormat="1" x14ac:dyDescent="0.25">
      <c r="B243" t="s">
        <v>647</v>
      </c>
      <c r="C243" t="s">
        <v>102</v>
      </c>
      <c r="D243" t="s">
        <v>891</v>
      </c>
      <c r="E243" t="s">
        <v>277</v>
      </c>
      <c r="F243" t="s">
        <v>183</v>
      </c>
      <c r="H243">
        <v>0</v>
      </c>
      <c r="I243">
        <v>0</v>
      </c>
      <c r="J243">
        <v>7231.01</v>
      </c>
      <c r="L243" s="7"/>
    </row>
    <row r="244" spans="2:12" customFormat="1" x14ac:dyDescent="0.25">
      <c r="B244" t="s">
        <v>647</v>
      </c>
      <c r="C244" t="s">
        <v>103</v>
      </c>
      <c r="D244" t="s">
        <v>891</v>
      </c>
      <c r="E244" t="s">
        <v>278</v>
      </c>
      <c r="F244" t="s">
        <v>184</v>
      </c>
      <c r="H244">
        <v>0</v>
      </c>
      <c r="I244">
        <v>0</v>
      </c>
      <c r="J244">
        <v>685.5</v>
      </c>
      <c r="L244" s="7"/>
    </row>
    <row r="245" spans="2:12" customFormat="1" x14ac:dyDescent="0.25">
      <c r="B245" t="s">
        <v>647</v>
      </c>
      <c r="C245" t="s">
        <v>68</v>
      </c>
      <c r="D245" t="s">
        <v>891</v>
      </c>
      <c r="E245" t="s">
        <v>279</v>
      </c>
      <c r="F245" t="s">
        <v>185</v>
      </c>
      <c r="H245">
        <v>0</v>
      </c>
      <c r="I245">
        <v>1002.47</v>
      </c>
      <c r="J245">
        <v>7729.23</v>
      </c>
      <c r="L245" s="7"/>
    </row>
    <row r="246" spans="2:12" customFormat="1" x14ac:dyDescent="0.25">
      <c r="B246" t="s">
        <v>647</v>
      </c>
      <c r="C246" t="s">
        <v>104</v>
      </c>
      <c r="D246" t="s">
        <v>891</v>
      </c>
      <c r="E246" t="s">
        <v>280</v>
      </c>
      <c r="F246" t="s">
        <v>186</v>
      </c>
      <c r="H246">
        <v>0</v>
      </c>
      <c r="I246">
        <v>3234.65</v>
      </c>
      <c r="J246">
        <v>3444.65</v>
      </c>
      <c r="L246" s="7"/>
    </row>
    <row r="247" spans="2:12" customFormat="1" x14ac:dyDescent="0.25">
      <c r="B247" t="s">
        <v>647</v>
      </c>
      <c r="C247" t="s">
        <v>356</v>
      </c>
      <c r="D247" t="s">
        <v>891</v>
      </c>
      <c r="E247" t="s">
        <v>357</v>
      </c>
      <c r="F247" t="s">
        <v>358</v>
      </c>
      <c r="H247">
        <v>0</v>
      </c>
      <c r="I247">
        <v>0</v>
      </c>
      <c r="J247">
        <v>1270</v>
      </c>
      <c r="L247" s="7"/>
    </row>
    <row r="248" spans="2:12" customFormat="1" x14ac:dyDescent="0.25">
      <c r="B248" t="s">
        <v>647</v>
      </c>
      <c r="C248" t="s">
        <v>105</v>
      </c>
      <c r="D248" t="s">
        <v>891</v>
      </c>
      <c r="E248" t="s">
        <v>281</v>
      </c>
      <c r="F248" t="s">
        <v>187</v>
      </c>
      <c r="H248">
        <v>0</v>
      </c>
      <c r="I248">
        <v>393.94</v>
      </c>
      <c r="J248">
        <v>2815.32</v>
      </c>
      <c r="L248" s="7"/>
    </row>
    <row r="249" spans="2:12" customFormat="1" x14ac:dyDescent="0.25">
      <c r="B249" t="s">
        <v>647</v>
      </c>
      <c r="C249" t="s">
        <v>107</v>
      </c>
      <c r="D249" t="s">
        <v>891</v>
      </c>
      <c r="E249" t="s">
        <v>283</v>
      </c>
      <c r="F249" t="s">
        <v>189</v>
      </c>
      <c r="H249">
        <v>1276.8900000000001</v>
      </c>
      <c r="I249">
        <v>13804.1</v>
      </c>
      <c r="J249">
        <v>25181.5</v>
      </c>
      <c r="L249" s="7"/>
    </row>
    <row r="250" spans="2:12" customFormat="1" x14ac:dyDescent="0.25">
      <c r="B250" t="s">
        <v>647</v>
      </c>
      <c r="C250" t="s">
        <v>359</v>
      </c>
      <c r="D250" t="s">
        <v>891</v>
      </c>
      <c r="E250" t="s">
        <v>360</v>
      </c>
      <c r="F250" t="s">
        <v>361</v>
      </c>
      <c r="H250">
        <v>182.05</v>
      </c>
      <c r="I250">
        <v>1070.9000000000001</v>
      </c>
      <c r="J250">
        <v>888.85</v>
      </c>
      <c r="L250" s="7"/>
    </row>
    <row r="251" spans="2:12" customFormat="1" x14ac:dyDescent="0.25">
      <c r="B251" t="s">
        <v>647</v>
      </c>
      <c r="C251" t="s">
        <v>209</v>
      </c>
      <c r="D251" t="s">
        <v>891</v>
      </c>
      <c r="E251" t="s">
        <v>300</v>
      </c>
      <c r="F251" t="s">
        <v>210</v>
      </c>
      <c r="H251">
        <v>0</v>
      </c>
      <c r="I251">
        <v>467.8</v>
      </c>
      <c r="J251">
        <v>607.70000000000005</v>
      </c>
      <c r="L251" s="7"/>
    </row>
    <row r="252" spans="2:12" customFormat="1" x14ac:dyDescent="0.25">
      <c r="B252" t="s">
        <v>647</v>
      </c>
      <c r="C252" t="s">
        <v>69</v>
      </c>
      <c r="D252" t="s">
        <v>891</v>
      </c>
      <c r="E252" t="s">
        <v>284</v>
      </c>
      <c r="F252" t="s">
        <v>190</v>
      </c>
      <c r="H252">
        <v>0</v>
      </c>
      <c r="I252">
        <v>197.5</v>
      </c>
      <c r="J252">
        <v>386.21</v>
      </c>
      <c r="L252" s="7"/>
    </row>
    <row r="253" spans="2:12" customFormat="1" x14ac:dyDescent="0.25">
      <c r="B253" t="s">
        <v>647</v>
      </c>
      <c r="C253" t="s">
        <v>633</v>
      </c>
      <c r="D253" t="s">
        <v>891</v>
      </c>
      <c r="E253" t="s">
        <v>634</v>
      </c>
      <c r="F253" t="s">
        <v>635</v>
      </c>
      <c r="H253">
        <v>0</v>
      </c>
      <c r="I253">
        <v>0</v>
      </c>
      <c r="J253">
        <v>32108.19</v>
      </c>
      <c r="L253" s="7"/>
    </row>
    <row r="254" spans="2:12" customFormat="1" x14ac:dyDescent="0.25">
      <c r="B254" t="s">
        <v>647</v>
      </c>
      <c r="C254" t="s">
        <v>108</v>
      </c>
      <c r="D254" t="s">
        <v>891</v>
      </c>
      <c r="E254" t="s">
        <v>285</v>
      </c>
      <c r="F254" t="s">
        <v>191</v>
      </c>
      <c r="H254">
        <v>0</v>
      </c>
      <c r="I254">
        <v>0</v>
      </c>
      <c r="J254">
        <v>530.04</v>
      </c>
      <c r="L254" s="7"/>
    </row>
    <row r="255" spans="2:12" customFormat="1" x14ac:dyDescent="0.25">
      <c r="B255" t="s">
        <v>647</v>
      </c>
      <c r="C255" t="s">
        <v>70</v>
      </c>
      <c r="D255" t="s">
        <v>891</v>
      </c>
      <c r="E255" t="s">
        <v>286</v>
      </c>
      <c r="F255" t="s">
        <v>192</v>
      </c>
      <c r="H255">
        <v>0</v>
      </c>
      <c r="I255">
        <v>0</v>
      </c>
      <c r="J255">
        <v>11829.03</v>
      </c>
      <c r="L255" s="7"/>
    </row>
    <row r="256" spans="2:12" customFormat="1" x14ac:dyDescent="0.25">
      <c r="B256" t="s">
        <v>647</v>
      </c>
      <c r="C256" t="s">
        <v>109</v>
      </c>
      <c r="D256" t="s">
        <v>891</v>
      </c>
      <c r="E256" t="s">
        <v>287</v>
      </c>
      <c r="F256" t="s">
        <v>193</v>
      </c>
      <c r="H256">
        <v>0</v>
      </c>
      <c r="I256">
        <v>2850.86</v>
      </c>
      <c r="J256">
        <v>7694.17</v>
      </c>
      <c r="L256" s="7"/>
    </row>
    <row r="257" spans="2:12" customFormat="1" x14ac:dyDescent="0.25">
      <c r="B257" t="s">
        <v>647</v>
      </c>
      <c r="C257" t="s">
        <v>110</v>
      </c>
      <c r="D257" t="s">
        <v>891</v>
      </c>
      <c r="E257" t="s">
        <v>288</v>
      </c>
      <c r="F257" t="s">
        <v>194</v>
      </c>
      <c r="H257">
        <v>0</v>
      </c>
      <c r="I257">
        <v>1563.63</v>
      </c>
      <c r="J257">
        <v>1963.63</v>
      </c>
      <c r="L257" s="7"/>
    </row>
    <row r="258" spans="2:12" customFormat="1" x14ac:dyDescent="0.25">
      <c r="B258" t="s">
        <v>647</v>
      </c>
      <c r="C258" t="s">
        <v>111</v>
      </c>
      <c r="D258" t="s">
        <v>891</v>
      </c>
      <c r="E258" t="s">
        <v>289</v>
      </c>
      <c r="F258" t="s">
        <v>195</v>
      </c>
      <c r="H258">
        <v>0</v>
      </c>
      <c r="I258">
        <v>0</v>
      </c>
      <c r="J258">
        <v>-568.54999999999995</v>
      </c>
      <c r="L258" s="7"/>
    </row>
    <row r="259" spans="2:12" customFormat="1" x14ac:dyDescent="0.25">
      <c r="B259" t="s">
        <v>647</v>
      </c>
      <c r="C259" t="s">
        <v>203</v>
      </c>
      <c r="D259" t="s">
        <v>891</v>
      </c>
      <c r="E259" t="s">
        <v>297</v>
      </c>
      <c r="F259" t="s">
        <v>204</v>
      </c>
      <c r="H259">
        <v>0</v>
      </c>
      <c r="I259">
        <v>400</v>
      </c>
      <c r="J259">
        <v>400</v>
      </c>
      <c r="L259" s="7"/>
    </row>
    <row r="260" spans="2:12" customFormat="1" x14ac:dyDescent="0.25">
      <c r="B260" t="s">
        <v>647</v>
      </c>
      <c r="C260" t="s">
        <v>71</v>
      </c>
      <c r="D260" t="s">
        <v>891</v>
      </c>
      <c r="E260" t="s">
        <v>291</v>
      </c>
      <c r="F260" t="s">
        <v>197</v>
      </c>
      <c r="H260">
        <v>0</v>
      </c>
      <c r="I260">
        <v>301.5</v>
      </c>
      <c r="J260">
        <v>7475.61</v>
      </c>
      <c r="L260" s="7"/>
    </row>
    <row r="261" spans="2:12" customFormat="1" x14ac:dyDescent="0.25">
      <c r="B261" t="s">
        <v>647</v>
      </c>
      <c r="C261" t="s">
        <v>72</v>
      </c>
      <c r="D261" t="s">
        <v>891</v>
      </c>
      <c r="E261" t="s">
        <v>292</v>
      </c>
      <c r="F261" t="s">
        <v>198</v>
      </c>
      <c r="H261">
        <v>0</v>
      </c>
      <c r="I261">
        <v>3696.08</v>
      </c>
      <c r="J261">
        <v>15931.43</v>
      </c>
      <c r="L261" s="7"/>
    </row>
    <row r="262" spans="2:12" customFormat="1" x14ac:dyDescent="0.25">
      <c r="B262" t="s">
        <v>647</v>
      </c>
      <c r="C262" t="s">
        <v>73</v>
      </c>
      <c r="D262" t="s">
        <v>891</v>
      </c>
      <c r="E262" t="s">
        <v>293</v>
      </c>
      <c r="F262" t="s">
        <v>199</v>
      </c>
      <c r="H262">
        <v>0</v>
      </c>
      <c r="I262">
        <v>4893.91</v>
      </c>
      <c r="J262">
        <v>975.33</v>
      </c>
      <c r="L262" s="7"/>
    </row>
    <row r="263" spans="2:12" customFormat="1" x14ac:dyDescent="0.25">
      <c r="B263" t="s">
        <v>647</v>
      </c>
      <c r="C263" t="s">
        <v>74</v>
      </c>
      <c r="D263" t="s">
        <v>891</v>
      </c>
      <c r="E263" t="s">
        <v>294</v>
      </c>
      <c r="F263" t="s">
        <v>200</v>
      </c>
      <c r="H263">
        <v>0</v>
      </c>
      <c r="I263">
        <v>1079.46</v>
      </c>
      <c r="J263">
        <v>9591.2000000000007</v>
      </c>
      <c r="L263" s="7"/>
    </row>
    <row r="264" spans="2:12" customFormat="1" x14ac:dyDescent="0.25">
      <c r="B264" t="s">
        <v>647</v>
      </c>
      <c r="C264" t="s">
        <v>75</v>
      </c>
      <c r="D264" t="s">
        <v>891</v>
      </c>
      <c r="E264" t="s">
        <v>295</v>
      </c>
      <c r="F264" t="s">
        <v>201</v>
      </c>
      <c r="H264">
        <v>0</v>
      </c>
      <c r="I264">
        <v>0</v>
      </c>
      <c r="J264">
        <v>801.5</v>
      </c>
      <c r="L264" s="7"/>
    </row>
    <row r="265" spans="2:12" customFormat="1" x14ac:dyDescent="0.25">
      <c r="B265" t="s">
        <v>647</v>
      </c>
      <c r="C265" t="s">
        <v>76</v>
      </c>
      <c r="D265" t="s">
        <v>891</v>
      </c>
      <c r="E265" t="s">
        <v>296</v>
      </c>
      <c r="F265" t="s">
        <v>202</v>
      </c>
      <c r="H265">
        <v>0</v>
      </c>
      <c r="I265">
        <v>0</v>
      </c>
      <c r="J265">
        <v>480.9</v>
      </c>
      <c r="L265" s="7"/>
    </row>
    <row r="266" spans="2:12" customFormat="1" x14ac:dyDescent="0.25">
      <c r="B266" t="s">
        <v>114</v>
      </c>
      <c r="C266" t="s">
        <v>30</v>
      </c>
      <c r="D266" t="s">
        <v>891</v>
      </c>
      <c r="E266" t="s">
        <v>215</v>
      </c>
      <c r="F266" t="s">
        <v>120</v>
      </c>
      <c r="H266">
        <v>20620.830000000002</v>
      </c>
      <c r="I266">
        <v>0.01</v>
      </c>
      <c r="J266">
        <v>1014.5</v>
      </c>
      <c r="L266" s="7"/>
    </row>
    <row r="267" spans="2:12" customFormat="1" x14ac:dyDescent="0.25">
      <c r="B267" t="s">
        <v>114</v>
      </c>
      <c r="C267" t="s">
        <v>31</v>
      </c>
      <c r="D267" t="s">
        <v>891</v>
      </c>
      <c r="E267" t="s">
        <v>217</v>
      </c>
      <c r="F267" t="s">
        <v>122</v>
      </c>
      <c r="H267">
        <v>0.01</v>
      </c>
      <c r="I267">
        <v>0.01</v>
      </c>
      <c r="J267">
        <v>0</v>
      </c>
      <c r="L267" s="7"/>
    </row>
    <row r="268" spans="2:12" customFormat="1" x14ac:dyDescent="0.25">
      <c r="B268" t="s">
        <v>114</v>
      </c>
      <c r="C268" t="s">
        <v>32</v>
      </c>
      <c r="D268" t="s">
        <v>891</v>
      </c>
      <c r="E268" t="s">
        <v>218</v>
      </c>
      <c r="F268" t="s">
        <v>123</v>
      </c>
      <c r="H268">
        <v>0</v>
      </c>
      <c r="I268">
        <v>0</v>
      </c>
      <c r="J268">
        <v>3543.96</v>
      </c>
      <c r="L268" s="7"/>
    </row>
    <row r="269" spans="2:12" customFormat="1" x14ac:dyDescent="0.25">
      <c r="B269" t="s">
        <v>114</v>
      </c>
      <c r="C269" t="s">
        <v>36</v>
      </c>
      <c r="D269" t="s">
        <v>891</v>
      </c>
      <c r="E269" t="s">
        <v>222</v>
      </c>
      <c r="F269" t="s">
        <v>128</v>
      </c>
      <c r="H269">
        <v>0</v>
      </c>
      <c r="I269">
        <v>0</v>
      </c>
      <c r="J269">
        <v>1721.49</v>
      </c>
      <c r="L269" s="7"/>
    </row>
    <row r="270" spans="2:12" customFormat="1" x14ac:dyDescent="0.25">
      <c r="B270" t="s">
        <v>114</v>
      </c>
      <c r="C270" t="s">
        <v>37</v>
      </c>
      <c r="D270" t="s">
        <v>891</v>
      </c>
      <c r="E270" t="s">
        <v>223</v>
      </c>
      <c r="F270" t="s">
        <v>129</v>
      </c>
      <c r="H270">
        <v>0</v>
      </c>
      <c r="I270">
        <v>0</v>
      </c>
      <c r="J270">
        <v>7929.31</v>
      </c>
      <c r="L270" s="7"/>
    </row>
    <row r="271" spans="2:12" customFormat="1" x14ac:dyDescent="0.25">
      <c r="B271" t="s">
        <v>114</v>
      </c>
      <c r="C271" t="s">
        <v>38</v>
      </c>
      <c r="D271" t="s">
        <v>891</v>
      </c>
      <c r="E271" t="s">
        <v>224</v>
      </c>
      <c r="F271" t="s">
        <v>130</v>
      </c>
      <c r="H271">
        <v>0</v>
      </c>
      <c r="I271">
        <v>0</v>
      </c>
      <c r="J271">
        <v>88666.15</v>
      </c>
      <c r="L271" s="7"/>
    </row>
    <row r="272" spans="2:12" customFormat="1" x14ac:dyDescent="0.25">
      <c r="B272" t="s">
        <v>114</v>
      </c>
      <c r="C272" t="s">
        <v>40</v>
      </c>
      <c r="D272" t="s">
        <v>891</v>
      </c>
      <c r="E272" t="s">
        <v>227</v>
      </c>
      <c r="F272" t="s">
        <v>133</v>
      </c>
      <c r="H272">
        <v>2700.13</v>
      </c>
      <c r="I272">
        <v>2700.11</v>
      </c>
      <c r="J272">
        <v>-2393.4899999999998</v>
      </c>
      <c r="L272" s="7"/>
    </row>
    <row r="273" spans="2:12" customFormat="1" x14ac:dyDescent="0.25">
      <c r="B273" t="s">
        <v>114</v>
      </c>
      <c r="C273" t="s">
        <v>44</v>
      </c>
      <c r="D273" t="s">
        <v>891</v>
      </c>
      <c r="E273" t="s">
        <v>235</v>
      </c>
      <c r="F273" t="s">
        <v>141</v>
      </c>
      <c r="H273">
        <v>23.45</v>
      </c>
      <c r="I273">
        <v>0</v>
      </c>
      <c r="J273">
        <v>-23.45</v>
      </c>
      <c r="L273" s="7"/>
    </row>
    <row r="274" spans="2:12" customFormat="1" x14ac:dyDescent="0.25">
      <c r="B274" t="s">
        <v>114</v>
      </c>
      <c r="C274" t="s">
        <v>45</v>
      </c>
      <c r="D274" t="s">
        <v>891</v>
      </c>
      <c r="E274" t="s">
        <v>236</v>
      </c>
      <c r="F274" t="s">
        <v>142</v>
      </c>
      <c r="H274">
        <v>72.69</v>
      </c>
      <c r="I274">
        <v>0</v>
      </c>
      <c r="J274">
        <v>-439.44</v>
      </c>
      <c r="L274" s="7"/>
    </row>
    <row r="275" spans="2:12" customFormat="1" x14ac:dyDescent="0.25">
      <c r="B275" t="s">
        <v>114</v>
      </c>
      <c r="C275" t="s">
        <v>46</v>
      </c>
      <c r="D275" t="s">
        <v>891</v>
      </c>
      <c r="E275" t="s">
        <v>237</v>
      </c>
      <c r="F275" t="s">
        <v>143</v>
      </c>
      <c r="H275">
        <v>0</v>
      </c>
      <c r="I275">
        <v>0</v>
      </c>
      <c r="J275">
        <v>-178000</v>
      </c>
      <c r="L275" s="7"/>
    </row>
    <row r="276" spans="2:12" customFormat="1" x14ac:dyDescent="0.25">
      <c r="B276" t="s">
        <v>114</v>
      </c>
      <c r="C276" t="s">
        <v>47</v>
      </c>
      <c r="D276" t="s">
        <v>891</v>
      </c>
      <c r="E276" t="s">
        <v>238</v>
      </c>
      <c r="F276" t="s">
        <v>144</v>
      </c>
      <c r="H276">
        <v>0</v>
      </c>
      <c r="I276">
        <v>0</v>
      </c>
      <c r="J276">
        <v>-174500</v>
      </c>
      <c r="L276" s="7"/>
    </row>
    <row r="277" spans="2:12" customFormat="1" x14ac:dyDescent="0.25">
      <c r="B277" t="s">
        <v>114</v>
      </c>
      <c r="C277" t="s">
        <v>588</v>
      </c>
      <c r="D277" t="s">
        <v>891</v>
      </c>
      <c r="E277" t="s">
        <v>589</v>
      </c>
      <c r="F277" t="s">
        <v>590</v>
      </c>
      <c r="H277">
        <v>0</v>
      </c>
      <c r="I277">
        <v>0</v>
      </c>
      <c r="J277">
        <v>-36553.94</v>
      </c>
      <c r="L277" s="7"/>
    </row>
    <row r="278" spans="2:12" customFormat="1" x14ac:dyDescent="0.25">
      <c r="B278" t="s">
        <v>114</v>
      </c>
      <c r="C278" t="s">
        <v>85</v>
      </c>
      <c r="D278" t="s">
        <v>891</v>
      </c>
      <c r="E278" t="s">
        <v>240</v>
      </c>
      <c r="F278" t="s">
        <v>146</v>
      </c>
      <c r="H278">
        <v>0</v>
      </c>
      <c r="I278">
        <v>0</v>
      </c>
      <c r="J278">
        <v>94260.7</v>
      </c>
      <c r="L278" s="7"/>
    </row>
    <row r="279" spans="2:12" customFormat="1" x14ac:dyDescent="0.25">
      <c r="B279" t="s">
        <v>114</v>
      </c>
      <c r="C279" t="s">
        <v>48</v>
      </c>
      <c r="D279" t="s">
        <v>891</v>
      </c>
      <c r="E279" t="s">
        <v>241</v>
      </c>
      <c r="F279" t="s">
        <v>147</v>
      </c>
      <c r="H279">
        <v>0</v>
      </c>
      <c r="I279">
        <v>0</v>
      </c>
      <c r="J279">
        <v>-1.99</v>
      </c>
      <c r="L279" s="7"/>
    </row>
    <row r="280" spans="2:12" customFormat="1" x14ac:dyDescent="0.25">
      <c r="B280" t="s">
        <v>114</v>
      </c>
      <c r="C280" t="s">
        <v>86</v>
      </c>
      <c r="D280" t="s">
        <v>891</v>
      </c>
      <c r="E280" t="s">
        <v>242</v>
      </c>
      <c r="F280" t="s">
        <v>148</v>
      </c>
      <c r="H280">
        <v>0</v>
      </c>
      <c r="I280">
        <v>0</v>
      </c>
      <c r="J280">
        <v>-114193.45</v>
      </c>
      <c r="L280" s="7"/>
    </row>
    <row r="281" spans="2:12" customFormat="1" x14ac:dyDescent="0.25">
      <c r="B281" t="s">
        <v>114</v>
      </c>
      <c r="C281" t="s">
        <v>49</v>
      </c>
      <c r="D281" t="s">
        <v>891</v>
      </c>
      <c r="E281" t="s">
        <v>243</v>
      </c>
      <c r="F281" t="s">
        <v>149</v>
      </c>
      <c r="H281">
        <v>0</v>
      </c>
      <c r="I281">
        <v>0</v>
      </c>
      <c r="J281">
        <v>8691.08</v>
      </c>
      <c r="L281" s="7"/>
    </row>
    <row r="282" spans="2:12" customFormat="1" x14ac:dyDescent="0.25">
      <c r="B282" t="s">
        <v>114</v>
      </c>
      <c r="C282" t="s">
        <v>50</v>
      </c>
      <c r="D282" t="s">
        <v>891</v>
      </c>
      <c r="E282" t="s">
        <v>244</v>
      </c>
      <c r="F282" t="s">
        <v>150</v>
      </c>
      <c r="H282">
        <v>0</v>
      </c>
      <c r="I282">
        <v>0</v>
      </c>
      <c r="J282">
        <v>704.42</v>
      </c>
      <c r="L282" s="7"/>
    </row>
    <row r="283" spans="2:12" customFormat="1" x14ac:dyDescent="0.25">
      <c r="B283" t="s">
        <v>114</v>
      </c>
      <c r="C283" t="s">
        <v>51</v>
      </c>
      <c r="D283" t="s">
        <v>891</v>
      </c>
      <c r="E283" t="s">
        <v>245</v>
      </c>
      <c r="F283" t="s">
        <v>151</v>
      </c>
      <c r="H283">
        <v>0</v>
      </c>
      <c r="I283">
        <v>0</v>
      </c>
      <c r="J283">
        <v>3244.58</v>
      </c>
      <c r="L283" s="7"/>
    </row>
    <row r="284" spans="2:12" customFormat="1" x14ac:dyDescent="0.25">
      <c r="B284" t="s">
        <v>114</v>
      </c>
      <c r="C284" t="s">
        <v>87</v>
      </c>
      <c r="D284" t="s">
        <v>891</v>
      </c>
      <c r="E284" t="s">
        <v>246</v>
      </c>
      <c r="F284" t="s">
        <v>152</v>
      </c>
      <c r="H284">
        <v>0</v>
      </c>
      <c r="I284">
        <v>0</v>
      </c>
      <c r="J284">
        <v>-20.329999999999998</v>
      </c>
      <c r="L284" s="7"/>
    </row>
    <row r="285" spans="2:12" customFormat="1" x14ac:dyDescent="0.25">
      <c r="B285" t="s">
        <v>114</v>
      </c>
      <c r="C285" t="s">
        <v>88</v>
      </c>
      <c r="D285" t="s">
        <v>891</v>
      </c>
      <c r="E285" t="s">
        <v>248</v>
      </c>
      <c r="F285" t="s">
        <v>154</v>
      </c>
      <c r="H285">
        <v>0</v>
      </c>
      <c r="I285">
        <v>0</v>
      </c>
      <c r="J285">
        <v>-128.49</v>
      </c>
      <c r="L285" s="7"/>
    </row>
    <row r="286" spans="2:12" customFormat="1" x14ac:dyDescent="0.25">
      <c r="B286" t="s">
        <v>114</v>
      </c>
      <c r="C286" t="s">
        <v>53</v>
      </c>
      <c r="D286" t="s">
        <v>891</v>
      </c>
      <c r="E286" t="s">
        <v>249</v>
      </c>
      <c r="F286" t="s">
        <v>155</v>
      </c>
      <c r="H286">
        <v>0</v>
      </c>
      <c r="I286">
        <v>0</v>
      </c>
      <c r="J286">
        <v>73032.3</v>
      </c>
      <c r="L286" s="7"/>
    </row>
    <row r="287" spans="2:12" customFormat="1" x14ac:dyDescent="0.25">
      <c r="B287" t="s">
        <v>114</v>
      </c>
      <c r="C287" t="s">
        <v>54</v>
      </c>
      <c r="D287" t="s">
        <v>891</v>
      </c>
      <c r="E287" t="s">
        <v>250</v>
      </c>
      <c r="F287" t="s">
        <v>156</v>
      </c>
      <c r="H287">
        <v>0</v>
      </c>
      <c r="I287">
        <v>0</v>
      </c>
      <c r="J287">
        <v>-7.2</v>
      </c>
      <c r="L287" s="7"/>
    </row>
    <row r="288" spans="2:12" customFormat="1" x14ac:dyDescent="0.25">
      <c r="B288" t="s">
        <v>114</v>
      </c>
      <c r="C288" t="s">
        <v>55</v>
      </c>
      <c r="D288" t="s">
        <v>891</v>
      </c>
      <c r="E288" t="s">
        <v>252</v>
      </c>
      <c r="F288" t="s">
        <v>158</v>
      </c>
      <c r="H288">
        <v>0</v>
      </c>
      <c r="I288">
        <v>0</v>
      </c>
      <c r="J288">
        <v>26603.14</v>
      </c>
      <c r="L288" s="7"/>
    </row>
    <row r="289" spans="2:12" customFormat="1" x14ac:dyDescent="0.25">
      <c r="B289" t="s">
        <v>114</v>
      </c>
      <c r="C289" t="s">
        <v>56</v>
      </c>
      <c r="D289" t="s">
        <v>891</v>
      </c>
      <c r="E289" t="s">
        <v>253</v>
      </c>
      <c r="F289" t="s">
        <v>159</v>
      </c>
      <c r="H289">
        <v>0</v>
      </c>
      <c r="I289">
        <v>0</v>
      </c>
      <c r="J289">
        <v>11868.32</v>
      </c>
      <c r="L289" s="7"/>
    </row>
    <row r="290" spans="2:12" customFormat="1" x14ac:dyDescent="0.25">
      <c r="B290" t="s">
        <v>114</v>
      </c>
      <c r="C290" t="s">
        <v>57</v>
      </c>
      <c r="D290" t="s">
        <v>891</v>
      </c>
      <c r="E290" t="s">
        <v>254</v>
      </c>
      <c r="F290" t="s">
        <v>160</v>
      </c>
      <c r="H290">
        <v>0</v>
      </c>
      <c r="I290">
        <v>0</v>
      </c>
      <c r="J290">
        <v>3925.98</v>
      </c>
      <c r="L290" s="7"/>
    </row>
    <row r="291" spans="2:12" customFormat="1" x14ac:dyDescent="0.25">
      <c r="B291" t="s">
        <v>114</v>
      </c>
      <c r="C291" t="s">
        <v>58</v>
      </c>
      <c r="D291" t="s">
        <v>891</v>
      </c>
      <c r="E291" t="s">
        <v>255</v>
      </c>
      <c r="F291" t="s">
        <v>161</v>
      </c>
      <c r="H291">
        <v>0</v>
      </c>
      <c r="I291">
        <v>0</v>
      </c>
      <c r="J291">
        <v>5169.2</v>
      </c>
      <c r="L291" s="7"/>
    </row>
    <row r="292" spans="2:12" customFormat="1" x14ac:dyDescent="0.25">
      <c r="B292" t="s">
        <v>114</v>
      </c>
      <c r="C292" t="s">
        <v>59</v>
      </c>
      <c r="D292" t="s">
        <v>891</v>
      </c>
      <c r="E292" t="s">
        <v>256</v>
      </c>
      <c r="F292" t="s">
        <v>162</v>
      </c>
      <c r="H292">
        <v>0</v>
      </c>
      <c r="I292">
        <v>0</v>
      </c>
      <c r="J292">
        <v>17732.169999999998</v>
      </c>
      <c r="L292" s="7"/>
    </row>
    <row r="293" spans="2:12" customFormat="1" x14ac:dyDescent="0.25">
      <c r="B293" t="s">
        <v>114</v>
      </c>
      <c r="C293" t="s">
        <v>90</v>
      </c>
      <c r="D293" t="s">
        <v>891</v>
      </c>
      <c r="E293" t="s">
        <v>257</v>
      </c>
      <c r="F293" t="s">
        <v>163</v>
      </c>
      <c r="H293">
        <v>0</v>
      </c>
      <c r="I293">
        <v>0</v>
      </c>
      <c r="J293">
        <v>24863.39</v>
      </c>
      <c r="L293" s="7"/>
    </row>
    <row r="294" spans="2:12" customFormat="1" x14ac:dyDescent="0.25">
      <c r="B294" t="s">
        <v>114</v>
      </c>
      <c r="C294" t="s">
        <v>60</v>
      </c>
      <c r="D294" t="s">
        <v>891</v>
      </c>
      <c r="E294" t="s">
        <v>258</v>
      </c>
      <c r="F294" t="s">
        <v>164</v>
      </c>
      <c r="H294">
        <v>0</v>
      </c>
      <c r="I294">
        <v>0</v>
      </c>
      <c r="J294">
        <v>3758.61</v>
      </c>
      <c r="L294" s="7"/>
    </row>
    <row r="295" spans="2:12" customFormat="1" x14ac:dyDescent="0.25">
      <c r="B295" t="s">
        <v>114</v>
      </c>
      <c r="C295" t="s">
        <v>61</v>
      </c>
      <c r="D295" t="s">
        <v>891</v>
      </c>
      <c r="E295" t="s">
        <v>259</v>
      </c>
      <c r="F295" t="s">
        <v>165</v>
      </c>
      <c r="H295">
        <v>0</v>
      </c>
      <c r="I295">
        <v>0</v>
      </c>
      <c r="J295">
        <v>6875.73</v>
      </c>
      <c r="L295" s="7"/>
    </row>
    <row r="296" spans="2:12" customFormat="1" x14ac:dyDescent="0.25">
      <c r="B296" t="s">
        <v>114</v>
      </c>
      <c r="C296" t="s">
        <v>63</v>
      </c>
      <c r="D296" t="s">
        <v>891</v>
      </c>
      <c r="E296" t="s">
        <v>261</v>
      </c>
      <c r="F296" t="s">
        <v>167</v>
      </c>
      <c r="H296">
        <v>0</v>
      </c>
      <c r="I296">
        <v>0</v>
      </c>
      <c r="J296">
        <v>6236.87</v>
      </c>
      <c r="L296" s="7"/>
    </row>
    <row r="297" spans="2:12" customFormat="1" x14ac:dyDescent="0.25">
      <c r="B297" t="s">
        <v>114</v>
      </c>
      <c r="C297" t="s">
        <v>657</v>
      </c>
      <c r="D297" t="s">
        <v>891</v>
      </c>
      <c r="E297" t="s">
        <v>658</v>
      </c>
      <c r="F297" t="s">
        <v>659</v>
      </c>
      <c r="H297">
        <v>0</v>
      </c>
      <c r="I297">
        <v>0</v>
      </c>
      <c r="J297">
        <v>3466.93</v>
      </c>
      <c r="L297" s="7"/>
    </row>
    <row r="298" spans="2:12" customFormat="1" x14ac:dyDescent="0.25">
      <c r="B298" t="s">
        <v>114</v>
      </c>
      <c r="C298" t="s">
        <v>92</v>
      </c>
      <c r="D298" t="s">
        <v>891</v>
      </c>
      <c r="E298" t="s">
        <v>263</v>
      </c>
      <c r="F298" t="s">
        <v>169</v>
      </c>
      <c r="H298">
        <v>0</v>
      </c>
      <c r="I298">
        <v>0</v>
      </c>
      <c r="J298">
        <v>32.9</v>
      </c>
      <c r="L298" s="7"/>
    </row>
    <row r="299" spans="2:12" customFormat="1" x14ac:dyDescent="0.25">
      <c r="B299" t="s">
        <v>114</v>
      </c>
      <c r="C299" t="s">
        <v>64</v>
      </c>
      <c r="D299" t="s">
        <v>891</v>
      </c>
      <c r="E299" t="s">
        <v>265</v>
      </c>
      <c r="F299" t="s">
        <v>171</v>
      </c>
      <c r="H299">
        <v>0</v>
      </c>
      <c r="I299">
        <v>0</v>
      </c>
      <c r="J299">
        <v>18410.3</v>
      </c>
      <c r="L299" s="7"/>
    </row>
    <row r="300" spans="2:12" customFormat="1" x14ac:dyDescent="0.25">
      <c r="B300" t="s">
        <v>114</v>
      </c>
      <c r="C300" t="s">
        <v>94</v>
      </c>
      <c r="D300" t="s">
        <v>891</v>
      </c>
      <c r="E300" t="s">
        <v>266</v>
      </c>
      <c r="F300" t="s">
        <v>172</v>
      </c>
      <c r="H300">
        <v>0</v>
      </c>
      <c r="I300">
        <v>0</v>
      </c>
      <c r="J300">
        <v>1161.54</v>
      </c>
      <c r="L300" s="7"/>
    </row>
    <row r="301" spans="2:12" customFormat="1" x14ac:dyDescent="0.25">
      <c r="B301" t="s">
        <v>114</v>
      </c>
      <c r="C301" t="s">
        <v>95</v>
      </c>
      <c r="D301" t="s">
        <v>891</v>
      </c>
      <c r="E301" t="s">
        <v>267</v>
      </c>
      <c r="F301" t="s">
        <v>173</v>
      </c>
      <c r="H301">
        <v>0</v>
      </c>
      <c r="I301">
        <v>0</v>
      </c>
      <c r="J301">
        <v>2424.9</v>
      </c>
      <c r="L301" s="7"/>
    </row>
    <row r="302" spans="2:12" customFormat="1" x14ac:dyDescent="0.25">
      <c r="B302" t="s">
        <v>114</v>
      </c>
      <c r="C302" t="s">
        <v>96</v>
      </c>
      <c r="D302" t="s">
        <v>891</v>
      </c>
      <c r="E302" t="s">
        <v>268</v>
      </c>
      <c r="F302" t="s">
        <v>174</v>
      </c>
      <c r="H302">
        <v>0</v>
      </c>
      <c r="I302">
        <v>0</v>
      </c>
      <c r="J302">
        <v>426.41</v>
      </c>
      <c r="L302" s="7"/>
    </row>
    <row r="303" spans="2:12" customFormat="1" x14ac:dyDescent="0.25">
      <c r="B303" t="s">
        <v>114</v>
      </c>
      <c r="C303" t="s">
        <v>65</v>
      </c>
      <c r="D303" t="s">
        <v>891</v>
      </c>
      <c r="E303" t="s">
        <v>269</v>
      </c>
      <c r="F303" t="s">
        <v>175</v>
      </c>
      <c r="H303">
        <v>0</v>
      </c>
      <c r="I303">
        <v>0</v>
      </c>
      <c r="J303">
        <v>3837.89</v>
      </c>
      <c r="L303" s="7"/>
    </row>
    <row r="304" spans="2:12" customFormat="1" x14ac:dyDescent="0.25">
      <c r="B304" t="s">
        <v>114</v>
      </c>
      <c r="C304" t="s">
        <v>98</v>
      </c>
      <c r="D304" t="s">
        <v>891</v>
      </c>
      <c r="E304" t="s">
        <v>271</v>
      </c>
      <c r="F304" t="s">
        <v>177</v>
      </c>
      <c r="H304">
        <v>0</v>
      </c>
      <c r="I304">
        <v>0</v>
      </c>
      <c r="J304">
        <v>5038.38</v>
      </c>
      <c r="L304" s="7"/>
    </row>
    <row r="305" spans="2:12" customFormat="1" x14ac:dyDescent="0.25">
      <c r="B305" t="s">
        <v>114</v>
      </c>
      <c r="C305" t="s">
        <v>66</v>
      </c>
      <c r="D305" t="s">
        <v>891</v>
      </c>
      <c r="E305" t="s">
        <v>272</v>
      </c>
      <c r="F305" t="s">
        <v>178</v>
      </c>
      <c r="H305">
        <v>0</v>
      </c>
      <c r="I305">
        <v>0</v>
      </c>
      <c r="J305">
        <v>260</v>
      </c>
      <c r="L305" s="7"/>
    </row>
    <row r="306" spans="2:12" customFormat="1" x14ac:dyDescent="0.25">
      <c r="B306" t="s">
        <v>114</v>
      </c>
      <c r="C306" t="s">
        <v>99</v>
      </c>
      <c r="D306" t="s">
        <v>891</v>
      </c>
      <c r="E306" t="s">
        <v>273</v>
      </c>
      <c r="F306" t="s">
        <v>179</v>
      </c>
      <c r="H306">
        <v>1800.4</v>
      </c>
      <c r="I306">
        <v>0</v>
      </c>
      <c r="J306">
        <v>0</v>
      </c>
      <c r="L306" s="7"/>
    </row>
    <row r="307" spans="2:12" customFormat="1" x14ac:dyDescent="0.25">
      <c r="B307" t="s">
        <v>114</v>
      </c>
      <c r="C307" t="s">
        <v>100</v>
      </c>
      <c r="D307" t="s">
        <v>891</v>
      </c>
      <c r="E307" t="s">
        <v>274</v>
      </c>
      <c r="F307" t="s">
        <v>180</v>
      </c>
      <c r="H307">
        <v>0</v>
      </c>
      <c r="I307">
        <v>0</v>
      </c>
      <c r="J307">
        <v>13624.28</v>
      </c>
      <c r="L307" s="7"/>
    </row>
    <row r="308" spans="2:12" customFormat="1" x14ac:dyDescent="0.25">
      <c r="B308" t="s">
        <v>114</v>
      </c>
      <c r="C308" t="s">
        <v>102</v>
      </c>
      <c r="D308" t="s">
        <v>891</v>
      </c>
      <c r="E308" t="s">
        <v>277</v>
      </c>
      <c r="F308" t="s">
        <v>183</v>
      </c>
      <c r="H308">
        <v>0</v>
      </c>
      <c r="I308">
        <v>0</v>
      </c>
      <c r="J308">
        <v>6904.77</v>
      </c>
      <c r="L308" s="7"/>
    </row>
    <row r="309" spans="2:12" customFormat="1" x14ac:dyDescent="0.25">
      <c r="B309" t="s">
        <v>114</v>
      </c>
      <c r="C309" t="s">
        <v>68</v>
      </c>
      <c r="D309" t="s">
        <v>891</v>
      </c>
      <c r="E309" t="s">
        <v>279</v>
      </c>
      <c r="F309" t="s">
        <v>185</v>
      </c>
      <c r="H309">
        <v>0</v>
      </c>
      <c r="I309">
        <v>0</v>
      </c>
      <c r="J309">
        <v>704.39</v>
      </c>
      <c r="L309" s="7"/>
    </row>
    <row r="310" spans="2:12" customFormat="1" x14ac:dyDescent="0.25">
      <c r="B310" t="s">
        <v>114</v>
      </c>
      <c r="C310" t="s">
        <v>356</v>
      </c>
      <c r="D310" t="s">
        <v>891</v>
      </c>
      <c r="E310" t="s">
        <v>357</v>
      </c>
      <c r="F310" t="s">
        <v>358</v>
      </c>
      <c r="H310">
        <v>0</v>
      </c>
      <c r="I310">
        <v>0</v>
      </c>
      <c r="J310">
        <v>1500</v>
      </c>
      <c r="L310" s="7"/>
    </row>
    <row r="311" spans="2:12" customFormat="1" x14ac:dyDescent="0.25">
      <c r="B311" t="s">
        <v>114</v>
      </c>
      <c r="C311" t="s">
        <v>105</v>
      </c>
      <c r="D311" t="s">
        <v>891</v>
      </c>
      <c r="E311" t="s">
        <v>281</v>
      </c>
      <c r="F311" t="s">
        <v>187</v>
      </c>
      <c r="H311">
        <v>0</v>
      </c>
      <c r="I311">
        <v>0</v>
      </c>
      <c r="J311">
        <v>385.61</v>
      </c>
      <c r="L311" s="7"/>
    </row>
    <row r="312" spans="2:12" customFormat="1" x14ac:dyDescent="0.25">
      <c r="B312" t="s">
        <v>114</v>
      </c>
      <c r="C312" t="s">
        <v>106</v>
      </c>
      <c r="D312" t="s">
        <v>891</v>
      </c>
      <c r="E312" t="s">
        <v>282</v>
      </c>
      <c r="F312" t="s">
        <v>188</v>
      </c>
      <c r="H312">
        <v>0</v>
      </c>
      <c r="I312">
        <v>0</v>
      </c>
      <c r="J312">
        <v>363.62</v>
      </c>
      <c r="L312" s="7"/>
    </row>
    <row r="313" spans="2:12" customFormat="1" x14ac:dyDescent="0.25">
      <c r="B313" t="s">
        <v>114</v>
      </c>
      <c r="C313" t="s">
        <v>107</v>
      </c>
      <c r="D313" t="s">
        <v>891</v>
      </c>
      <c r="E313" t="s">
        <v>283</v>
      </c>
      <c r="F313" t="s">
        <v>189</v>
      </c>
      <c r="H313">
        <v>0</v>
      </c>
      <c r="I313">
        <v>0</v>
      </c>
      <c r="J313">
        <v>13580.66</v>
      </c>
      <c r="L313" s="7"/>
    </row>
    <row r="314" spans="2:12" customFormat="1" x14ac:dyDescent="0.25">
      <c r="B314" t="s">
        <v>114</v>
      </c>
      <c r="C314" t="s">
        <v>359</v>
      </c>
      <c r="D314" t="s">
        <v>891</v>
      </c>
      <c r="E314" t="s">
        <v>360</v>
      </c>
      <c r="F314" t="s">
        <v>361</v>
      </c>
      <c r="H314">
        <v>0</v>
      </c>
      <c r="I314">
        <v>0</v>
      </c>
      <c r="J314">
        <v>541.94000000000005</v>
      </c>
      <c r="L314" s="7"/>
    </row>
    <row r="315" spans="2:12" customFormat="1" x14ac:dyDescent="0.25">
      <c r="B315" t="s">
        <v>114</v>
      </c>
      <c r="C315" t="s">
        <v>69</v>
      </c>
      <c r="D315" t="s">
        <v>891</v>
      </c>
      <c r="E315" t="s">
        <v>284</v>
      </c>
      <c r="F315" t="s">
        <v>190</v>
      </c>
      <c r="H315">
        <v>0</v>
      </c>
      <c r="I315">
        <v>197.5</v>
      </c>
      <c r="J315">
        <v>386.21</v>
      </c>
      <c r="L315" s="7"/>
    </row>
    <row r="316" spans="2:12" customFormat="1" x14ac:dyDescent="0.25">
      <c r="B316" t="s">
        <v>114</v>
      </c>
      <c r="C316" t="s">
        <v>109</v>
      </c>
      <c r="D316" t="s">
        <v>891</v>
      </c>
      <c r="E316" t="s">
        <v>287</v>
      </c>
      <c r="F316" t="s">
        <v>193</v>
      </c>
      <c r="H316">
        <v>0</v>
      </c>
      <c r="I316">
        <v>2739.4</v>
      </c>
      <c r="J316">
        <v>8051.8</v>
      </c>
      <c r="L316" s="7"/>
    </row>
    <row r="317" spans="2:12" customFormat="1" x14ac:dyDescent="0.25">
      <c r="B317" t="s">
        <v>114</v>
      </c>
      <c r="C317" t="s">
        <v>110</v>
      </c>
      <c r="D317" t="s">
        <v>891</v>
      </c>
      <c r="E317" t="s">
        <v>288</v>
      </c>
      <c r="F317" t="s">
        <v>194</v>
      </c>
      <c r="H317">
        <v>0</v>
      </c>
      <c r="I317">
        <v>1563.63</v>
      </c>
      <c r="J317">
        <v>1963.63</v>
      </c>
      <c r="L317" s="7"/>
    </row>
    <row r="318" spans="2:12" customFormat="1" x14ac:dyDescent="0.25">
      <c r="B318" t="s">
        <v>114</v>
      </c>
      <c r="C318" t="s">
        <v>111</v>
      </c>
      <c r="D318" t="s">
        <v>891</v>
      </c>
      <c r="E318" t="s">
        <v>289</v>
      </c>
      <c r="F318" t="s">
        <v>195</v>
      </c>
      <c r="H318">
        <v>0</v>
      </c>
      <c r="I318">
        <v>0</v>
      </c>
      <c r="J318">
        <v>4728</v>
      </c>
      <c r="L318" s="7"/>
    </row>
    <row r="319" spans="2:12" customFormat="1" x14ac:dyDescent="0.25">
      <c r="B319" t="s">
        <v>114</v>
      </c>
      <c r="C319" t="s">
        <v>71</v>
      </c>
      <c r="D319" t="s">
        <v>891</v>
      </c>
      <c r="E319" t="s">
        <v>291</v>
      </c>
      <c r="F319" t="s">
        <v>197</v>
      </c>
      <c r="H319">
        <v>0</v>
      </c>
      <c r="I319">
        <v>0.98</v>
      </c>
      <c r="J319">
        <v>1317.3</v>
      </c>
      <c r="L319" s="7"/>
    </row>
    <row r="320" spans="2:12" customFormat="1" x14ac:dyDescent="0.25">
      <c r="B320" t="s">
        <v>114</v>
      </c>
      <c r="C320" t="s">
        <v>72</v>
      </c>
      <c r="D320" t="s">
        <v>891</v>
      </c>
      <c r="E320" t="s">
        <v>292</v>
      </c>
      <c r="F320" t="s">
        <v>198</v>
      </c>
      <c r="H320">
        <v>0</v>
      </c>
      <c r="I320">
        <v>15.88</v>
      </c>
      <c r="J320">
        <v>1980.05</v>
      </c>
      <c r="L320" s="7"/>
    </row>
    <row r="321" spans="2:12" customFormat="1" x14ac:dyDescent="0.25">
      <c r="B321" t="s">
        <v>114</v>
      </c>
      <c r="C321" t="s">
        <v>73</v>
      </c>
      <c r="D321" t="s">
        <v>891</v>
      </c>
      <c r="E321" t="s">
        <v>293</v>
      </c>
      <c r="F321" t="s">
        <v>199</v>
      </c>
      <c r="H321">
        <v>0.01</v>
      </c>
      <c r="I321">
        <v>18000</v>
      </c>
      <c r="J321">
        <v>22238.26</v>
      </c>
      <c r="L321" s="7"/>
    </row>
    <row r="322" spans="2:12" customFormat="1" x14ac:dyDescent="0.25">
      <c r="B322" t="s">
        <v>114</v>
      </c>
      <c r="C322" t="s">
        <v>74</v>
      </c>
      <c r="D322" t="s">
        <v>891</v>
      </c>
      <c r="E322" t="s">
        <v>294</v>
      </c>
      <c r="F322" t="s">
        <v>200</v>
      </c>
      <c r="H322">
        <v>0</v>
      </c>
      <c r="I322">
        <v>0</v>
      </c>
      <c r="J322">
        <v>3090.11</v>
      </c>
      <c r="L322" s="7"/>
    </row>
    <row r="323" spans="2:12" customFormat="1" x14ac:dyDescent="0.25">
      <c r="B323" t="s">
        <v>660</v>
      </c>
      <c r="C323" t="s">
        <v>30</v>
      </c>
      <c r="D323" t="s">
        <v>891</v>
      </c>
      <c r="E323" t="s">
        <v>215</v>
      </c>
      <c r="F323" t="s">
        <v>120</v>
      </c>
      <c r="H323">
        <v>30628.5</v>
      </c>
      <c r="I323">
        <v>0</v>
      </c>
      <c r="J323">
        <v>2162.09</v>
      </c>
      <c r="L323" s="7"/>
    </row>
    <row r="324" spans="2:12" customFormat="1" x14ac:dyDescent="0.25">
      <c r="B324" t="s">
        <v>660</v>
      </c>
      <c r="C324" t="s">
        <v>35</v>
      </c>
      <c r="D324" t="s">
        <v>891</v>
      </c>
      <c r="E324" t="s">
        <v>221</v>
      </c>
      <c r="F324" t="s">
        <v>127</v>
      </c>
      <c r="H324">
        <v>0</v>
      </c>
      <c r="I324">
        <v>0</v>
      </c>
      <c r="J324">
        <v>41.37</v>
      </c>
      <c r="L324" s="7"/>
    </row>
    <row r="325" spans="2:12" customFormat="1" x14ac:dyDescent="0.25">
      <c r="B325" t="s">
        <v>660</v>
      </c>
      <c r="C325" t="s">
        <v>36</v>
      </c>
      <c r="D325" t="s">
        <v>891</v>
      </c>
      <c r="E325" t="s">
        <v>222</v>
      </c>
      <c r="F325" t="s">
        <v>128</v>
      </c>
      <c r="H325">
        <v>0</v>
      </c>
      <c r="I325">
        <v>0</v>
      </c>
      <c r="J325">
        <v>457.67</v>
      </c>
      <c r="L325" s="7"/>
    </row>
    <row r="326" spans="2:12" customFormat="1" x14ac:dyDescent="0.25">
      <c r="B326" t="s">
        <v>660</v>
      </c>
      <c r="C326" t="s">
        <v>37</v>
      </c>
      <c r="D326" t="s">
        <v>891</v>
      </c>
      <c r="E326" t="s">
        <v>223</v>
      </c>
      <c r="F326" t="s">
        <v>129</v>
      </c>
      <c r="H326">
        <v>0</v>
      </c>
      <c r="I326">
        <v>0</v>
      </c>
      <c r="J326">
        <v>2108.08</v>
      </c>
      <c r="L326" s="7"/>
    </row>
    <row r="327" spans="2:12" customFormat="1" x14ac:dyDescent="0.25">
      <c r="B327" t="s">
        <v>660</v>
      </c>
      <c r="C327" t="s">
        <v>40</v>
      </c>
      <c r="D327" t="s">
        <v>891</v>
      </c>
      <c r="E327" t="s">
        <v>227</v>
      </c>
      <c r="F327" t="s">
        <v>133</v>
      </c>
      <c r="H327">
        <v>2700.13</v>
      </c>
      <c r="I327">
        <v>2700.13</v>
      </c>
      <c r="J327">
        <v>-739.75</v>
      </c>
      <c r="L327" s="7"/>
    </row>
    <row r="328" spans="2:12" customFormat="1" x14ac:dyDescent="0.25">
      <c r="B328" t="s">
        <v>660</v>
      </c>
      <c r="C328" t="s">
        <v>44</v>
      </c>
      <c r="D328" t="s">
        <v>891</v>
      </c>
      <c r="E328" t="s">
        <v>235</v>
      </c>
      <c r="F328" t="s">
        <v>141</v>
      </c>
      <c r="H328">
        <v>23.45</v>
      </c>
      <c r="I328">
        <v>0</v>
      </c>
      <c r="J328">
        <v>-23.45</v>
      </c>
      <c r="L328" s="7"/>
    </row>
    <row r="329" spans="2:12" customFormat="1" x14ac:dyDescent="0.25">
      <c r="B329" t="s">
        <v>660</v>
      </c>
      <c r="C329" t="s">
        <v>45</v>
      </c>
      <c r="D329" t="s">
        <v>891</v>
      </c>
      <c r="E329" t="s">
        <v>236</v>
      </c>
      <c r="F329" t="s">
        <v>142</v>
      </c>
      <c r="H329">
        <v>72.709999999999994</v>
      </c>
      <c r="I329">
        <v>0</v>
      </c>
      <c r="J329">
        <v>-238.93</v>
      </c>
      <c r="L329" s="7"/>
    </row>
    <row r="330" spans="2:12" customFormat="1" x14ac:dyDescent="0.25">
      <c r="B330" t="s">
        <v>660</v>
      </c>
      <c r="C330" t="s">
        <v>46</v>
      </c>
      <c r="D330" t="s">
        <v>891</v>
      </c>
      <c r="E330" t="s">
        <v>237</v>
      </c>
      <c r="F330" t="s">
        <v>143</v>
      </c>
      <c r="H330">
        <v>0</v>
      </c>
      <c r="I330">
        <v>0</v>
      </c>
      <c r="J330">
        <v>-161000</v>
      </c>
      <c r="L330" s="7"/>
    </row>
    <row r="331" spans="2:12" customFormat="1" x14ac:dyDescent="0.25">
      <c r="B331" t="s">
        <v>660</v>
      </c>
      <c r="C331" t="s">
        <v>47</v>
      </c>
      <c r="D331" t="s">
        <v>891</v>
      </c>
      <c r="E331" t="s">
        <v>238</v>
      </c>
      <c r="F331" t="s">
        <v>144</v>
      </c>
      <c r="H331">
        <v>0</v>
      </c>
      <c r="I331">
        <v>0</v>
      </c>
      <c r="J331">
        <v>33000</v>
      </c>
      <c r="L331" s="7"/>
    </row>
    <row r="332" spans="2:12" customFormat="1" x14ac:dyDescent="0.25">
      <c r="B332" t="s">
        <v>660</v>
      </c>
      <c r="C332" t="s">
        <v>80</v>
      </c>
      <c r="D332" t="s">
        <v>891</v>
      </c>
      <c r="E332" t="s">
        <v>239</v>
      </c>
      <c r="F332" t="s">
        <v>145</v>
      </c>
      <c r="H332">
        <v>0</v>
      </c>
      <c r="I332">
        <v>0</v>
      </c>
      <c r="J332">
        <v>-41000</v>
      </c>
      <c r="L332" s="7"/>
    </row>
    <row r="333" spans="2:12" customFormat="1" x14ac:dyDescent="0.25">
      <c r="B333" t="s">
        <v>660</v>
      </c>
      <c r="C333" t="s">
        <v>85</v>
      </c>
      <c r="D333" t="s">
        <v>891</v>
      </c>
      <c r="E333" t="s">
        <v>240</v>
      </c>
      <c r="F333" t="s">
        <v>146</v>
      </c>
      <c r="H333">
        <v>0</v>
      </c>
      <c r="I333">
        <v>0</v>
      </c>
      <c r="J333">
        <v>98614.67</v>
      </c>
      <c r="L333" s="7"/>
    </row>
    <row r="334" spans="2:12" customFormat="1" x14ac:dyDescent="0.25">
      <c r="B334" t="s">
        <v>660</v>
      </c>
      <c r="C334" t="s">
        <v>86</v>
      </c>
      <c r="D334" t="s">
        <v>891</v>
      </c>
      <c r="E334" t="s">
        <v>242</v>
      </c>
      <c r="F334" t="s">
        <v>148</v>
      </c>
      <c r="H334">
        <v>0</v>
      </c>
      <c r="I334">
        <v>0</v>
      </c>
      <c r="J334">
        <v>-34087.75</v>
      </c>
      <c r="L334" s="7"/>
    </row>
    <row r="335" spans="2:12" customFormat="1" x14ac:dyDescent="0.25">
      <c r="B335" t="s">
        <v>660</v>
      </c>
      <c r="C335" t="s">
        <v>49</v>
      </c>
      <c r="D335" t="s">
        <v>891</v>
      </c>
      <c r="E335" t="s">
        <v>243</v>
      </c>
      <c r="F335" t="s">
        <v>149</v>
      </c>
      <c r="H335">
        <v>0</v>
      </c>
      <c r="I335">
        <v>0</v>
      </c>
      <c r="J335">
        <v>1495.11</v>
      </c>
      <c r="L335" s="7"/>
    </row>
    <row r="336" spans="2:12" customFormat="1" x14ac:dyDescent="0.25">
      <c r="B336" t="s">
        <v>660</v>
      </c>
      <c r="C336" t="s">
        <v>50</v>
      </c>
      <c r="D336" t="s">
        <v>891</v>
      </c>
      <c r="E336" t="s">
        <v>244</v>
      </c>
      <c r="F336" t="s">
        <v>150</v>
      </c>
      <c r="H336">
        <v>0</v>
      </c>
      <c r="I336">
        <v>0</v>
      </c>
      <c r="J336">
        <v>-29.44</v>
      </c>
      <c r="L336" s="7"/>
    </row>
    <row r="337" spans="2:12" customFormat="1" x14ac:dyDescent="0.25">
      <c r="B337" t="s">
        <v>660</v>
      </c>
      <c r="C337" t="s">
        <v>51</v>
      </c>
      <c r="D337" t="s">
        <v>891</v>
      </c>
      <c r="E337" t="s">
        <v>245</v>
      </c>
      <c r="F337" t="s">
        <v>151</v>
      </c>
      <c r="H337">
        <v>0</v>
      </c>
      <c r="I337">
        <v>0</v>
      </c>
      <c r="J337">
        <v>414.58</v>
      </c>
      <c r="L337" s="7"/>
    </row>
    <row r="338" spans="2:12" customFormat="1" x14ac:dyDescent="0.25">
      <c r="B338" t="s">
        <v>660</v>
      </c>
      <c r="C338" t="s">
        <v>87</v>
      </c>
      <c r="D338" t="s">
        <v>891</v>
      </c>
      <c r="E338" t="s">
        <v>246</v>
      </c>
      <c r="F338" t="s">
        <v>152</v>
      </c>
      <c r="H338">
        <v>0</v>
      </c>
      <c r="I338">
        <v>0</v>
      </c>
      <c r="J338">
        <v>-141.22999999999999</v>
      </c>
      <c r="L338" s="7"/>
    </row>
    <row r="339" spans="2:12" customFormat="1" x14ac:dyDescent="0.25">
      <c r="B339" t="s">
        <v>660</v>
      </c>
      <c r="C339" t="s">
        <v>53</v>
      </c>
      <c r="D339" t="s">
        <v>891</v>
      </c>
      <c r="E339" t="s">
        <v>249</v>
      </c>
      <c r="F339" t="s">
        <v>155</v>
      </c>
      <c r="H339">
        <v>0</v>
      </c>
      <c r="I339">
        <v>0</v>
      </c>
      <c r="J339">
        <v>34640.879999999997</v>
      </c>
      <c r="L339" s="7"/>
    </row>
    <row r="340" spans="2:12" customFormat="1" x14ac:dyDescent="0.25">
      <c r="B340" t="s">
        <v>660</v>
      </c>
      <c r="C340" t="s">
        <v>65</v>
      </c>
      <c r="D340" t="s">
        <v>891</v>
      </c>
      <c r="E340" t="s">
        <v>269</v>
      </c>
      <c r="F340" t="s">
        <v>175</v>
      </c>
      <c r="H340">
        <v>0</v>
      </c>
      <c r="I340">
        <v>0</v>
      </c>
      <c r="J340">
        <v>2000</v>
      </c>
      <c r="L340" s="7"/>
    </row>
    <row r="341" spans="2:12" customFormat="1" x14ac:dyDescent="0.25">
      <c r="B341" t="s">
        <v>660</v>
      </c>
      <c r="C341" t="s">
        <v>99</v>
      </c>
      <c r="D341" t="s">
        <v>891</v>
      </c>
      <c r="E341" t="s">
        <v>273</v>
      </c>
      <c r="F341" t="s">
        <v>179</v>
      </c>
      <c r="H341">
        <v>1952.2</v>
      </c>
      <c r="I341">
        <v>0</v>
      </c>
      <c r="J341">
        <v>0</v>
      </c>
      <c r="L341" s="7"/>
    </row>
    <row r="342" spans="2:12" customFormat="1" x14ac:dyDescent="0.25">
      <c r="B342" t="s">
        <v>660</v>
      </c>
      <c r="C342" t="s">
        <v>100</v>
      </c>
      <c r="D342" t="s">
        <v>891</v>
      </c>
      <c r="E342" t="s">
        <v>274</v>
      </c>
      <c r="F342" t="s">
        <v>180</v>
      </c>
      <c r="H342">
        <v>0</v>
      </c>
      <c r="I342">
        <v>0</v>
      </c>
      <c r="J342">
        <v>2756.27</v>
      </c>
      <c r="L342" s="7"/>
    </row>
    <row r="343" spans="2:12" customFormat="1" x14ac:dyDescent="0.25">
      <c r="B343" t="s">
        <v>660</v>
      </c>
      <c r="C343" t="s">
        <v>67</v>
      </c>
      <c r="D343" t="s">
        <v>891</v>
      </c>
      <c r="E343" t="s">
        <v>276</v>
      </c>
      <c r="F343" t="s">
        <v>182</v>
      </c>
      <c r="H343">
        <v>0</v>
      </c>
      <c r="I343">
        <v>0</v>
      </c>
      <c r="J343">
        <v>2000</v>
      </c>
      <c r="L343" s="7"/>
    </row>
    <row r="344" spans="2:12" customFormat="1" x14ac:dyDescent="0.25">
      <c r="B344" t="s">
        <v>660</v>
      </c>
      <c r="C344" t="s">
        <v>102</v>
      </c>
      <c r="D344" t="s">
        <v>891</v>
      </c>
      <c r="E344" t="s">
        <v>277</v>
      </c>
      <c r="F344" t="s">
        <v>183</v>
      </c>
      <c r="H344">
        <v>0</v>
      </c>
      <c r="I344">
        <v>0</v>
      </c>
      <c r="J344">
        <v>6659.52</v>
      </c>
      <c r="L344" s="7"/>
    </row>
    <row r="345" spans="2:12" customFormat="1" x14ac:dyDescent="0.25">
      <c r="B345" t="s">
        <v>660</v>
      </c>
      <c r="C345" t="s">
        <v>68</v>
      </c>
      <c r="D345" t="s">
        <v>891</v>
      </c>
      <c r="E345" t="s">
        <v>279</v>
      </c>
      <c r="F345" t="s">
        <v>185</v>
      </c>
      <c r="H345">
        <v>0</v>
      </c>
      <c r="I345">
        <v>0</v>
      </c>
      <c r="J345">
        <v>911.19</v>
      </c>
      <c r="L345" s="7"/>
    </row>
    <row r="346" spans="2:12" customFormat="1" x14ac:dyDescent="0.25">
      <c r="B346" t="s">
        <v>660</v>
      </c>
      <c r="C346" t="s">
        <v>106</v>
      </c>
      <c r="D346" t="s">
        <v>891</v>
      </c>
      <c r="E346" t="s">
        <v>282</v>
      </c>
      <c r="F346" t="s">
        <v>188</v>
      </c>
      <c r="H346">
        <v>0</v>
      </c>
      <c r="I346">
        <v>0</v>
      </c>
      <c r="J346">
        <v>764</v>
      </c>
      <c r="L346" s="7"/>
    </row>
    <row r="347" spans="2:12" customFormat="1" x14ac:dyDescent="0.25">
      <c r="B347" t="s">
        <v>660</v>
      </c>
      <c r="C347" t="s">
        <v>69</v>
      </c>
      <c r="D347" t="s">
        <v>891</v>
      </c>
      <c r="E347" t="s">
        <v>284</v>
      </c>
      <c r="F347" t="s">
        <v>190</v>
      </c>
      <c r="H347">
        <v>0</v>
      </c>
      <c r="I347">
        <v>197.5</v>
      </c>
      <c r="J347">
        <v>386.21</v>
      </c>
      <c r="L347" s="7"/>
    </row>
    <row r="348" spans="2:12" customFormat="1" x14ac:dyDescent="0.25">
      <c r="B348" t="s">
        <v>660</v>
      </c>
      <c r="C348" t="s">
        <v>109</v>
      </c>
      <c r="D348" t="s">
        <v>891</v>
      </c>
      <c r="E348" t="s">
        <v>287</v>
      </c>
      <c r="F348" t="s">
        <v>193</v>
      </c>
      <c r="H348">
        <v>0</v>
      </c>
      <c r="I348">
        <v>2891.2</v>
      </c>
      <c r="J348">
        <v>8203.6</v>
      </c>
      <c r="L348" s="7"/>
    </row>
    <row r="349" spans="2:12" customFormat="1" x14ac:dyDescent="0.25">
      <c r="B349" t="s">
        <v>660</v>
      </c>
      <c r="C349" t="s">
        <v>110</v>
      </c>
      <c r="D349" t="s">
        <v>891</v>
      </c>
      <c r="E349" t="s">
        <v>288</v>
      </c>
      <c r="F349" t="s">
        <v>194</v>
      </c>
      <c r="H349">
        <v>0</v>
      </c>
      <c r="I349">
        <v>1563.63</v>
      </c>
      <c r="J349">
        <v>1963.63</v>
      </c>
      <c r="L349" s="7"/>
    </row>
    <row r="350" spans="2:12" customFormat="1" x14ac:dyDescent="0.25">
      <c r="B350" t="s">
        <v>660</v>
      </c>
      <c r="C350" t="s">
        <v>111</v>
      </c>
      <c r="D350" t="s">
        <v>891</v>
      </c>
      <c r="E350" t="s">
        <v>289</v>
      </c>
      <c r="F350" t="s">
        <v>195</v>
      </c>
      <c r="H350">
        <v>0</v>
      </c>
      <c r="I350">
        <v>0</v>
      </c>
      <c r="J350">
        <v>2063.4499999999998</v>
      </c>
      <c r="L350" s="7"/>
    </row>
    <row r="351" spans="2:12" customFormat="1" x14ac:dyDescent="0.25">
      <c r="B351" t="s">
        <v>660</v>
      </c>
      <c r="C351" t="s">
        <v>203</v>
      </c>
      <c r="D351" t="s">
        <v>891</v>
      </c>
      <c r="E351" t="s">
        <v>297</v>
      </c>
      <c r="F351" t="s">
        <v>204</v>
      </c>
      <c r="H351">
        <v>0</v>
      </c>
      <c r="I351">
        <v>0</v>
      </c>
      <c r="J351">
        <v>998.08</v>
      </c>
      <c r="L351" s="7"/>
    </row>
    <row r="352" spans="2:12" customFormat="1" x14ac:dyDescent="0.25">
      <c r="B352" t="s">
        <v>660</v>
      </c>
      <c r="C352" t="s">
        <v>71</v>
      </c>
      <c r="D352" t="s">
        <v>891</v>
      </c>
      <c r="E352" t="s">
        <v>291</v>
      </c>
      <c r="F352" t="s">
        <v>197</v>
      </c>
      <c r="H352">
        <v>0</v>
      </c>
      <c r="I352">
        <v>0.98</v>
      </c>
      <c r="J352">
        <v>282.94</v>
      </c>
      <c r="L352" s="7"/>
    </row>
    <row r="353" spans="2:12" customFormat="1" x14ac:dyDescent="0.25">
      <c r="B353" t="s">
        <v>660</v>
      </c>
      <c r="C353" t="s">
        <v>72</v>
      </c>
      <c r="D353" t="s">
        <v>891</v>
      </c>
      <c r="E353" t="s">
        <v>292</v>
      </c>
      <c r="F353" t="s">
        <v>198</v>
      </c>
      <c r="H353">
        <v>0</v>
      </c>
      <c r="I353">
        <v>23.55</v>
      </c>
      <c r="J353">
        <v>98.65</v>
      </c>
      <c r="L353" s="7"/>
    </row>
    <row r="354" spans="2:12" customFormat="1" x14ac:dyDescent="0.25">
      <c r="B354" t="s">
        <v>660</v>
      </c>
      <c r="C354" t="s">
        <v>73</v>
      </c>
      <c r="D354" t="s">
        <v>891</v>
      </c>
      <c r="E354" t="s">
        <v>293</v>
      </c>
      <c r="F354" t="s">
        <v>199</v>
      </c>
      <c r="H354">
        <v>0</v>
      </c>
      <c r="I354">
        <v>28000</v>
      </c>
      <c r="J354">
        <v>32201.65</v>
      </c>
      <c r="L354" s="7"/>
    </row>
    <row r="355" spans="2:12" customFormat="1" x14ac:dyDescent="0.25">
      <c r="B355" t="s">
        <v>660</v>
      </c>
      <c r="C355" t="s">
        <v>75</v>
      </c>
      <c r="D355" t="s">
        <v>891</v>
      </c>
      <c r="E355" t="s">
        <v>295</v>
      </c>
      <c r="F355" t="s">
        <v>201</v>
      </c>
      <c r="H355">
        <v>0</v>
      </c>
      <c r="I355">
        <v>0</v>
      </c>
      <c r="J355">
        <v>1898.07</v>
      </c>
      <c r="L355" s="7"/>
    </row>
    <row r="356" spans="2:12" customFormat="1" x14ac:dyDescent="0.25">
      <c r="B356" t="s">
        <v>660</v>
      </c>
      <c r="C356" t="s">
        <v>76</v>
      </c>
      <c r="D356" t="s">
        <v>891</v>
      </c>
      <c r="E356" t="s">
        <v>296</v>
      </c>
      <c r="F356" t="s">
        <v>202</v>
      </c>
      <c r="H356">
        <v>0</v>
      </c>
      <c r="I356">
        <v>0</v>
      </c>
      <c r="J356">
        <v>1138.8399999999999</v>
      </c>
      <c r="L356" s="7"/>
    </row>
    <row r="357" spans="2:12" customFormat="1" x14ac:dyDescent="0.25">
      <c r="B357" t="s">
        <v>661</v>
      </c>
      <c r="C357" t="s">
        <v>26</v>
      </c>
      <c r="D357" t="s">
        <v>891</v>
      </c>
      <c r="E357" t="s">
        <v>211</v>
      </c>
      <c r="F357" t="s">
        <v>116</v>
      </c>
      <c r="H357">
        <v>7151</v>
      </c>
      <c r="I357">
        <v>7151</v>
      </c>
      <c r="J357">
        <v>0</v>
      </c>
      <c r="L357" s="7"/>
    </row>
    <row r="358" spans="2:12" customFormat="1" x14ac:dyDescent="0.25">
      <c r="B358" t="s">
        <v>661</v>
      </c>
      <c r="C358" t="s">
        <v>27</v>
      </c>
      <c r="D358" t="s">
        <v>891</v>
      </c>
      <c r="E358" t="s">
        <v>212</v>
      </c>
      <c r="F358" t="s">
        <v>117</v>
      </c>
      <c r="H358">
        <v>0</v>
      </c>
      <c r="I358">
        <v>0</v>
      </c>
      <c r="J358">
        <v>57.94</v>
      </c>
      <c r="L358" s="7"/>
    </row>
    <row r="359" spans="2:12" customFormat="1" x14ac:dyDescent="0.25">
      <c r="B359" t="s">
        <v>661</v>
      </c>
      <c r="C359" t="s">
        <v>28</v>
      </c>
      <c r="D359" t="s">
        <v>891</v>
      </c>
      <c r="E359" t="s">
        <v>213</v>
      </c>
      <c r="F359" t="s">
        <v>118</v>
      </c>
      <c r="H359">
        <v>7566.49</v>
      </c>
      <c r="I359">
        <v>7563.94</v>
      </c>
      <c r="J359">
        <v>235.15</v>
      </c>
      <c r="L359" s="7"/>
    </row>
    <row r="360" spans="2:12" customFormat="1" x14ac:dyDescent="0.25">
      <c r="B360" t="s">
        <v>661</v>
      </c>
      <c r="C360" t="s">
        <v>29</v>
      </c>
      <c r="D360" t="s">
        <v>891</v>
      </c>
      <c r="E360" t="s">
        <v>214</v>
      </c>
      <c r="F360" t="s">
        <v>119</v>
      </c>
      <c r="H360">
        <v>8133</v>
      </c>
      <c r="I360">
        <v>7152</v>
      </c>
      <c r="J360">
        <v>1194.3599999999999</v>
      </c>
      <c r="L360" s="7"/>
    </row>
    <row r="361" spans="2:12" customFormat="1" x14ac:dyDescent="0.25">
      <c r="B361" t="s">
        <v>661</v>
      </c>
      <c r="C361" t="s">
        <v>30</v>
      </c>
      <c r="D361" t="s">
        <v>891</v>
      </c>
      <c r="E361" t="s">
        <v>215</v>
      </c>
      <c r="F361" t="s">
        <v>120</v>
      </c>
      <c r="H361">
        <v>88247.34</v>
      </c>
      <c r="I361">
        <v>53949.8</v>
      </c>
      <c r="J361">
        <v>9799.23</v>
      </c>
      <c r="L361" s="7"/>
    </row>
    <row r="362" spans="2:12" customFormat="1" x14ac:dyDescent="0.25">
      <c r="B362" t="s">
        <v>661</v>
      </c>
      <c r="C362" t="s">
        <v>81</v>
      </c>
      <c r="D362" t="s">
        <v>891</v>
      </c>
      <c r="E362" t="s">
        <v>216</v>
      </c>
      <c r="F362" t="s">
        <v>121</v>
      </c>
      <c r="H362">
        <v>156.54</v>
      </c>
      <c r="I362">
        <v>0</v>
      </c>
      <c r="J362">
        <v>5412.89</v>
      </c>
      <c r="L362" s="7"/>
    </row>
    <row r="363" spans="2:12" customFormat="1" x14ac:dyDescent="0.25">
      <c r="B363" t="s">
        <v>661</v>
      </c>
      <c r="C363" t="s">
        <v>31</v>
      </c>
      <c r="D363" t="s">
        <v>891</v>
      </c>
      <c r="E363" t="s">
        <v>217</v>
      </c>
      <c r="F363" t="s">
        <v>122</v>
      </c>
      <c r="H363">
        <v>51202.58</v>
      </c>
      <c r="I363">
        <v>51202.58</v>
      </c>
      <c r="J363">
        <v>0</v>
      </c>
      <c r="L363" s="7"/>
    </row>
    <row r="364" spans="2:12" customFormat="1" x14ac:dyDescent="0.25">
      <c r="B364" t="s">
        <v>661</v>
      </c>
      <c r="C364" t="s">
        <v>32</v>
      </c>
      <c r="D364" t="s">
        <v>891</v>
      </c>
      <c r="E364" t="s">
        <v>218</v>
      </c>
      <c r="F364" t="s">
        <v>123</v>
      </c>
      <c r="H364">
        <v>0</v>
      </c>
      <c r="I364">
        <v>0</v>
      </c>
      <c r="J364">
        <v>13418.29</v>
      </c>
      <c r="L364" s="7"/>
    </row>
    <row r="365" spans="2:12" customFormat="1" x14ac:dyDescent="0.25">
      <c r="B365" t="s">
        <v>661</v>
      </c>
      <c r="C365" t="s">
        <v>33</v>
      </c>
      <c r="D365" t="s">
        <v>891</v>
      </c>
      <c r="E365" t="s">
        <v>219</v>
      </c>
      <c r="F365" t="s">
        <v>124</v>
      </c>
      <c r="H365">
        <v>24125.65</v>
      </c>
      <c r="I365">
        <v>24890.78</v>
      </c>
      <c r="J365">
        <v>8284.5</v>
      </c>
      <c r="L365" s="7"/>
    </row>
    <row r="366" spans="2:12" customFormat="1" x14ac:dyDescent="0.25">
      <c r="B366" t="s">
        <v>661</v>
      </c>
      <c r="C366" t="s">
        <v>34</v>
      </c>
      <c r="D366" t="s">
        <v>891</v>
      </c>
      <c r="E366" t="s">
        <v>220</v>
      </c>
      <c r="F366" t="s">
        <v>125</v>
      </c>
      <c r="H366">
        <v>9622.7099999999991</v>
      </c>
      <c r="I366">
        <v>11461.07</v>
      </c>
      <c r="J366">
        <v>12266.47</v>
      </c>
      <c r="L366" s="7"/>
    </row>
    <row r="367" spans="2:12" customFormat="1" x14ac:dyDescent="0.25">
      <c r="B367" t="s">
        <v>661</v>
      </c>
      <c r="C367" t="s">
        <v>205</v>
      </c>
      <c r="D367" t="s">
        <v>891</v>
      </c>
      <c r="E367" t="s">
        <v>298</v>
      </c>
      <c r="F367" t="s">
        <v>206</v>
      </c>
      <c r="H367">
        <v>0</v>
      </c>
      <c r="I367">
        <v>0</v>
      </c>
      <c r="J367">
        <v>1237.46</v>
      </c>
      <c r="L367" s="7"/>
    </row>
    <row r="368" spans="2:12" customFormat="1" x14ac:dyDescent="0.25">
      <c r="B368" t="s">
        <v>661</v>
      </c>
      <c r="C368" t="s">
        <v>35</v>
      </c>
      <c r="D368" t="s">
        <v>891</v>
      </c>
      <c r="E368" t="s">
        <v>221</v>
      </c>
      <c r="F368" t="s">
        <v>127</v>
      </c>
      <c r="H368">
        <v>2234.9899999999998</v>
      </c>
      <c r="I368">
        <v>2587.63</v>
      </c>
      <c r="J368">
        <v>1535.18</v>
      </c>
      <c r="L368" s="7"/>
    </row>
    <row r="369" spans="2:12" customFormat="1" x14ac:dyDescent="0.25">
      <c r="B369" t="s">
        <v>661</v>
      </c>
      <c r="C369" t="s">
        <v>36</v>
      </c>
      <c r="D369" t="s">
        <v>891</v>
      </c>
      <c r="E369" t="s">
        <v>222</v>
      </c>
      <c r="F369" t="s">
        <v>128</v>
      </c>
      <c r="H369">
        <v>201.54</v>
      </c>
      <c r="I369">
        <v>327.93</v>
      </c>
      <c r="J369">
        <v>1215.76</v>
      </c>
      <c r="L369" s="7"/>
    </row>
    <row r="370" spans="2:12" customFormat="1" x14ac:dyDescent="0.25">
      <c r="B370" t="s">
        <v>661</v>
      </c>
      <c r="C370" t="s">
        <v>37</v>
      </c>
      <c r="D370" t="s">
        <v>891</v>
      </c>
      <c r="E370" t="s">
        <v>223</v>
      </c>
      <c r="F370" t="s">
        <v>129</v>
      </c>
      <c r="H370">
        <v>928.29</v>
      </c>
      <c r="I370">
        <v>1519.65</v>
      </c>
      <c r="J370">
        <v>5115.03</v>
      </c>
      <c r="L370" s="7"/>
    </row>
    <row r="371" spans="2:12" customFormat="1" x14ac:dyDescent="0.25">
      <c r="B371" t="s">
        <v>661</v>
      </c>
      <c r="C371" t="s">
        <v>38</v>
      </c>
      <c r="D371" t="s">
        <v>891</v>
      </c>
      <c r="E371" t="s">
        <v>224</v>
      </c>
      <c r="F371" t="s">
        <v>130</v>
      </c>
      <c r="H371">
        <v>42192.3</v>
      </c>
      <c r="I371">
        <v>78402.62</v>
      </c>
      <c r="J371">
        <v>144132.12</v>
      </c>
      <c r="L371" s="7"/>
    </row>
    <row r="372" spans="2:12" customFormat="1" x14ac:dyDescent="0.25">
      <c r="B372" t="s">
        <v>661</v>
      </c>
      <c r="C372" t="s">
        <v>82</v>
      </c>
      <c r="D372" t="s">
        <v>891</v>
      </c>
      <c r="E372" t="s">
        <v>226</v>
      </c>
      <c r="F372" t="s">
        <v>132</v>
      </c>
      <c r="H372">
        <v>0</v>
      </c>
      <c r="I372">
        <v>0</v>
      </c>
      <c r="J372">
        <v>-10796</v>
      </c>
      <c r="L372" s="7"/>
    </row>
    <row r="373" spans="2:12" customFormat="1" x14ac:dyDescent="0.25">
      <c r="B373" t="s">
        <v>661</v>
      </c>
      <c r="C373" t="s">
        <v>40</v>
      </c>
      <c r="D373" t="s">
        <v>891</v>
      </c>
      <c r="E373" t="s">
        <v>227</v>
      </c>
      <c r="F373" t="s">
        <v>133</v>
      </c>
      <c r="H373">
        <v>78339.28</v>
      </c>
      <c r="I373">
        <v>65565.13</v>
      </c>
      <c r="J373">
        <v>-27375.17</v>
      </c>
      <c r="L373" s="7"/>
    </row>
    <row r="374" spans="2:12" customFormat="1" x14ac:dyDescent="0.25">
      <c r="B374" t="s">
        <v>661</v>
      </c>
      <c r="C374" t="s">
        <v>83</v>
      </c>
      <c r="D374" t="s">
        <v>891</v>
      </c>
      <c r="E374" t="s">
        <v>228</v>
      </c>
      <c r="F374" t="s">
        <v>134</v>
      </c>
      <c r="H374">
        <v>27679.19</v>
      </c>
      <c r="I374">
        <v>18651.82</v>
      </c>
      <c r="J374">
        <v>-17281.66</v>
      </c>
      <c r="L374" s="7"/>
    </row>
    <row r="375" spans="2:12" customFormat="1" x14ac:dyDescent="0.25">
      <c r="B375" t="s">
        <v>661</v>
      </c>
      <c r="C375" t="s">
        <v>84</v>
      </c>
      <c r="D375" t="s">
        <v>891</v>
      </c>
      <c r="E375" t="s">
        <v>230</v>
      </c>
      <c r="F375" t="s">
        <v>136</v>
      </c>
      <c r="H375">
        <v>4000</v>
      </c>
      <c r="I375">
        <v>4000</v>
      </c>
      <c r="J375">
        <v>-2000</v>
      </c>
      <c r="L375" s="7"/>
    </row>
    <row r="376" spans="2:12" customFormat="1" x14ac:dyDescent="0.25">
      <c r="B376" t="s">
        <v>661</v>
      </c>
      <c r="C376" t="s">
        <v>41</v>
      </c>
      <c r="D376" t="s">
        <v>891</v>
      </c>
      <c r="E376" t="s">
        <v>231</v>
      </c>
      <c r="F376" t="s">
        <v>137</v>
      </c>
      <c r="H376">
        <v>2258.0500000000002</v>
      </c>
      <c r="I376">
        <v>2234.9899999999998</v>
      </c>
      <c r="J376">
        <v>0</v>
      </c>
      <c r="L376" s="7"/>
    </row>
    <row r="377" spans="2:12" customFormat="1" x14ac:dyDescent="0.25">
      <c r="B377" t="s">
        <v>661</v>
      </c>
      <c r="C377" t="s">
        <v>42</v>
      </c>
      <c r="D377" t="s">
        <v>891</v>
      </c>
      <c r="E377" t="s">
        <v>232</v>
      </c>
      <c r="F377" t="s">
        <v>138</v>
      </c>
      <c r="H377">
        <v>201.54</v>
      </c>
      <c r="I377">
        <v>201.54</v>
      </c>
      <c r="J377">
        <v>0</v>
      </c>
      <c r="L377" s="7"/>
    </row>
    <row r="378" spans="2:12" customFormat="1" x14ac:dyDescent="0.25">
      <c r="B378" t="s">
        <v>661</v>
      </c>
      <c r="C378" t="s">
        <v>43</v>
      </c>
      <c r="D378" t="s">
        <v>891</v>
      </c>
      <c r="E378" t="s">
        <v>233</v>
      </c>
      <c r="F378" t="s">
        <v>139</v>
      </c>
      <c r="H378">
        <v>928.29</v>
      </c>
      <c r="I378">
        <v>928.29</v>
      </c>
      <c r="J378">
        <v>0</v>
      </c>
      <c r="L378" s="7"/>
    </row>
    <row r="379" spans="2:12" customFormat="1" x14ac:dyDescent="0.25">
      <c r="B379" t="s">
        <v>661</v>
      </c>
      <c r="C379" t="s">
        <v>79</v>
      </c>
      <c r="D379" t="s">
        <v>891</v>
      </c>
      <c r="E379" t="s">
        <v>234</v>
      </c>
      <c r="F379" t="s">
        <v>140</v>
      </c>
      <c r="H379">
        <v>0</v>
      </c>
      <c r="I379">
        <v>0</v>
      </c>
      <c r="J379">
        <v>-21.51</v>
      </c>
      <c r="L379" s="7"/>
    </row>
    <row r="380" spans="2:12" customFormat="1" x14ac:dyDescent="0.25">
      <c r="B380" t="s">
        <v>661</v>
      </c>
      <c r="C380" t="s">
        <v>44</v>
      </c>
      <c r="D380" t="s">
        <v>891</v>
      </c>
      <c r="E380" t="s">
        <v>235</v>
      </c>
      <c r="F380" t="s">
        <v>141</v>
      </c>
      <c r="H380">
        <v>23.45</v>
      </c>
      <c r="I380">
        <v>0</v>
      </c>
      <c r="J380">
        <v>-23.45</v>
      </c>
      <c r="L380" s="7"/>
    </row>
    <row r="381" spans="2:12" customFormat="1" x14ac:dyDescent="0.25">
      <c r="B381" t="s">
        <v>661</v>
      </c>
      <c r="C381" t="s">
        <v>45</v>
      </c>
      <c r="D381" t="s">
        <v>891</v>
      </c>
      <c r="E381" t="s">
        <v>236</v>
      </c>
      <c r="F381" t="s">
        <v>142</v>
      </c>
      <c r="H381">
        <v>85.06</v>
      </c>
      <c r="I381">
        <v>18.510000000000002</v>
      </c>
      <c r="J381">
        <v>-219.11</v>
      </c>
      <c r="L381" s="7"/>
    </row>
    <row r="382" spans="2:12" customFormat="1" x14ac:dyDescent="0.25">
      <c r="B382" t="s">
        <v>661</v>
      </c>
      <c r="C382" t="s">
        <v>46</v>
      </c>
      <c r="D382" t="s">
        <v>891</v>
      </c>
      <c r="E382" t="s">
        <v>237</v>
      </c>
      <c r="F382" t="s">
        <v>143</v>
      </c>
      <c r="H382">
        <v>0</v>
      </c>
      <c r="I382">
        <v>0</v>
      </c>
      <c r="J382">
        <v>-161300</v>
      </c>
      <c r="L382" s="7"/>
    </row>
    <row r="383" spans="2:12" customFormat="1" x14ac:dyDescent="0.25">
      <c r="B383" t="s">
        <v>661</v>
      </c>
      <c r="C383" t="s">
        <v>47</v>
      </c>
      <c r="D383" t="s">
        <v>891</v>
      </c>
      <c r="E383" t="s">
        <v>238</v>
      </c>
      <c r="F383" t="s">
        <v>144</v>
      </c>
      <c r="H383">
        <v>5000</v>
      </c>
      <c r="I383">
        <v>0</v>
      </c>
      <c r="J383">
        <v>-108100</v>
      </c>
      <c r="L383" s="7"/>
    </row>
    <row r="384" spans="2:12" customFormat="1" x14ac:dyDescent="0.25">
      <c r="B384" t="s">
        <v>661</v>
      </c>
      <c r="C384" t="s">
        <v>80</v>
      </c>
      <c r="D384" t="s">
        <v>891</v>
      </c>
      <c r="E384" t="s">
        <v>239</v>
      </c>
      <c r="F384" t="s">
        <v>145</v>
      </c>
      <c r="H384">
        <v>0</v>
      </c>
      <c r="I384">
        <v>0</v>
      </c>
      <c r="J384">
        <v>-51300</v>
      </c>
      <c r="L384" s="7"/>
    </row>
    <row r="385" spans="2:12" customFormat="1" x14ac:dyDescent="0.25">
      <c r="B385" t="s">
        <v>661</v>
      </c>
      <c r="C385" t="s">
        <v>588</v>
      </c>
      <c r="D385" t="s">
        <v>891</v>
      </c>
      <c r="E385" t="s">
        <v>589</v>
      </c>
      <c r="F385" t="s">
        <v>590</v>
      </c>
      <c r="H385">
        <v>0</v>
      </c>
      <c r="I385">
        <v>0</v>
      </c>
      <c r="J385">
        <v>-3336.61</v>
      </c>
      <c r="L385" s="7"/>
    </row>
    <row r="386" spans="2:12" customFormat="1" x14ac:dyDescent="0.25">
      <c r="B386" t="s">
        <v>661</v>
      </c>
      <c r="C386" t="s">
        <v>85</v>
      </c>
      <c r="D386" t="s">
        <v>891</v>
      </c>
      <c r="E386" t="s">
        <v>240</v>
      </c>
      <c r="F386" t="s">
        <v>146</v>
      </c>
      <c r="H386">
        <v>0</v>
      </c>
      <c r="I386">
        <v>0</v>
      </c>
      <c r="J386">
        <v>35403.99</v>
      </c>
      <c r="L386" s="7"/>
    </row>
    <row r="387" spans="2:12" customFormat="1" x14ac:dyDescent="0.25">
      <c r="B387" t="s">
        <v>661</v>
      </c>
      <c r="C387" t="s">
        <v>86</v>
      </c>
      <c r="D387" t="s">
        <v>891</v>
      </c>
      <c r="E387" t="s">
        <v>242</v>
      </c>
      <c r="F387" t="s">
        <v>148</v>
      </c>
      <c r="H387">
        <v>51118.57</v>
      </c>
      <c r="I387">
        <v>0</v>
      </c>
      <c r="J387">
        <v>-434648.02</v>
      </c>
      <c r="L387" s="7"/>
    </row>
    <row r="388" spans="2:12" customFormat="1" x14ac:dyDescent="0.25">
      <c r="B388" t="s">
        <v>661</v>
      </c>
      <c r="C388" t="s">
        <v>49</v>
      </c>
      <c r="D388" t="s">
        <v>891</v>
      </c>
      <c r="E388" t="s">
        <v>243</v>
      </c>
      <c r="F388" t="s">
        <v>149</v>
      </c>
      <c r="H388">
        <v>0</v>
      </c>
      <c r="I388">
        <v>2258.0500000000002</v>
      </c>
      <c r="J388">
        <v>19656.38</v>
      </c>
      <c r="L388" s="7"/>
    </row>
    <row r="389" spans="2:12" customFormat="1" x14ac:dyDescent="0.25">
      <c r="B389" t="s">
        <v>661</v>
      </c>
      <c r="C389" t="s">
        <v>50</v>
      </c>
      <c r="D389" t="s">
        <v>891</v>
      </c>
      <c r="E389" t="s">
        <v>244</v>
      </c>
      <c r="F389" t="s">
        <v>150</v>
      </c>
      <c r="H389">
        <v>0</v>
      </c>
      <c r="I389">
        <v>201.54</v>
      </c>
      <c r="J389">
        <v>1624.82</v>
      </c>
      <c r="L389" s="7"/>
    </row>
    <row r="390" spans="2:12" customFormat="1" x14ac:dyDescent="0.25">
      <c r="B390" t="s">
        <v>661</v>
      </c>
      <c r="C390" t="s">
        <v>51</v>
      </c>
      <c r="D390" t="s">
        <v>891</v>
      </c>
      <c r="E390" t="s">
        <v>245</v>
      </c>
      <c r="F390" t="s">
        <v>151</v>
      </c>
      <c r="H390">
        <v>0</v>
      </c>
      <c r="I390">
        <v>928.29</v>
      </c>
      <c r="J390">
        <v>7485.53</v>
      </c>
      <c r="L390" s="7"/>
    </row>
    <row r="391" spans="2:12" customFormat="1" x14ac:dyDescent="0.25">
      <c r="B391" t="s">
        <v>661</v>
      </c>
      <c r="C391" t="s">
        <v>87</v>
      </c>
      <c r="D391" t="s">
        <v>891</v>
      </c>
      <c r="E391" t="s">
        <v>246</v>
      </c>
      <c r="F391" t="s">
        <v>152</v>
      </c>
      <c r="H391">
        <v>313.73</v>
      </c>
      <c r="I391">
        <v>0</v>
      </c>
      <c r="J391">
        <v>-352.32</v>
      </c>
      <c r="L391" s="7"/>
    </row>
    <row r="392" spans="2:12" customFormat="1" x14ac:dyDescent="0.25">
      <c r="B392" t="s">
        <v>661</v>
      </c>
      <c r="C392" t="s">
        <v>52</v>
      </c>
      <c r="D392" t="s">
        <v>891</v>
      </c>
      <c r="E392" t="s">
        <v>247</v>
      </c>
      <c r="F392" t="s">
        <v>153</v>
      </c>
      <c r="H392">
        <v>0</v>
      </c>
      <c r="I392">
        <v>0</v>
      </c>
      <c r="J392">
        <v>-152.79</v>
      </c>
      <c r="L392" s="7"/>
    </row>
    <row r="393" spans="2:12" customFormat="1" x14ac:dyDescent="0.25">
      <c r="B393" t="s">
        <v>661</v>
      </c>
      <c r="C393" t="s">
        <v>88</v>
      </c>
      <c r="D393" t="s">
        <v>891</v>
      </c>
      <c r="E393" t="s">
        <v>248</v>
      </c>
      <c r="F393" t="s">
        <v>154</v>
      </c>
      <c r="H393">
        <v>0</v>
      </c>
      <c r="I393">
        <v>0</v>
      </c>
      <c r="J393">
        <v>-2551.27</v>
      </c>
      <c r="L393" s="7"/>
    </row>
    <row r="394" spans="2:12" customFormat="1" x14ac:dyDescent="0.25">
      <c r="B394" t="s">
        <v>661</v>
      </c>
      <c r="C394" t="s">
        <v>53</v>
      </c>
      <c r="D394" t="s">
        <v>891</v>
      </c>
      <c r="E394" t="s">
        <v>249</v>
      </c>
      <c r="F394" t="s">
        <v>155</v>
      </c>
      <c r="H394">
        <v>193.85</v>
      </c>
      <c r="I394">
        <v>39058.94</v>
      </c>
      <c r="J394">
        <v>315337.78999999998</v>
      </c>
      <c r="L394" s="7"/>
    </row>
    <row r="395" spans="2:12" customFormat="1" x14ac:dyDescent="0.25">
      <c r="B395" t="s">
        <v>661</v>
      </c>
      <c r="C395" t="s">
        <v>89</v>
      </c>
      <c r="D395" t="s">
        <v>891</v>
      </c>
      <c r="E395" t="s">
        <v>251</v>
      </c>
      <c r="F395" t="s">
        <v>157</v>
      </c>
      <c r="H395">
        <v>0</v>
      </c>
      <c r="I395">
        <v>0</v>
      </c>
      <c r="J395">
        <v>10796</v>
      </c>
      <c r="L395" s="7"/>
    </row>
    <row r="396" spans="2:12" customFormat="1" x14ac:dyDescent="0.25">
      <c r="B396" t="s">
        <v>661</v>
      </c>
      <c r="C396" t="s">
        <v>55</v>
      </c>
      <c r="D396" t="s">
        <v>891</v>
      </c>
      <c r="E396" t="s">
        <v>252</v>
      </c>
      <c r="F396" t="s">
        <v>158</v>
      </c>
      <c r="H396">
        <v>0</v>
      </c>
      <c r="I396">
        <v>6134.78</v>
      </c>
      <c r="J396">
        <v>44761.68</v>
      </c>
      <c r="L396" s="7"/>
    </row>
    <row r="397" spans="2:12" customFormat="1" x14ac:dyDescent="0.25">
      <c r="B397" t="s">
        <v>661</v>
      </c>
      <c r="C397" t="s">
        <v>56</v>
      </c>
      <c r="D397" t="s">
        <v>891</v>
      </c>
      <c r="E397" t="s">
        <v>253</v>
      </c>
      <c r="F397" t="s">
        <v>159</v>
      </c>
      <c r="H397">
        <v>0</v>
      </c>
      <c r="I397">
        <v>2161.11</v>
      </c>
      <c r="J397">
        <v>15700.72</v>
      </c>
      <c r="L397" s="7"/>
    </row>
    <row r="398" spans="2:12" customFormat="1" x14ac:dyDescent="0.25">
      <c r="B398" t="s">
        <v>661</v>
      </c>
      <c r="C398" t="s">
        <v>57</v>
      </c>
      <c r="D398" t="s">
        <v>891</v>
      </c>
      <c r="E398" t="s">
        <v>254</v>
      </c>
      <c r="F398" t="s">
        <v>160</v>
      </c>
      <c r="H398">
        <v>0</v>
      </c>
      <c r="I398">
        <v>691.9</v>
      </c>
      <c r="J398">
        <v>4158.88</v>
      </c>
      <c r="L398" s="7"/>
    </row>
    <row r="399" spans="2:12" customFormat="1" x14ac:dyDescent="0.25">
      <c r="B399" t="s">
        <v>661</v>
      </c>
      <c r="C399" t="s">
        <v>58</v>
      </c>
      <c r="D399" t="s">
        <v>891</v>
      </c>
      <c r="E399" t="s">
        <v>255</v>
      </c>
      <c r="F399" t="s">
        <v>161</v>
      </c>
      <c r="H399">
        <v>0</v>
      </c>
      <c r="I399">
        <v>0</v>
      </c>
      <c r="J399">
        <v>5833.48</v>
      </c>
      <c r="L399" s="7"/>
    </row>
    <row r="400" spans="2:12" customFormat="1" x14ac:dyDescent="0.25">
      <c r="B400" t="s">
        <v>661</v>
      </c>
      <c r="C400" t="s">
        <v>59</v>
      </c>
      <c r="D400" t="s">
        <v>891</v>
      </c>
      <c r="E400" t="s">
        <v>256</v>
      </c>
      <c r="F400" t="s">
        <v>162</v>
      </c>
      <c r="H400">
        <v>0</v>
      </c>
      <c r="I400">
        <v>1191.6400000000001</v>
      </c>
      <c r="J400">
        <v>14053.72</v>
      </c>
      <c r="L400" s="7"/>
    </row>
    <row r="401" spans="2:12" customFormat="1" x14ac:dyDescent="0.25">
      <c r="B401" t="s">
        <v>661</v>
      </c>
      <c r="C401" t="s">
        <v>90</v>
      </c>
      <c r="D401" t="s">
        <v>891</v>
      </c>
      <c r="E401" t="s">
        <v>257</v>
      </c>
      <c r="F401" t="s">
        <v>163</v>
      </c>
      <c r="H401">
        <v>0</v>
      </c>
      <c r="I401">
        <v>3629.62</v>
      </c>
      <c r="J401">
        <v>17108.150000000001</v>
      </c>
      <c r="L401" s="7"/>
    </row>
    <row r="402" spans="2:12" customFormat="1" x14ac:dyDescent="0.25">
      <c r="B402" t="s">
        <v>661</v>
      </c>
      <c r="C402" t="s">
        <v>60</v>
      </c>
      <c r="D402" t="s">
        <v>891</v>
      </c>
      <c r="E402" t="s">
        <v>258</v>
      </c>
      <c r="F402" t="s">
        <v>164</v>
      </c>
      <c r="H402">
        <v>0</v>
      </c>
      <c r="I402">
        <v>731.96</v>
      </c>
      <c r="J402">
        <v>2344.91</v>
      </c>
      <c r="L402" s="7"/>
    </row>
    <row r="403" spans="2:12" customFormat="1" x14ac:dyDescent="0.25">
      <c r="B403" t="s">
        <v>661</v>
      </c>
      <c r="C403" t="s">
        <v>61</v>
      </c>
      <c r="D403" t="s">
        <v>891</v>
      </c>
      <c r="E403" t="s">
        <v>259</v>
      </c>
      <c r="F403" t="s">
        <v>165</v>
      </c>
      <c r="H403">
        <v>0</v>
      </c>
      <c r="I403">
        <v>493.14</v>
      </c>
      <c r="J403">
        <v>5482.4</v>
      </c>
      <c r="L403" s="7"/>
    </row>
    <row r="404" spans="2:12" customFormat="1" x14ac:dyDescent="0.25">
      <c r="B404" t="s">
        <v>661</v>
      </c>
      <c r="C404" t="s">
        <v>62</v>
      </c>
      <c r="D404" t="s">
        <v>891</v>
      </c>
      <c r="E404" t="s">
        <v>260</v>
      </c>
      <c r="F404" t="s">
        <v>166</v>
      </c>
      <c r="H404">
        <v>84.01</v>
      </c>
      <c r="I404">
        <v>135.79</v>
      </c>
      <c r="J404">
        <v>627.91</v>
      </c>
      <c r="L404" s="7"/>
    </row>
    <row r="405" spans="2:12" customFormat="1" x14ac:dyDescent="0.25">
      <c r="B405" t="s">
        <v>661</v>
      </c>
      <c r="C405" t="s">
        <v>207</v>
      </c>
      <c r="D405" t="s">
        <v>891</v>
      </c>
      <c r="E405" t="s">
        <v>299</v>
      </c>
      <c r="F405" t="s">
        <v>208</v>
      </c>
      <c r="H405">
        <v>0</v>
      </c>
      <c r="I405">
        <v>0</v>
      </c>
      <c r="J405">
        <v>-347.03</v>
      </c>
      <c r="L405" s="7"/>
    </row>
    <row r="406" spans="2:12" customFormat="1" x14ac:dyDescent="0.25">
      <c r="B406" t="s">
        <v>661</v>
      </c>
      <c r="C406" t="s">
        <v>63</v>
      </c>
      <c r="D406" t="s">
        <v>891</v>
      </c>
      <c r="E406" t="s">
        <v>261</v>
      </c>
      <c r="F406" t="s">
        <v>167</v>
      </c>
      <c r="H406">
        <v>0</v>
      </c>
      <c r="I406">
        <v>658.13</v>
      </c>
      <c r="J406">
        <v>3684.12</v>
      </c>
      <c r="L406" s="7"/>
    </row>
    <row r="407" spans="2:12" customFormat="1" x14ac:dyDescent="0.25">
      <c r="B407" t="s">
        <v>661</v>
      </c>
      <c r="C407" t="s">
        <v>92</v>
      </c>
      <c r="D407" t="s">
        <v>891</v>
      </c>
      <c r="E407" t="s">
        <v>263</v>
      </c>
      <c r="F407" t="s">
        <v>169</v>
      </c>
      <c r="H407">
        <v>0</v>
      </c>
      <c r="I407">
        <v>0</v>
      </c>
      <c r="J407">
        <v>-393.74</v>
      </c>
      <c r="L407" s="7"/>
    </row>
    <row r="408" spans="2:12" customFormat="1" x14ac:dyDescent="0.25">
      <c r="B408" t="s">
        <v>661</v>
      </c>
      <c r="C408" t="s">
        <v>93</v>
      </c>
      <c r="D408" t="s">
        <v>891</v>
      </c>
      <c r="E408" t="s">
        <v>264</v>
      </c>
      <c r="F408" t="s">
        <v>170</v>
      </c>
      <c r="H408">
        <v>0</v>
      </c>
      <c r="I408">
        <v>606</v>
      </c>
      <c r="J408">
        <v>606</v>
      </c>
      <c r="L408" s="7"/>
    </row>
    <row r="409" spans="2:12" customFormat="1" x14ac:dyDescent="0.25">
      <c r="B409" t="s">
        <v>661</v>
      </c>
      <c r="C409" t="s">
        <v>64</v>
      </c>
      <c r="D409" t="s">
        <v>891</v>
      </c>
      <c r="E409" t="s">
        <v>265</v>
      </c>
      <c r="F409" t="s">
        <v>171</v>
      </c>
      <c r="H409">
        <v>0</v>
      </c>
      <c r="I409">
        <v>703.87</v>
      </c>
      <c r="J409">
        <v>16499.330000000002</v>
      </c>
      <c r="L409" s="7"/>
    </row>
    <row r="410" spans="2:12" customFormat="1" x14ac:dyDescent="0.25">
      <c r="B410" t="s">
        <v>661</v>
      </c>
      <c r="C410" t="s">
        <v>94</v>
      </c>
      <c r="D410" t="s">
        <v>891</v>
      </c>
      <c r="E410" t="s">
        <v>266</v>
      </c>
      <c r="F410" t="s">
        <v>172</v>
      </c>
      <c r="H410">
        <v>0</v>
      </c>
      <c r="I410">
        <v>44.4</v>
      </c>
      <c r="J410">
        <v>1183.3499999999999</v>
      </c>
      <c r="L410" s="7"/>
    </row>
    <row r="411" spans="2:12" customFormat="1" x14ac:dyDescent="0.25">
      <c r="B411" t="s">
        <v>661</v>
      </c>
      <c r="C411" t="s">
        <v>95</v>
      </c>
      <c r="D411" t="s">
        <v>891</v>
      </c>
      <c r="E411" t="s">
        <v>267</v>
      </c>
      <c r="F411" t="s">
        <v>173</v>
      </c>
      <c r="H411">
        <v>0</v>
      </c>
      <c r="I411">
        <v>71.64</v>
      </c>
      <c r="J411">
        <v>1709.99</v>
      </c>
      <c r="L411" s="7"/>
    </row>
    <row r="412" spans="2:12" customFormat="1" x14ac:dyDescent="0.25">
      <c r="B412" t="s">
        <v>661</v>
      </c>
      <c r="C412" t="s">
        <v>96</v>
      </c>
      <c r="D412" t="s">
        <v>891</v>
      </c>
      <c r="E412" t="s">
        <v>268</v>
      </c>
      <c r="F412" t="s">
        <v>174</v>
      </c>
      <c r="H412">
        <v>0</v>
      </c>
      <c r="I412">
        <v>21.38</v>
      </c>
      <c r="J412">
        <v>311.14999999999998</v>
      </c>
      <c r="L412" s="7"/>
    </row>
    <row r="413" spans="2:12" customFormat="1" x14ac:dyDescent="0.25">
      <c r="B413" t="s">
        <v>661</v>
      </c>
      <c r="C413" t="s">
        <v>65</v>
      </c>
      <c r="D413" t="s">
        <v>891</v>
      </c>
      <c r="E413" t="s">
        <v>269</v>
      </c>
      <c r="F413" t="s">
        <v>175</v>
      </c>
      <c r="H413">
        <v>0</v>
      </c>
      <c r="I413">
        <v>4000</v>
      </c>
      <c r="J413">
        <v>13098.87</v>
      </c>
      <c r="L413" s="7"/>
    </row>
    <row r="414" spans="2:12" customFormat="1" x14ac:dyDescent="0.25">
      <c r="B414" t="s">
        <v>661</v>
      </c>
      <c r="C414" t="s">
        <v>97</v>
      </c>
      <c r="D414" t="s">
        <v>891</v>
      </c>
      <c r="E414" t="s">
        <v>270</v>
      </c>
      <c r="F414" t="s">
        <v>176</v>
      </c>
      <c r="H414">
        <v>0</v>
      </c>
      <c r="I414">
        <v>41.54</v>
      </c>
      <c r="J414">
        <v>156.54</v>
      </c>
      <c r="L414" s="7"/>
    </row>
    <row r="415" spans="2:12" customFormat="1" x14ac:dyDescent="0.25">
      <c r="B415" t="s">
        <v>661</v>
      </c>
      <c r="C415" t="s">
        <v>98</v>
      </c>
      <c r="D415" t="s">
        <v>891</v>
      </c>
      <c r="E415" t="s">
        <v>271</v>
      </c>
      <c r="F415" t="s">
        <v>177</v>
      </c>
      <c r="H415">
        <v>0</v>
      </c>
      <c r="I415">
        <v>24.88</v>
      </c>
      <c r="J415">
        <v>168.48</v>
      </c>
      <c r="L415" s="7"/>
    </row>
    <row r="416" spans="2:12" customFormat="1" x14ac:dyDescent="0.25">
      <c r="B416" t="s">
        <v>661</v>
      </c>
      <c r="C416" t="s">
        <v>66</v>
      </c>
      <c r="D416" t="s">
        <v>891</v>
      </c>
      <c r="E416" t="s">
        <v>272</v>
      </c>
      <c r="F416" t="s">
        <v>178</v>
      </c>
      <c r="H416">
        <v>0</v>
      </c>
      <c r="I416">
        <v>130</v>
      </c>
      <c r="J416">
        <v>650</v>
      </c>
      <c r="L416" s="7"/>
    </row>
    <row r="417" spans="2:12" customFormat="1" x14ac:dyDescent="0.25">
      <c r="B417" t="s">
        <v>661</v>
      </c>
      <c r="C417" t="s">
        <v>99</v>
      </c>
      <c r="D417" t="s">
        <v>891</v>
      </c>
      <c r="E417" t="s">
        <v>273</v>
      </c>
      <c r="F417" t="s">
        <v>179</v>
      </c>
      <c r="H417">
        <v>1800.4</v>
      </c>
      <c r="I417">
        <v>0</v>
      </c>
      <c r="J417">
        <v>0</v>
      </c>
      <c r="L417" s="7"/>
    </row>
    <row r="418" spans="2:12" customFormat="1" x14ac:dyDescent="0.25">
      <c r="B418" t="s">
        <v>661</v>
      </c>
      <c r="C418" t="s">
        <v>100</v>
      </c>
      <c r="D418" t="s">
        <v>891</v>
      </c>
      <c r="E418" t="s">
        <v>274</v>
      </c>
      <c r="F418" t="s">
        <v>180</v>
      </c>
      <c r="H418">
        <v>2004</v>
      </c>
      <c r="I418">
        <v>2494.19</v>
      </c>
      <c r="J418">
        <v>21653.26</v>
      </c>
      <c r="L418" s="7"/>
    </row>
    <row r="419" spans="2:12" customFormat="1" x14ac:dyDescent="0.25">
      <c r="B419" t="s">
        <v>661</v>
      </c>
      <c r="C419" t="s">
        <v>101</v>
      </c>
      <c r="D419" t="s">
        <v>891</v>
      </c>
      <c r="E419" t="s">
        <v>275</v>
      </c>
      <c r="F419" t="s">
        <v>181</v>
      </c>
      <c r="H419">
        <v>0</v>
      </c>
      <c r="I419">
        <v>290</v>
      </c>
      <c r="J419">
        <v>290</v>
      </c>
      <c r="L419" s="7"/>
    </row>
    <row r="420" spans="2:12" customFormat="1" x14ac:dyDescent="0.25">
      <c r="B420" t="s">
        <v>661</v>
      </c>
      <c r="C420" t="s">
        <v>102</v>
      </c>
      <c r="D420" t="s">
        <v>891</v>
      </c>
      <c r="E420" t="s">
        <v>277</v>
      </c>
      <c r="F420" t="s">
        <v>183</v>
      </c>
      <c r="H420">
        <v>0</v>
      </c>
      <c r="I420">
        <v>0</v>
      </c>
      <c r="J420">
        <v>6793.59</v>
      </c>
      <c r="L420" s="7"/>
    </row>
    <row r="421" spans="2:12" customFormat="1" x14ac:dyDescent="0.25">
      <c r="B421" t="s">
        <v>661</v>
      </c>
      <c r="C421" t="s">
        <v>103</v>
      </c>
      <c r="D421" t="s">
        <v>891</v>
      </c>
      <c r="E421" t="s">
        <v>278</v>
      </c>
      <c r="F421" t="s">
        <v>184</v>
      </c>
      <c r="H421">
        <v>0</v>
      </c>
      <c r="I421">
        <v>0</v>
      </c>
      <c r="J421">
        <v>285.5</v>
      </c>
      <c r="L421" s="7"/>
    </row>
    <row r="422" spans="2:12" customFormat="1" x14ac:dyDescent="0.25">
      <c r="B422" t="s">
        <v>661</v>
      </c>
      <c r="C422" t="s">
        <v>68</v>
      </c>
      <c r="D422" t="s">
        <v>891</v>
      </c>
      <c r="E422" t="s">
        <v>279</v>
      </c>
      <c r="F422" t="s">
        <v>185</v>
      </c>
      <c r="H422">
        <v>0</v>
      </c>
      <c r="I422">
        <v>369.75</v>
      </c>
      <c r="J422">
        <v>3828.1</v>
      </c>
      <c r="L422" s="7"/>
    </row>
    <row r="423" spans="2:12" customFormat="1" x14ac:dyDescent="0.25">
      <c r="B423" t="s">
        <v>661</v>
      </c>
      <c r="C423" t="s">
        <v>104</v>
      </c>
      <c r="D423" t="s">
        <v>891</v>
      </c>
      <c r="E423" t="s">
        <v>280</v>
      </c>
      <c r="F423" t="s">
        <v>186</v>
      </c>
      <c r="H423">
        <v>0</v>
      </c>
      <c r="I423">
        <v>1330</v>
      </c>
      <c r="J423">
        <v>3481</v>
      </c>
      <c r="L423" s="7"/>
    </row>
    <row r="424" spans="2:12" customFormat="1" x14ac:dyDescent="0.25">
      <c r="B424" t="s">
        <v>661</v>
      </c>
      <c r="C424" t="s">
        <v>105</v>
      </c>
      <c r="D424" t="s">
        <v>891</v>
      </c>
      <c r="E424" t="s">
        <v>281</v>
      </c>
      <c r="F424" t="s">
        <v>187</v>
      </c>
      <c r="H424">
        <v>0</v>
      </c>
      <c r="I424">
        <v>765.44</v>
      </c>
      <c r="J424">
        <v>3247.87</v>
      </c>
      <c r="L424" s="7"/>
    </row>
    <row r="425" spans="2:12" customFormat="1" x14ac:dyDescent="0.25">
      <c r="B425" t="s">
        <v>661</v>
      </c>
      <c r="C425" t="s">
        <v>106</v>
      </c>
      <c r="D425" t="s">
        <v>891</v>
      </c>
      <c r="E425" t="s">
        <v>282</v>
      </c>
      <c r="F425" t="s">
        <v>188</v>
      </c>
      <c r="H425">
        <v>0</v>
      </c>
      <c r="I425">
        <v>133.29</v>
      </c>
      <c r="J425">
        <v>877.68</v>
      </c>
      <c r="L425" s="7"/>
    </row>
    <row r="426" spans="2:12" customFormat="1" x14ac:dyDescent="0.25">
      <c r="B426" t="s">
        <v>661</v>
      </c>
      <c r="C426" t="s">
        <v>107</v>
      </c>
      <c r="D426" t="s">
        <v>891</v>
      </c>
      <c r="E426" t="s">
        <v>283</v>
      </c>
      <c r="F426" t="s">
        <v>189</v>
      </c>
      <c r="H426">
        <v>0</v>
      </c>
      <c r="I426">
        <v>0</v>
      </c>
      <c r="J426">
        <v>6703.7</v>
      </c>
      <c r="L426" s="7"/>
    </row>
    <row r="427" spans="2:12" customFormat="1" x14ac:dyDescent="0.25">
      <c r="B427" t="s">
        <v>661</v>
      </c>
      <c r="C427" t="s">
        <v>209</v>
      </c>
      <c r="D427" t="s">
        <v>891</v>
      </c>
      <c r="E427" t="s">
        <v>300</v>
      </c>
      <c r="F427" t="s">
        <v>210</v>
      </c>
      <c r="H427">
        <v>0</v>
      </c>
      <c r="I427">
        <v>396.7</v>
      </c>
      <c r="J427">
        <v>396.7</v>
      </c>
      <c r="L427" s="7"/>
    </row>
    <row r="428" spans="2:12" customFormat="1" x14ac:dyDescent="0.25">
      <c r="B428" t="s">
        <v>661</v>
      </c>
      <c r="C428" t="s">
        <v>69</v>
      </c>
      <c r="D428" t="s">
        <v>891</v>
      </c>
      <c r="E428" t="s">
        <v>284</v>
      </c>
      <c r="F428" t="s">
        <v>190</v>
      </c>
      <c r="H428">
        <v>0</v>
      </c>
      <c r="I428">
        <v>0</v>
      </c>
      <c r="J428">
        <v>188.71</v>
      </c>
      <c r="L428" s="7"/>
    </row>
    <row r="429" spans="2:12" customFormat="1" x14ac:dyDescent="0.25">
      <c r="B429" t="s">
        <v>661</v>
      </c>
      <c r="C429" t="s">
        <v>633</v>
      </c>
      <c r="D429" t="s">
        <v>891</v>
      </c>
      <c r="E429" t="s">
        <v>634</v>
      </c>
      <c r="F429" t="s">
        <v>635</v>
      </c>
      <c r="H429">
        <v>0</v>
      </c>
      <c r="I429">
        <v>0</v>
      </c>
      <c r="J429">
        <v>7803.29</v>
      </c>
      <c r="L429" s="7"/>
    </row>
    <row r="430" spans="2:12" customFormat="1" x14ac:dyDescent="0.25">
      <c r="B430" t="s">
        <v>661</v>
      </c>
      <c r="C430" t="s">
        <v>70</v>
      </c>
      <c r="D430" t="s">
        <v>891</v>
      </c>
      <c r="E430" t="s">
        <v>286</v>
      </c>
      <c r="F430" t="s">
        <v>192</v>
      </c>
      <c r="H430">
        <v>16558.45</v>
      </c>
      <c r="I430">
        <v>18858.45</v>
      </c>
      <c r="J430">
        <v>2623.7</v>
      </c>
      <c r="L430" s="7"/>
    </row>
    <row r="431" spans="2:12" customFormat="1" x14ac:dyDescent="0.25">
      <c r="B431" t="s">
        <v>661</v>
      </c>
      <c r="C431" t="s">
        <v>109</v>
      </c>
      <c r="D431" t="s">
        <v>891</v>
      </c>
      <c r="E431" t="s">
        <v>287</v>
      </c>
      <c r="F431" t="s">
        <v>193</v>
      </c>
      <c r="H431">
        <v>0</v>
      </c>
      <c r="I431">
        <v>3374.8</v>
      </c>
      <c r="J431">
        <v>8687.2000000000007</v>
      </c>
      <c r="L431" s="7"/>
    </row>
    <row r="432" spans="2:12" customFormat="1" x14ac:dyDescent="0.25">
      <c r="B432" t="s">
        <v>661</v>
      </c>
      <c r="C432" t="s">
        <v>110</v>
      </c>
      <c r="D432" t="s">
        <v>891</v>
      </c>
      <c r="E432" t="s">
        <v>288</v>
      </c>
      <c r="F432" t="s">
        <v>194</v>
      </c>
      <c r="H432">
        <v>0</v>
      </c>
      <c r="I432">
        <v>1563.63</v>
      </c>
      <c r="J432">
        <v>1963.63</v>
      </c>
      <c r="L432" s="7"/>
    </row>
    <row r="433" spans="2:12" customFormat="1" x14ac:dyDescent="0.25">
      <c r="B433" t="s">
        <v>661</v>
      </c>
      <c r="C433" t="s">
        <v>111</v>
      </c>
      <c r="D433" t="s">
        <v>891</v>
      </c>
      <c r="E433" t="s">
        <v>289</v>
      </c>
      <c r="F433" t="s">
        <v>195</v>
      </c>
      <c r="H433">
        <v>0</v>
      </c>
      <c r="I433">
        <v>0</v>
      </c>
      <c r="J433">
        <v>-84</v>
      </c>
      <c r="L433" s="7"/>
    </row>
    <row r="434" spans="2:12" customFormat="1" x14ac:dyDescent="0.25">
      <c r="B434" t="s">
        <v>661</v>
      </c>
      <c r="C434" t="s">
        <v>203</v>
      </c>
      <c r="D434" t="s">
        <v>891</v>
      </c>
      <c r="E434" t="s">
        <v>297</v>
      </c>
      <c r="F434" t="s">
        <v>204</v>
      </c>
      <c r="H434">
        <v>0</v>
      </c>
      <c r="I434">
        <v>0</v>
      </c>
      <c r="J434">
        <v>100</v>
      </c>
      <c r="L434" s="7"/>
    </row>
    <row r="435" spans="2:12" customFormat="1" x14ac:dyDescent="0.25">
      <c r="B435" t="s">
        <v>661</v>
      </c>
      <c r="C435" t="s">
        <v>71</v>
      </c>
      <c r="D435" t="s">
        <v>891</v>
      </c>
      <c r="E435" t="s">
        <v>291</v>
      </c>
      <c r="F435" t="s">
        <v>197</v>
      </c>
      <c r="H435">
        <v>0</v>
      </c>
      <c r="I435">
        <v>131.94999999999999</v>
      </c>
      <c r="J435">
        <v>2225.0100000000002</v>
      </c>
      <c r="L435" s="7"/>
    </row>
    <row r="436" spans="2:12" customFormat="1" x14ac:dyDescent="0.25">
      <c r="B436" t="s">
        <v>661</v>
      </c>
      <c r="C436" t="s">
        <v>72</v>
      </c>
      <c r="D436" t="s">
        <v>891</v>
      </c>
      <c r="E436" t="s">
        <v>292</v>
      </c>
      <c r="F436" t="s">
        <v>198</v>
      </c>
      <c r="H436">
        <v>0</v>
      </c>
      <c r="I436">
        <v>416.17</v>
      </c>
      <c r="J436">
        <v>2313.59</v>
      </c>
      <c r="L436" s="7"/>
    </row>
    <row r="437" spans="2:12" customFormat="1" x14ac:dyDescent="0.25">
      <c r="B437" t="s">
        <v>661</v>
      </c>
      <c r="C437" t="s">
        <v>73</v>
      </c>
      <c r="D437" t="s">
        <v>891</v>
      </c>
      <c r="E437" t="s">
        <v>293</v>
      </c>
      <c r="F437" t="s">
        <v>199</v>
      </c>
      <c r="H437">
        <v>0</v>
      </c>
      <c r="I437">
        <v>112.14</v>
      </c>
      <c r="J437">
        <v>276.14999999999998</v>
      </c>
      <c r="L437" s="7"/>
    </row>
    <row r="438" spans="2:12" customFormat="1" x14ac:dyDescent="0.25">
      <c r="B438" t="s">
        <v>661</v>
      </c>
      <c r="C438" t="s">
        <v>74</v>
      </c>
      <c r="D438" t="s">
        <v>891</v>
      </c>
      <c r="E438" t="s">
        <v>294</v>
      </c>
      <c r="F438" t="s">
        <v>200</v>
      </c>
      <c r="H438">
        <v>0</v>
      </c>
      <c r="I438">
        <v>385.91</v>
      </c>
      <c r="J438">
        <v>4195.43</v>
      </c>
      <c r="L438" s="7"/>
    </row>
    <row r="439" spans="2:12" customFormat="1" x14ac:dyDescent="0.25">
      <c r="B439" t="s">
        <v>662</v>
      </c>
      <c r="C439" t="s">
        <v>30</v>
      </c>
      <c r="D439" t="s">
        <v>891</v>
      </c>
      <c r="E439" t="s">
        <v>215</v>
      </c>
      <c r="F439" t="s">
        <v>120</v>
      </c>
      <c r="H439">
        <v>4872478.3899999997</v>
      </c>
      <c r="I439">
        <v>5013744.08</v>
      </c>
      <c r="J439">
        <v>141266.69</v>
      </c>
      <c r="L439" s="7"/>
    </row>
    <row r="440" spans="2:12" customFormat="1" x14ac:dyDescent="0.25">
      <c r="B440" t="s">
        <v>662</v>
      </c>
      <c r="C440" t="s">
        <v>663</v>
      </c>
      <c r="D440" t="s">
        <v>891</v>
      </c>
      <c r="E440" t="s">
        <v>664</v>
      </c>
      <c r="F440" t="s">
        <v>665</v>
      </c>
      <c r="H440">
        <v>2229047.91</v>
      </c>
      <c r="I440">
        <v>1140623.07</v>
      </c>
      <c r="J440">
        <v>2097717.9500000002</v>
      </c>
      <c r="L440" s="7"/>
    </row>
    <row r="441" spans="2:12" customFormat="1" x14ac:dyDescent="0.25">
      <c r="B441" t="s">
        <v>662</v>
      </c>
      <c r="C441" t="s">
        <v>449</v>
      </c>
      <c r="D441" t="s">
        <v>891</v>
      </c>
      <c r="E441" t="s">
        <v>450</v>
      </c>
      <c r="F441" t="s">
        <v>451</v>
      </c>
      <c r="H441">
        <v>92770.69</v>
      </c>
      <c r="I441">
        <v>0</v>
      </c>
      <c r="J441">
        <v>-684599.98</v>
      </c>
      <c r="L441" s="7"/>
    </row>
    <row r="442" spans="2:12" customFormat="1" x14ac:dyDescent="0.25">
      <c r="B442" t="s">
        <v>662</v>
      </c>
      <c r="C442" t="s">
        <v>31</v>
      </c>
      <c r="D442" t="s">
        <v>891</v>
      </c>
      <c r="E442" t="s">
        <v>217</v>
      </c>
      <c r="F442" t="s">
        <v>122</v>
      </c>
      <c r="H442">
        <v>8563.9699999999993</v>
      </c>
      <c r="I442">
        <v>0</v>
      </c>
      <c r="J442">
        <v>-8563.9699999999993</v>
      </c>
      <c r="L442" s="7"/>
    </row>
    <row r="443" spans="2:12" customFormat="1" x14ac:dyDescent="0.25">
      <c r="B443" t="s">
        <v>662</v>
      </c>
      <c r="C443" t="s">
        <v>32</v>
      </c>
      <c r="D443" t="s">
        <v>891</v>
      </c>
      <c r="E443" t="s">
        <v>218</v>
      </c>
      <c r="F443" t="s">
        <v>123</v>
      </c>
      <c r="H443">
        <v>0</v>
      </c>
      <c r="I443">
        <v>0</v>
      </c>
      <c r="J443">
        <v>580932.11</v>
      </c>
      <c r="L443" s="7"/>
    </row>
    <row r="444" spans="2:12" customFormat="1" x14ac:dyDescent="0.25">
      <c r="B444" t="s">
        <v>662</v>
      </c>
      <c r="C444" t="s">
        <v>666</v>
      </c>
      <c r="D444" t="s">
        <v>891</v>
      </c>
      <c r="E444" t="s">
        <v>667</v>
      </c>
      <c r="F444" t="s">
        <v>668</v>
      </c>
      <c r="H444">
        <v>0</v>
      </c>
      <c r="I444">
        <v>0</v>
      </c>
      <c r="J444">
        <v>1196710.23</v>
      </c>
      <c r="L444" s="7"/>
    </row>
    <row r="445" spans="2:12" customFormat="1" x14ac:dyDescent="0.25">
      <c r="B445" t="s">
        <v>662</v>
      </c>
      <c r="C445" t="s">
        <v>669</v>
      </c>
      <c r="D445" t="s">
        <v>891</v>
      </c>
      <c r="E445" t="s">
        <v>670</v>
      </c>
      <c r="F445" t="s">
        <v>671</v>
      </c>
      <c r="H445">
        <v>1344559.69</v>
      </c>
      <c r="I445">
        <v>1353403.82</v>
      </c>
      <c r="J445">
        <v>1353403.82</v>
      </c>
      <c r="L445" s="7"/>
    </row>
    <row r="446" spans="2:12" customFormat="1" x14ac:dyDescent="0.25">
      <c r="B446" t="s">
        <v>662</v>
      </c>
      <c r="C446" t="s">
        <v>301</v>
      </c>
      <c r="D446" t="s">
        <v>891</v>
      </c>
      <c r="E446" t="s">
        <v>302</v>
      </c>
      <c r="F446" t="s">
        <v>303</v>
      </c>
      <c r="H446">
        <v>91222.399999999994</v>
      </c>
      <c r="I446">
        <v>100974.37</v>
      </c>
      <c r="J446">
        <v>9751.9699999999993</v>
      </c>
      <c r="L446" s="7"/>
    </row>
    <row r="447" spans="2:12" customFormat="1" x14ac:dyDescent="0.25">
      <c r="B447" t="s">
        <v>662</v>
      </c>
      <c r="C447" t="s">
        <v>648</v>
      </c>
      <c r="D447" t="s">
        <v>891</v>
      </c>
      <c r="E447" t="s">
        <v>649</v>
      </c>
      <c r="F447" t="s">
        <v>650</v>
      </c>
      <c r="H447">
        <v>0</v>
      </c>
      <c r="I447">
        <v>4725</v>
      </c>
      <c r="J447">
        <v>4725</v>
      </c>
      <c r="L447" s="7"/>
    </row>
    <row r="448" spans="2:12" customFormat="1" x14ac:dyDescent="0.25">
      <c r="B448" t="s">
        <v>662</v>
      </c>
      <c r="C448" t="s">
        <v>521</v>
      </c>
      <c r="D448" t="s">
        <v>891</v>
      </c>
      <c r="E448" t="s">
        <v>522</v>
      </c>
      <c r="F448" t="s">
        <v>523</v>
      </c>
      <c r="H448">
        <v>0</v>
      </c>
      <c r="I448">
        <v>115691.5</v>
      </c>
      <c r="J448">
        <v>115691.5</v>
      </c>
      <c r="L448" s="7"/>
    </row>
    <row r="449" spans="2:12" customFormat="1" x14ac:dyDescent="0.25">
      <c r="B449" t="s">
        <v>662</v>
      </c>
      <c r="C449" t="s">
        <v>672</v>
      </c>
      <c r="D449" t="s">
        <v>891</v>
      </c>
      <c r="E449" t="s">
        <v>673</v>
      </c>
      <c r="F449" t="s">
        <v>674</v>
      </c>
      <c r="H449">
        <v>895119.07</v>
      </c>
      <c r="I449">
        <v>0</v>
      </c>
      <c r="J449">
        <v>85480052.310000002</v>
      </c>
      <c r="L449" s="7"/>
    </row>
    <row r="450" spans="2:12" customFormat="1" x14ac:dyDescent="0.25">
      <c r="B450" t="s">
        <v>662</v>
      </c>
      <c r="C450" t="s">
        <v>35</v>
      </c>
      <c r="D450" t="s">
        <v>891</v>
      </c>
      <c r="E450" t="s">
        <v>221</v>
      </c>
      <c r="F450" t="s">
        <v>127</v>
      </c>
      <c r="H450">
        <v>0</v>
      </c>
      <c r="I450">
        <v>0</v>
      </c>
      <c r="J450">
        <v>93.58</v>
      </c>
      <c r="L450" s="7"/>
    </row>
    <row r="451" spans="2:12" customFormat="1" x14ac:dyDescent="0.25">
      <c r="B451" t="s">
        <v>662</v>
      </c>
      <c r="C451" t="s">
        <v>36</v>
      </c>
      <c r="D451" t="s">
        <v>891</v>
      </c>
      <c r="E451" t="s">
        <v>222</v>
      </c>
      <c r="F451" t="s">
        <v>128</v>
      </c>
      <c r="H451">
        <v>0</v>
      </c>
      <c r="I451">
        <v>0</v>
      </c>
      <c r="J451">
        <v>17382.03</v>
      </c>
      <c r="L451" s="7"/>
    </row>
    <row r="452" spans="2:12" customFormat="1" x14ac:dyDescent="0.25">
      <c r="B452" t="s">
        <v>662</v>
      </c>
      <c r="C452" t="s">
        <v>37</v>
      </c>
      <c r="D452" t="s">
        <v>891</v>
      </c>
      <c r="E452" t="s">
        <v>223</v>
      </c>
      <c r="F452" t="s">
        <v>129</v>
      </c>
      <c r="H452">
        <v>0</v>
      </c>
      <c r="I452">
        <v>0</v>
      </c>
      <c r="J452">
        <v>80062.64</v>
      </c>
      <c r="L452" s="7"/>
    </row>
    <row r="453" spans="2:12" customFormat="1" x14ac:dyDescent="0.25">
      <c r="B453" t="s">
        <v>662</v>
      </c>
      <c r="C453" t="s">
        <v>540</v>
      </c>
      <c r="D453" t="s">
        <v>891</v>
      </c>
      <c r="E453" t="s">
        <v>541</v>
      </c>
      <c r="F453" t="s">
        <v>542</v>
      </c>
      <c r="H453">
        <v>0</v>
      </c>
      <c r="I453">
        <v>0</v>
      </c>
      <c r="J453">
        <v>1091.6300000000001</v>
      </c>
      <c r="L453" s="7"/>
    </row>
    <row r="454" spans="2:12" customFormat="1" x14ac:dyDescent="0.25">
      <c r="B454" t="s">
        <v>662</v>
      </c>
      <c r="C454" t="s">
        <v>675</v>
      </c>
      <c r="D454" t="s">
        <v>891</v>
      </c>
      <c r="E454" t="s">
        <v>676</v>
      </c>
      <c r="F454" t="s">
        <v>677</v>
      </c>
      <c r="H454">
        <v>0</v>
      </c>
      <c r="I454">
        <v>0</v>
      </c>
      <c r="J454">
        <v>22.5</v>
      </c>
      <c r="L454" s="7"/>
    </row>
    <row r="455" spans="2:12" customFormat="1" x14ac:dyDescent="0.25">
      <c r="B455" t="s">
        <v>662</v>
      </c>
      <c r="C455" t="s">
        <v>413</v>
      </c>
      <c r="D455" t="s">
        <v>891</v>
      </c>
      <c r="E455" t="s">
        <v>414</v>
      </c>
      <c r="F455" t="s">
        <v>415</v>
      </c>
      <c r="H455">
        <v>0</v>
      </c>
      <c r="I455">
        <v>0</v>
      </c>
      <c r="J455">
        <v>9768.44</v>
      </c>
      <c r="L455" s="7"/>
    </row>
    <row r="456" spans="2:12" customFormat="1" x14ac:dyDescent="0.25">
      <c r="B456" t="s">
        <v>662</v>
      </c>
      <c r="C456" t="s">
        <v>543</v>
      </c>
      <c r="D456" t="s">
        <v>891</v>
      </c>
      <c r="E456" t="s">
        <v>544</v>
      </c>
      <c r="F456" t="s">
        <v>126</v>
      </c>
      <c r="H456">
        <v>0</v>
      </c>
      <c r="I456">
        <v>0</v>
      </c>
      <c r="J456">
        <v>3839.16</v>
      </c>
      <c r="L456" s="7"/>
    </row>
    <row r="457" spans="2:12" customFormat="1" x14ac:dyDescent="0.25">
      <c r="B457" t="s">
        <v>662</v>
      </c>
      <c r="C457" t="s">
        <v>38</v>
      </c>
      <c r="D457" t="s">
        <v>891</v>
      </c>
      <c r="E457" t="s">
        <v>224</v>
      </c>
      <c r="F457" t="s">
        <v>130</v>
      </c>
      <c r="H457">
        <v>200.04</v>
      </c>
      <c r="I457">
        <v>9378.5499999999993</v>
      </c>
      <c r="J457">
        <v>75670.259999999995</v>
      </c>
      <c r="L457" s="7"/>
    </row>
    <row r="458" spans="2:12" customFormat="1" x14ac:dyDescent="0.25">
      <c r="B458" t="s">
        <v>662</v>
      </c>
      <c r="C458" t="s">
        <v>678</v>
      </c>
      <c r="D458" t="s">
        <v>891</v>
      </c>
      <c r="E458" t="s">
        <v>679</v>
      </c>
      <c r="F458" t="s">
        <v>680</v>
      </c>
      <c r="H458">
        <v>16812.21</v>
      </c>
      <c r="I458">
        <v>20312.52</v>
      </c>
      <c r="J458">
        <v>33279.769999999997</v>
      </c>
      <c r="L458" s="7"/>
    </row>
    <row r="459" spans="2:12" customFormat="1" x14ac:dyDescent="0.25">
      <c r="B459" t="s">
        <v>662</v>
      </c>
      <c r="C459" t="s">
        <v>681</v>
      </c>
      <c r="D459" t="s">
        <v>891</v>
      </c>
      <c r="E459" t="s">
        <v>682</v>
      </c>
      <c r="F459" t="s">
        <v>683</v>
      </c>
      <c r="H459">
        <v>18312.8</v>
      </c>
      <c r="I459">
        <v>329630.31</v>
      </c>
      <c r="J459">
        <v>311317.51</v>
      </c>
      <c r="L459" s="7"/>
    </row>
    <row r="460" spans="2:12" customFormat="1" x14ac:dyDescent="0.25">
      <c r="B460" t="s">
        <v>662</v>
      </c>
      <c r="C460" t="s">
        <v>452</v>
      </c>
      <c r="D460" t="s">
        <v>891</v>
      </c>
      <c r="E460" t="s">
        <v>453</v>
      </c>
      <c r="F460" t="s">
        <v>454</v>
      </c>
      <c r="H460">
        <v>0</v>
      </c>
      <c r="I460">
        <v>0</v>
      </c>
      <c r="J460">
        <v>125169.52</v>
      </c>
      <c r="L460" s="7"/>
    </row>
    <row r="461" spans="2:12" customFormat="1" x14ac:dyDescent="0.25">
      <c r="B461" t="s">
        <v>662</v>
      </c>
      <c r="C461" t="s">
        <v>362</v>
      </c>
      <c r="D461" t="s">
        <v>891</v>
      </c>
      <c r="E461" t="s">
        <v>363</v>
      </c>
      <c r="F461" t="s">
        <v>364</v>
      </c>
      <c r="H461">
        <v>0</v>
      </c>
      <c r="I461">
        <v>0</v>
      </c>
      <c r="J461">
        <v>-900000</v>
      </c>
      <c r="L461" s="7"/>
    </row>
    <row r="462" spans="2:12" customFormat="1" x14ac:dyDescent="0.25">
      <c r="B462" t="s">
        <v>662</v>
      </c>
      <c r="C462" t="s">
        <v>684</v>
      </c>
      <c r="D462" t="s">
        <v>891</v>
      </c>
      <c r="E462" t="s">
        <v>685</v>
      </c>
      <c r="F462" t="s">
        <v>686</v>
      </c>
      <c r="H462">
        <v>3087.04</v>
      </c>
      <c r="I462">
        <v>0</v>
      </c>
      <c r="J462">
        <v>968112.35</v>
      </c>
      <c r="L462" s="7"/>
    </row>
    <row r="463" spans="2:12" customFormat="1" x14ac:dyDescent="0.25">
      <c r="B463" t="s">
        <v>662</v>
      </c>
      <c r="C463" t="s">
        <v>687</v>
      </c>
      <c r="D463" t="s">
        <v>891</v>
      </c>
      <c r="E463" t="s">
        <v>688</v>
      </c>
      <c r="F463" t="s">
        <v>689</v>
      </c>
      <c r="H463">
        <v>246388.03</v>
      </c>
      <c r="I463">
        <v>0</v>
      </c>
      <c r="J463">
        <v>78743.509999999995</v>
      </c>
      <c r="L463" s="7"/>
    </row>
    <row r="464" spans="2:12" customFormat="1" x14ac:dyDescent="0.25">
      <c r="B464" t="s">
        <v>662</v>
      </c>
      <c r="C464" t="s">
        <v>690</v>
      </c>
      <c r="D464" t="s">
        <v>891</v>
      </c>
      <c r="E464" t="s">
        <v>691</v>
      </c>
      <c r="F464" t="s">
        <v>692</v>
      </c>
      <c r="H464">
        <v>5231.28</v>
      </c>
      <c r="I464">
        <v>0</v>
      </c>
      <c r="J464">
        <v>869552.22</v>
      </c>
      <c r="L464" s="7"/>
    </row>
    <row r="465" spans="2:12" customFormat="1" x14ac:dyDescent="0.25">
      <c r="B465" t="s">
        <v>662</v>
      </c>
      <c r="C465" t="s">
        <v>693</v>
      </c>
      <c r="D465" t="s">
        <v>891</v>
      </c>
      <c r="E465" t="s">
        <v>694</v>
      </c>
      <c r="F465" t="s">
        <v>695</v>
      </c>
      <c r="H465">
        <v>0</v>
      </c>
      <c r="I465">
        <v>3293.86</v>
      </c>
      <c r="J465">
        <v>551226.37</v>
      </c>
      <c r="L465" s="7"/>
    </row>
    <row r="466" spans="2:12" customFormat="1" x14ac:dyDescent="0.25">
      <c r="B466" t="s">
        <v>662</v>
      </c>
      <c r="C466" t="s">
        <v>696</v>
      </c>
      <c r="D466" t="s">
        <v>891</v>
      </c>
      <c r="E466" t="s">
        <v>697</v>
      </c>
      <c r="F466" t="s">
        <v>698</v>
      </c>
      <c r="H466">
        <v>0</v>
      </c>
      <c r="I466">
        <v>10146.68</v>
      </c>
      <c r="J466">
        <v>800668.94</v>
      </c>
      <c r="L466" s="7"/>
    </row>
    <row r="467" spans="2:12" customFormat="1" x14ac:dyDescent="0.25">
      <c r="B467" t="s">
        <v>662</v>
      </c>
      <c r="C467" t="s">
        <v>699</v>
      </c>
      <c r="D467" t="s">
        <v>891</v>
      </c>
      <c r="E467" t="s">
        <v>700</v>
      </c>
      <c r="F467" t="s">
        <v>701</v>
      </c>
      <c r="H467">
        <v>0</v>
      </c>
      <c r="I467">
        <v>24805.45</v>
      </c>
      <c r="J467">
        <v>853620.41</v>
      </c>
      <c r="L467" s="7"/>
    </row>
    <row r="468" spans="2:12" customFormat="1" x14ac:dyDescent="0.25">
      <c r="B468" t="s">
        <v>662</v>
      </c>
      <c r="C468" t="s">
        <v>702</v>
      </c>
      <c r="D468" t="s">
        <v>891</v>
      </c>
      <c r="E468" t="s">
        <v>703</v>
      </c>
      <c r="F468" t="s">
        <v>704</v>
      </c>
      <c r="H468">
        <v>0</v>
      </c>
      <c r="I468">
        <v>2222.19</v>
      </c>
      <c r="J468">
        <v>1111400.04</v>
      </c>
      <c r="L468" s="7"/>
    </row>
    <row r="469" spans="2:12" customFormat="1" x14ac:dyDescent="0.25">
      <c r="B469" t="s">
        <v>662</v>
      </c>
      <c r="C469" t="s">
        <v>705</v>
      </c>
      <c r="D469" t="s">
        <v>891</v>
      </c>
      <c r="E469" t="s">
        <v>706</v>
      </c>
      <c r="F469" t="s">
        <v>707</v>
      </c>
      <c r="H469">
        <v>563147.85</v>
      </c>
      <c r="I469">
        <v>0</v>
      </c>
      <c r="J469">
        <v>348419.62</v>
      </c>
      <c r="L469" s="7"/>
    </row>
    <row r="470" spans="2:12" customFormat="1" x14ac:dyDescent="0.25">
      <c r="B470" t="s">
        <v>662</v>
      </c>
      <c r="C470" t="s">
        <v>708</v>
      </c>
      <c r="D470" t="s">
        <v>891</v>
      </c>
      <c r="E470" t="s">
        <v>709</v>
      </c>
      <c r="F470" t="s">
        <v>710</v>
      </c>
      <c r="H470">
        <v>263327.33</v>
      </c>
      <c r="I470">
        <v>0</v>
      </c>
      <c r="J470">
        <v>242087.94</v>
      </c>
      <c r="L470" s="7"/>
    </row>
    <row r="471" spans="2:12" customFormat="1" x14ac:dyDescent="0.25">
      <c r="B471" t="s">
        <v>662</v>
      </c>
      <c r="C471" t="s">
        <v>711</v>
      </c>
      <c r="D471" t="s">
        <v>891</v>
      </c>
      <c r="E471" t="s">
        <v>712</v>
      </c>
      <c r="F471" t="s">
        <v>713</v>
      </c>
      <c r="H471">
        <v>0</v>
      </c>
      <c r="I471">
        <v>33455.660000000003</v>
      </c>
      <c r="J471">
        <v>813650.62</v>
      </c>
      <c r="L471" s="7"/>
    </row>
    <row r="472" spans="2:12" customFormat="1" x14ac:dyDescent="0.25">
      <c r="B472" t="s">
        <v>662</v>
      </c>
      <c r="C472" t="s">
        <v>714</v>
      </c>
      <c r="D472" t="s">
        <v>891</v>
      </c>
      <c r="E472" t="s">
        <v>715</v>
      </c>
      <c r="F472" t="s">
        <v>876</v>
      </c>
      <c r="H472">
        <v>28910.1</v>
      </c>
      <c r="I472">
        <v>59000</v>
      </c>
      <c r="J472">
        <v>693905.92000000004</v>
      </c>
      <c r="L472" s="7"/>
    </row>
    <row r="473" spans="2:12" customFormat="1" x14ac:dyDescent="0.25">
      <c r="B473" t="s">
        <v>662</v>
      </c>
      <c r="C473" t="s">
        <v>716</v>
      </c>
      <c r="D473" t="s">
        <v>891</v>
      </c>
      <c r="E473" t="s">
        <v>717</v>
      </c>
      <c r="F473" t="s">
        <v>718</v>
      </c>
      <c r="H473">
        <v>1325.21</v>
      </c>
      <c r="I473">
        <v>13500</v>
      </c>
      <c r="J473">
        <v>14295.24</v>
      </c>
      <c r="L473" s="7"/>
    </row>
    <row r="474" spans="2:12" customFormat="1" x14ac:dyDescent="0.25">
      <c r="B474" t="s">
        <v>662</v>
      </c>
      <c r="C474" t="s">
        <v>719</v>
      </c>
      <c r="D474" t="s">
        <v>891</v>
      </c>
      <c r="E474" t="s">
        <v>720</v>
      </c>
      <c r="F474" t="s">
        <v>721</v>
      </c>
      <c r="H474">
        <v>46166.81</v>
      </c>
      <c r="I474">
        <v>0</v>
      </c>
      <c r="J474">
        <v>742548.49</v>
      </c>
      <c r="L474" s="7"/>
    </row>
    <row r="475" spans="2:12" customFormat="1" x14ac:dyDescent="0.25">
      <c r="B475" t="s">
        <v>662</v>
      </c>
      <c r="C475" t="s">
        <v>722</v>
      </c>
      <c r="D475" t="s">
        <v>891</v>
      </c>
      <c r="E475" t="s">
        <v>723</v>
      </c>
      <c r="F475" t="s">
        <v>724</v>
      </c>
      <c r="H475">
        <v>0</v>
      </c>
      <c r="I475">
        <v>168925.61</v>
      </c>
      <c r="J475">
        <v>880086.36</v>
      </c>
      <c r="L475" s="7"/>
    </row>
    <row r="476" spans="2:12" customFormat="1" x14ac:dyDescent="0.25">
      <c r="B476" t="s">
        <v>662</v>
      </c>
      <c r="C476" t="s">
        <v>725</v>
      </c>
      <c r="D476" t="s">
        <v>891</v>
      </c>
      <c r="E476" t="s">
        <v>726</v>
      </c>
      <c r="F476" t="s">
        <v>727</v>
      </c>
      <c r="H476">
        <v>19444.64</v>
      </c>
      <c r="I476">
        <v>0</v>
      </c>
      <c r="J476">
        <v>596988.52</v>
      </c>
      <c r="L476" s="7"/>
    </row>
    <row r="477" spans="2:12" customFormat="1" x14ac:dyDescent="0.25">
      <c r="B477" t="s">
        <v>662</v>
      </c>
      <c r="C477" t="s">
        <v>877</v>
      </c>
      <c r="D477" t="s">
        <v>891</v>
      </c>
      <c r="E477" t="s">
        <v>878</v>
      </c>
      <c r="F477" t="s">
        <v>879</v>
      </c>
      <c r="H477">
        <v>6155.86</v>
      </c>
      <c r="I477">
        <v>0</v>
      </c>
      <c r="J477">
        <v>0</v>
      </c>
      <c r="L477" s="7"/>
    </row>
    <row r="478" spans="2:12" customFormat="1" x14ac:dyDescent="0.25">
      <c r="B478" t="s">
        <v>662</v>
      </c>
      <c r="C478" t="s">
        <v>728</v>
      </c>
      <c r="D478" t="s">
        <v>891</v>
      </c>
      <c r="E478" t="s">
        <v>729</v>
      </c>
      <c r="F478" t="s">
        <v>730</v>
      </c>
      <c r="H478">
        <v>5375.61</v>
      </c>
      <c r="I478">
        <v>31000</v>
      </c>
      <c r="J478">
        <v>229050.03</v>
      </c>
      <c r="L478" s="7"/>
    </row>
    <row r="479" spans="2:12" customFormat="1" x14ac:dyDescent="0.25">
      <c r="B479" t="s">
        <v>662</v>
      </c>
      <c r="C479" t="s">
        <v>731</v>
      </c>
      <c r="D479" t="s">
        <v>891</v>
      </c>
      <c r="E479" t="s">
        <v>732</v>
      </c>
      <c r="F479" t="s">
        <v>733</v>
      </c>
      <c r="H479">
        <v>81745.56</v>
      </c>
      <c r="I479">
        <v>0</v>
      </c>
      <c r="J479">
        <v>183260.89</v>
      </c>
      <c r="L479" s="7"/>
    </row>
    <row r="480" spans="2:12" customFormat="1" x14ac:dyDescent="0.25">
      <c r="B480" t="s">
        <v>662</v>
      </c>
      <c r="C480" t="s">
        <v>734</v>
      </c>
      <c r="D480" t="s">
        <v>891</v>
      </c>
      <c r="E480" t="s">
        <v>735</v>
      </c>
      <c r="F480" t="s">
        <v>736</v>
      </c>
      <c r="H480">
        <v>37377.79</v>
      </c>
      <c r="I480">
        <v>86000</v>
      </c>
      <c r="J480">
        <v>113774.49</v>
      </c>
      <c r="L480" s="7"/>
    </row>
    <row r="481" spans="2:12" customFormat="1" x14ac:dyDescent="0.25">
      <c r="B481" t="s">
        <v>662</v>
      </c>
      <c r="C481" t="s">
        <v>737</v>
      </c>
      <c r="D481" t="s">
        <v>891</v>
      </c>
      <c r="E481" t="s">
        <v>738</v>
      </c>
      <c r="F481" t="s">
        <v>739</v>
      </c>
      <c r="H481">
        <v>20716.98</v>
      </c>
      <c r="I481">
        <v>0</v>
      </c>
      <c r="J481">
        <v>100019.03</v>
      </c>
      <c r="L481" s="7"/>
    </row>
    <row r="482" spans="2:12" customFormat="1" x14ac:dyDescent="0.25">
      <c r="B482" t="s">
        <v>662</v>
      </c>
      <c r="C482" t="s">
        <v>740</v>
      </c>
      <c r="D482" t="s">
        <v>891</v>
      </c>
      <c r="E482" t="s">
        <v>741</v>
      </c>
      <c r="F482" t="s">
        <v>742</v>
      </c>
      <c r="H482">
        <v>30724.66</v>
      </c>
      <c r="I482">
        <v>0</v>
      </c>
      <c r="J482">
        <v>3767.08</v>
      </c>
      <c r="L482" s="7"/>
    </row>
    <row r="483" spans="2:12" customFormat="1" x14ac:dyDescent="0.25">
      <c r="B483" t="s">
        <v>662</v>
      </c>
      <c r="C483" t="s">
        <v>743</v>
      </c>
      <c r="D483" t="s">
        <v>891</v>
      </c>
      <c r="E483" t="s">
        <v>744</v>
      </c>
      <c r="F483" t="s">
        <v>745</v>
      </c>
      <c r="H483">
        <v>22468.01</v>
      </c>
      <c r="I483">
        <v>5000</v>
      </c>
      <c r="J483">
        <v>146187.48000000001</v>
      </c>
      <c r="L483" s="7"/>
    </row>
    <row r="484" spans="2:12" customFormat="1" x14ac:dyDescent="0.25">
      <c r="B484" t="s">
        <v>662</v>
      </c>
      <c r="C484" t="s">
        <v>746</v>
      </c>
      <c r="D484" t="s">
        <v>891</v>
      </c>
      <c r="E484" t="s">
        <v>747</v>
      </c>
      <c r="F484" t="s">
        <v>748</v>
      </c>
      <c r="H484">
        <v>0</v>
      </c>
      <c r="I484">
        <v>1382468.82</v>
      </c>
      <c r="J484">
        <v>1664347.73</v>
      </c>
      <c r="L484" s="7"/>
    </row>
    <row r="485" spans="2:12" customFormat="1" x14ac:dyDescent="0.25">
      <c r="B485" t="s">
        <v>662</v>
      </c>
      <c r="C485" t="s">
        <v>749</v>
      </c>
      <c r="D485" t="s">
        <v>891</v>
      </c>
      <c r="E485" t="s">
        <v>750</v>
      </c>
      <c r="F485" t="s">
        <v>751</v>
      </c>
      <c r="H485">
        <v>0</v>
      </c>
      <c r="I485">
        <v>22064</v>
      </c>
      <c r="J485">
        <v>3538513.97</v>
      </c>
      <c r="L485" s="7"/>
    </row>
    <row r="486" spans="2:12" customFormat="1" x14ac:dyDescent="0.25">
      <c r="B486" t="s">
        <v>662</v>
      </c>
      <c r="C486" t="s">
        <v>752</v>
      </c>
      <c r="D486" t="s">
        <v>891</v>
      </c>
      <c r="E486" t="s">
        <v>753</v>
      </c>
      <c r="F486" t="s">
        <v>754</v>
      </c>
      <c r="H486">
        <v>0</v>
      </c>
      <c r="I486">
        <v>199443.84</v>
      </c>
      <c r="J486">
        <v>2123665.9900000002</v>
      </c>
      <c r="L486" s="7"/>
    </row>
    <row r="487" spans="2:12" customFormat="1" x14ac:dyDescent="0.25">
      <c r="B487" t="s">
        <v>662</v>
      </c>
      <c r="C487" t="s">
        <v>755</v>
      </c>
      <c r="D487" t="s">
        <v>891</v>
      </c>
      <c r="E487" t="s">
        <v>756</v>
      </c>
      <c r="F487" t="s">
        <v>757</v>
      </c>
      <c r="H487">
        <v>1000</v>
      </c>
      <c r="I487">
        <v>309385.62</v>
      </c>
      <c r="J487">
        <v>308385.62</v>
      </c>
      <c r="L487" s="7"/>
    </row>
    <row r="488" spans="2:12" customFormat="1" x14ac:dyDescent="0.25">
      <c r="B488" t="s">
        <v>662</v>
      </c>
      <c r="C488" t="s">
        <v>455</v>
      </c>
      <c r="D488" t="s">
        <v>891</v>
      </c>
      <c r="E488" t="s">
        <v>456</v>
      </c>
      <c r="F488" t="s">
        <v>457</v>
      </c>
      <c r="H488">
        <v>0</v>
      </c>
      <c r="I488">
        <v>0</v>
      </c>
      <c r="J488">
        <v>562149.06999999995</v>
      </c>
      <c r="L488" s="7"/>
    </row>
    <row r="489" spans="2:12" customFormat="1" x14ac:dyDescent="0.25">
      <c r="B489" t="s">
        <v>662</v>
      </c>
      <c r="C489" t="s">
        <v>416</v>
      </c>
      <c r="D489" t="s">
        <v>891</v>
      </c>
      <c r="E489" t="s">
        <v>417</v>
      </c>
      <c r="F489" t="s">
        <v>418</v>
      </c>
      <c r="H489">
        <v>0</v>
      </c>
      <c r="I489">
        <v>0</v>
      </c>
      <c r="J489">
        <v>608939.12</v>
      </c>
      <c r="L489" s="7"/>
    </row>
    <row r="490" spans="2:12" customFormat="1" x14ac:dyDescent="0.25">
      <c r="B490" t="s">
        <v>662</v>
      </c>
      <c r="C490" t="s">
        <v>458</v>
      </c>
      <c r="D490" t="s">
        <v>891</v>
      </c>
      <c r="E490" t="s">
        <v>459</v>
      </c>
      <c r="F490" t="s">
        <v>460</v>
      </c>
      <c r="H490">
        <v>0</v>
      </c>
      <c r="I490">
        <v>0</v>
      </c>
      <c r="J490">
        <v>363084.38</v>
      </c>
      <c r="L490" s="7"/>
    </row>
    <row r="491" spans="2:12" customFormat="1" x14ac:dyDescent="0.25">
      <c r="B491" t="s">
        <v>662</v>
      </c>
      <c r="C491" t="s">
        <v>515</v>
      </c>
      <c r="D491" t="s">
        <v>891</v>
      </c>
      <c r="E491" t="s">
        <v>516</v>
      </c>
      <c r="F491" t="s">
        <v>517</v>
      </c>
      <c r="H491">
        <v>0</v>
      </c>
      <c r="I491">
        <v>0</v>
      </c>
      <c r="J491">
        <v>18802.5</v>
      </c>
      <c r="L491" s="7"/>
    </row>
    <row r="492" spans="2:12" customFormat="1" x14ac:dyDescent="0.25">
      <c r="B492" t="s">
        <v>662</v>
      </c>
      <c r="C492" t="s">
        <v>534</v>
      </c>
      <c r="D492" t="s">
        <v>891</v>
      </c>
      <c r="E492" t="s">
        <v>535</v>
      </c>
      <c r="F492" t="s">
        <v>532</v>
      </c>
      <c r="H492">
        <v>0</v>
      </c>
      <c r="I492">
        <v>0</v>
      </c>
      <c r="J492">
        <v>4199.54</v>
      </c>
      <c r="L492" s="7"/>
    </row>
    <row r="493" spans="2:12" customFormat="1" x14ac:dyDescent="0.25">
      <c r="B493" t="s">
        <v>662</v>
      </c>
      <c r="C493" t="s">
        <v>470</v>
      </c>
      <c r="D493" t="s">
        <v>891</v>
      </c>
      <c r="E493" t="s">
        <v>471</v>
      </c>
      <c r="F493" t="s">
        <v>472</v>
      </c>
      <c r="H493">
        <v>690.4</v>
      </c>
      <c r="I493">
        <v>0</v>
      </c>
      <c r="J493">
        <v>-518606.95</v>
      </c>
      <c r="L493" s="7"/>
    </row>
    <row r="494" spans="2:12" customFormat="1" x14ac:dyDescent="0.25">
      <c r="B494" t="s">
        <v>662</v>
      </c>
      <c r="C494" t="s">
        <v>419</v>
      </c>
      <c r="D494" t="s">
        <v>891</v>
      </c>
      <c r="E494" t="s">
        <v>420</v>
      </c>
      <c r="F494" t="s">
        <v>421</v>
      </c>
      <c r="H494">
        <v>0</v>
      </c>
      <c r="I494">
        <v>0</v>
      </c>
      <c r="J494">
        <v>-639386.03</v>
      </c>
      <c r="L494" s="7"/>
    </row>
    <row r="495" spans="2:12" customFormat="1" x14ac:dyDescent="0.25">
      <c r="B495" t="s">
        <v>662</v>
      </c>
      <c r="C495" t="s">
        <v>473</v>
      </c>
      <c r="D495" t="s">
        <v>891</v>
      </c>
      <c r="E495" t="s">
        <v>474</v>
      </c>
      <c r="F495" t="s">
        <v>475</v>
      </c>
      <c r="H495">
        <v>2041.53</v>
      </c>
      <c r="I495">
        <v>0</v>
      </c>
      <c r="J495">
        <v>-323391.8</v>
      </c>
      <c r="L495" s="7"/>
    </row>
    <row r="496" spans="2:12" customFormat="1" x14ac:dyDescent="0.25">
      <c r="B496" t="s">
        <v>662</v>
      </c>
      <c r="C496" t="s">
        <v>518</v>
      </c>
      <c r="D496" t="s">
        <v>891</v>
      </c>
      <c r="E496" t="s">
        <v>519</v>
      </c>
      <c r="F496" t="s">
        <v>520</v>
      </c>
      <c r="H496">
        <v>156.69</v>
      </c>
      <c r="I496">
        <v>0</v>
      </c>
      <c r="J496">
        <v>-7710.89</v>
      </c>
      <c r="L496" s="7"/>
    </row>
    <row r="497" spans="2:12" customFormat="1" x14ac:dyDescent="0.25">
      <c r="B497" t="s">
        <v>662</v>
      </c>
      <c r="C497" t="s">
        <v>425</v>
      </c>
      <c r="D497" t="s">
        <v>891</v>
      </c>
      <c r="E497" t="s">
        <v>426</v>
      </c>
      <c r="F497" t="s">
        <v>427</v>
      </c>
      <c r="H497">
        <v>0</v>
      </c>
      <c r="I497">
        <v>42175.01</v>
      </c>
      <c r="J497">
        <v>66666.28</v>
      </c>
      <c r="L497" s="7"/>
    </row>
    <row r="498" spans="2:12" customFormat="1" x14ac:dyDescent="0.25">
      <c r="B498" t="s">
        <v>662</v>
      </c>
      <c r="C498" t="s">
        <v>428</v>
      </c>
      <c r="D498" t="s">
        <v>891</v>
      </c>
      <c r="E498" t="s">
        <v>429</v>
      </c>
      <c r="F498" t="s">
        <v>430</v>
      </c>
      <c r="H498">
        <v>103.62</v>
      </c>
      <c r="I498">
        <v>0</v>
      </c>
      <c r="J498">
        <v>-24284.16</v>
      </c>
      <c r="L498" s="7"/>
    </row>
    <row r="499" spans="2:12" customFormat="1" x14ac:dyDescent="0.25">
      <c r="B499" t="s">
        <v>662</v>
      </c>
      <c r="C499" t="s">
        <v>40</v>
      </c>
      <c r="D499" t="s">
        <v>891</v>
      </c>
      <c r="E499" t="s">
        <v>227</v>
      </c>
      <c r="F499" t="s">
        <v>133</v>
      </c>
      <c r="H499">
        <v>1248459.06</v>
      </c>
      <c r="I499">
        <v>1249715.31</v>
      </c>
      <c r="J499">
        <v>-125816.71</v>
      </c>
      <c r="L499" s="7"/>
    </row>
    <row r="500" spans="2:12" customFormat="1" x14ac:dyDescent="0.25">
      <c r="B500" t="s">
        <v>662</v>
      </c>
      <c r="C500" t="s">
        <v>758</v>
      </c>
      <c r="D500" t="s">
        <v>891</v>
      </c>
      <c r="E500" t="s">
        <v>759</v>
      </c>
      <c r="F500" t="s">
        <v>760</v>
      </c>
      <c r="H500">
        <v>169292.71</v>
      </c>
      <c r="I500">
        <v>184401.36</v>
      </c>
      <c r="J500">
        <v>-90284.34</v>
      </c>
      <c r="L500" s="7"/>
    </row>
    <row r="501" spans="2:12" customFormat="1" x14ac:dyDescent="0.25">
      <c r="B501" t="s">
        <v>662</v>
      </c>
      <c r="C501" t="s">
        <v>761</v>
      </c>
      <c r="D501" t="s">
        <v>891</v>
      </c>
      <c r="E501" t="s">
        <v>762</v>
      </c>
      <c r="F501" t="s">
        <v>763</v>
      </c>
      <c r="H501">
        <v>0</v>
      </c>
      <c r="I501">
        <v>0</v>
      </c>
      <c r="J501">
        <v>-48000</v>
      </c>
      <c r="L501" s="7"/>
    </row>
    <row r="502" spans="2:12" customFormat="1" x14ac:dyDescent="0.25">
      <c r="B502" t="s">
        <v>662</v>
      </c>
      <c r="C502" t="s">
        <v>310</v>
      </c>
      <c r="D502" t="s">
        <v>891</v>
      </c>
      <c r="E502" t="s">
        <v>311</v>
      </c>
      <c r="F502" t="s">
        <v>312</v>
      </c>
      <c r="H502">
        <v>226158.12</v>
      </c>
      <c r="I502">
        <v>226158.12</v>
      </c>
      <c r="J502">
        <v>0</v>
      </c>
      <c r="L502" s="7"/>
    </row>
    <row r="503" spans="2:12" customFormat="1" x14ac:dyDescent="0.25">
      <c r="B503" t="s">
        <v>662</v>
      </c>
      <c r="C503" t="s">
        <v>431</v>
      </c>
      <c r="D503" t="s">
        <v>891</v>
      </c>
      <c r="E503" t="s">
        <v>432</v>
      </c>
      <c r="F503" t="s">
        <v>433</v>
      </c>
      <c r="H503">
        <v>93570.96</v>
      </c>
      <c r="I503">
        <v>93570.96</v>
      </c>
      <c r="J503">
        <v>0</v>
      </c>
      <c r="L503" s="7"/>
    </row>
    <row r="504" spans="2:12" customFormat="1" x14ac:dyDescent="0.25">
      <c r="B504" t="s">
        <v>662</v>
      </c>
      <c r="C504" t="s">
        <v>316</v>
      </c>
      <c r="D504" t="s">
        <v>891</v>
      </c>
      <c r="E504" t="s">
        <v>317</v>
      </c>
      <c r="F504" t="s">
        <v>318</v>
      </c>
      <c r="H504">
        <v>19684.099999999999</v>
      </c>
      <c r="I504">
        <v>48414.23</v>
      </c>
      <c r="J504">
        <v>-133091.17000000001</v>
      </c>
      <c r="L504" s="7"/>
    </row>
    <row r="505" spans="2:12" customFormat="1" x14ac:dyDescent="0.25">
      <c r="B505" t="s">
        <v>662</v>
      </c>
      <c r="C505" t="s">
        <v>319</v>
      </c>
      <c r="D505" t="s">
        <v>891</v>
      </c>
      <c r="E505" t="s">
        <v>320</v>
      </c>
      <c r="F505" t="s">
        <v>321</v>
      </c>
      <c r="H505">
        <v>10387.18</v>
      </c>
      <c r="I505">
        <v>0</v>
      </c>
      <c r="J505">
        <v>-55704.69</v>
      </c>
      <c r="L505" s="7"/>
    </row>
    <row r="506" spans="2:12" customFormat="1" x14ac:dyDescent="0.25">
      <c r="B506" t="s">
        <v>662</v>
      </c>
      <c r="C506" t="s">
        <v>322</v>
      </c>
      <c r="D506" t="s">
        <v>891</v>
      </c>
      <c r="E506" t="s">
        <v>323</v>
      </c>
      <c r="F506" t="s">
        <v>324</v>
      </c>
      <c r="H506">
        <v>115530.9</v>
      </c>
      <c r="I506">
        <v>109948.86</v>
      </c>
      <c r="J506">
        <v>-43409.26</v>
      </c>
      <c r="L506" s="7"/>
    </row>
    <row r="507" spans="2:12" customFormat="1" x14ac:dyDescent="0.25">
      <c r="B507" t="s">
        <v>662</v>
      </c>
      <c r="C507" t="s">
        <v>325</v>
      </c>
      <c r="D507" t="s">
        <v>891</v>
      </c>
      <c r="E507" t="s">
        <v>326</v>
      </c>
      <c r="F507" t="s">
        <v>327</v>
      </c>
      <c r="H507">
        <v>20260</v>
      </c>
      <c r="I507">
        <v>18476.02</v>
      </c>
      <c r="J507">
        <v>-11021.99</v>
      </c>
      <c r="L507" s="7"/>
    </row>
    <row r="508" spans="2:12" customFormat="1" x14ac:dyDescent="0.25">
      <c r="B508" t="s">
        <v>662</v>
      </c>
      <c r="C508" t="s">
        <v>328</v>
      </c>
      <c r="D508" t="s">
        <v>891</v>
      </c>
      <c r="E508" t="s">
        <v>329</v>
      </c>
      <c r="F508" t="s">
        <v>171</v>
      </c>
      <c r="H508">
        <v>5278.73</v>
      </c>
      <c r="I508">
        <v>12977.56</v>
      </c>
      <c r="J508">
        <v>-35870</v>
      </c>
      <c r="L508" s="7"/>
    </row>
    <row r="509" spans="2:12" customFormat="1" x14ac:dyDescent="0.25">
      <c r="B509" t="s">
        <v>662</v>
      </c>
      <c r="C509" t="s">
        <v>330</v>
      </c>
      <c r="D509" t="s">
        <v>891</v>
      </c>
      <c r="E509" t="s">
        <v>331</v>
      </c>
      <c r="F509" t="s">
        <v>332</v>
      </c>
      <c r="H509">
        <v>2783.8</v>
      </c>
      <c r="I509">
        <v>0.01</v>
      </c>
      <c r="J509">
        <v>-14928.85</v>
      </c>
      <c r="L509" s="7"/>
    </row>
    <row r="510" spans="2:12" customFormat="1" x14ac:dyDescent="0.25">
      <c r="B510" t="s">
        <v>662</v>
      </c>
      <c r="C510" t="s">
        <v>333</v>
      </c>
      <c r="D510" t="s">
        <v>891</v>
      </c>
      <c r="E510" t="s">
        <v>334</v>
      </c>
      <c r="F510" t="s">
        <v>172</v>
      </c>
      <c r="H510">
        <v>1574.73</v>
      </c>
      <c r="I510">
        <v>3873.13</v>
      </c>
      <c r="J510">
        <v>-10647.3</v>
      </c>
      <c r="L510" s="7"/>
    </row>
    <row r="511" spans="2:12" customFormat="1" x14ac:dyDescent="0.25">
      <c r="B511" t="s">
        <v>662</v>
      </c>
      <c r="C511" t="s">
        <v>335</v>
      </c>
      <c r="D511" t="s">
        <v>891</v>
      </c>
      <c r="E511" t="s">
        <v>336</v>
      </c>
      <c r="F511" t="s">
        <v>337</v>
      </c>
      <c r="H511">
        <v>830.99</v>
      </c>
      <c r="I511">
        <v>0.01</v>
      </c>
      <c r="J511">
        <v>-4456.37</v>
      </c>
      <c r="L511" s="7"/>
    </row>
    <row r="512" spans="2:12" customFormat="1" x14ac:dyDescent="0.25">
      <c r="B512" t="s">
        <v>662</v>
      </c>
      <c r="C512" t="s">
        <v>41</v>
      </c>
      <c r="D512" t="s">
        <v>891</v>
      </c>
      <c r="E512" t="s">
        <v>231</v>
      </c>
      <c r="F512" t="s">
        <v>137</v>
      </c>
      <c r="H512">
        <v>0</v>
      </c>
      <c r="I512">
        <v>1936.84</v>
      </c>
      <c r="J512">
        <v>7252.83</v>
      </c>
      <c r="L512" s="7"/>
    </row>
    <row r="513" spans="2:12" customFormat="1" x14ac:dyDescent="0.25">
      <c r="B513" t="s">
        <v>662</v>
      </c>
      <c r="C513" t="s">
        <v>42</v>
      </c>
      <c r="D513" t="s">
        <v>891</v>
      </c>
      <c r="E513" t="s">
        <v>232</v>
      </c>
      <c r="F513" t="s">
        <v>138</v>
      </c>
      <c r="H513">
        <v>1.43</v>
      </c>
      <c r="I513">
        <v>0</v>
      </c>
      <c r="J513">
        <v>-1.43</v>
      </c>
      <c r="L513" s="7"/>
    </row>
    <row r="514" spans="2:12" customFormat="1" x14ac:dyDescent="0.25">
      <c r="B514" t="s">
        <v>662</v>
      </c>
      <c r="C514" t="s">
        <v>43</v>
      </c>
      <c r="D514" t="s">
        <v>891</v>
      </c>
      <c r="E514" t="s">
        <v>233</v>
      </c>
      <c r="F514" t="s">
        <v>139</v>
      </c>
      <c r="H514">
        <v>8.7899999999999991</v>
      </c>
      <c r="I514">
        <v>0</v>
      </c>
      <c r="J514">
        <v>-8.7899999999999991</v>
      </c>
      <c r="L514" s="7"/>
    </row>
    <row r="515" spans="2:12" customFormat="1" x14ac:dyDescent="0.25">
      <c r="B515" t="s">
        <v>662</v>
      </c>
      <c r="C515" t="s">
        <v>491</v>
      </c>
      <c r="D515" t="s">
        <v>891</v>
      </c>
      <c r="E515" t="s">
        <v>492</v>
      </c>
      <c r="F515" t="s">
        <v>493</v>
      </c>
      <c r="H515">
        <v>50.42</v>
      </c>
      <c r="I515">
        <v>0</v>
      </c>
      <c r="J515">
        <v>9910.5300000000007</v>
      </c>
      <c r="L515" s="7"/>
    </row>
    <row r="516" spans="2:12" customFormat="1" x14ac:dyDescent="0.25">
      <c r="B516" t="s">
        <v>662</v>
      </c>
      <c r="C516" t="s">
        <v>79</v>
      </c>
      <c r="D516" t="s">
        <v>891</v>
      </c>
      <c r="E516" t="s">
        <v>234</v>
      </c>
      <c r="F516" t="s">
        <v>140</v>
      </c>
      <c r="H516">
        <v>9.17</v>
      </c>
      <c r="I516">
        <v>0</v>
      </c>
      <c r="J516">
        <v>-969.99</v>
      </c>
      <c r="L516" s="7"/>
    </row>
    <row r="517" spans="2:12" customFormat="1" x14ac:dyDescent="0.25">
      <c r="B517" t="s">
        <v>662</v>
      </c>
      <c r="C517" t="s">
        <v>44</v>
      </c>
      <c r="D517" t="s">
        <v>891</v>
      </c>
      <c r="E517" t="s">
        <v>235</v>
      </c>
      <c r="F517" t="s">
        <v>141</v>
      </c>
      <c r="H517">
        <v>6791.47</v>
      </c>
      <c r="I517">
        <v>69.19</v>
      </c>
      <c r="J517">
        <v>-6272.53</v>
      </c>
      <c r="L517" s="7"/>
    </row>
    <row r="518" spans="2:12" customFormat="1" x14ac:dyDescent="0.25">
      <c r="B518" t="s">
        <v>662</v>
      </c>
      <c r="C518" t="s">
        <v>45</v>
      </c>
      <c r="D518" t="s">
        <v>891</v>
      </c>
      <c r="E518" t="s">
        <v>236</v>
      </c>
      <c r="F518" t="s">
        <v>142</v>
      </c>
      <c r="H518">
        <v>21130.43</v>
      </c>
      <c r="I518">
        <v>514.69000000000005</v>
      </c>
      <c r="J518">
        <v>-17234.66</v>
      </c>
      <c r="L518" s="7"/>
    </row>
    <row r="519" spans="2:12" customFormat="1" x14ac:dyDescent="0.25">
      <c r="B519" t="s">
        <v>662</v>
      </c>
      <c r="C519" t="s">
        <v>338</v>
      </c>
      <c r="D519" t="s">
        <v>891</v>
      </c>
      <c r="E519" t="s">
        <v>339</v>
      </c>
      <c r="F519" t="s">
        <v>340</v>
      </c>
      <c r="H519">
        <v>18753.93</v>
      </c>
      <c r="I519">
        <v>35901.269999999997</v>
      </c>
      <c r="J519">
        <v>0</v>
      </c>
      <c r="L519" s="7"/>
    </row>
    <row r="520" spans="2:12" customFormat="1" x14ac:dyDescent="0.25">
      <c r="B520" t="s">
        <v>662</v>
      </c>
      <c r="C520" t="s">
        <v>764</v>
      </c>
      <c r="D520" t="s">
        <v>891</v>
      </c>
      <c r="E520" t="s">
        <v>765</v>
      </c>
      <c r="F520" t="s">
        <v>766</v>
      </c>
      <c r="H520">
        <v>0</v>
      </c>
      <c r="I520">
        <v>0</v>
      </c>
      <c r="J520">
        <v>-152.79</v>
      </c>
      <c r="L520" s="7"/>
    </row>
    <row r="521" spans="2:12" customFormat="1" x14ac:dyDescent="0.25">
      <c r="B521" t="s">
        <v>662</v>
      </c>
      <c r="C521" t="s">
        <v>341</v>
      </c>
      <c r="D521" t="s">
        <v>891</v>
      </c>
      <c r="E521" t="s">
        <v>342</v>
      </c>
      <c r="F521" t="s">
        <v>343</v>
      </c>
      <c r="H521">
        <v>345.2</v>
      </c>
      <c r="I521">
        <v>0</v>
      </c>
      <c r="J521">
        <v>-1627.88</v>
      </c>
      <c r="L521" s="7"/>
    </row>
    <row r="522" spans="2:12" customFormat="1" x14ac:dyDescent="0.25">
      <c r="B522" t="s">
        <v>662</v>
      </c>
      <c r="C522" t="s">
        <v>601</v>
      </c>
      <c r="D522" t="s">
        <v>891</v>
      </c>
      <c r="E522" t="s">
        <v>602</v>
      </c>
      <c r="F522" t="s">
        <v>603</v>
      </c>
      <c r="H522">
        <v>82088.81</v>
      </c>
      <c r="I522">
        <v>548</v>
      </c>
      <c r="J522">
        <v>-10082.040000000001</v>
      </c>
      <c r="L522" s="7"/>
    </row>
    <row r="523" spans="2:12" customFormat="1" x14ac:dyDescent="0.25">
      <c r="B523" t="s">
        <v>662</v>
      </c>
      <c r="C523" t="s">
        <v>767</v>
      </c>
      <c r="D523" t="s">
        <v>891</v>
      </c>
      <c r="E523" t="s">
        <v>768</v>
      </c>
      <c r="F523" t="s">
        <v>769</v>
      </c>
      <c r="H523">
        <v>0</v>
      </c>
      <c r="I523">
        <v>0</v>
      </c>
      <c r="J523">
        <v>-76638</v>
      </c>
      <c r="L523" s="7"/>
    </row>
    <row r="524" spans="2:12" customFormat="1" x14ac:dyDescent="0.25">
      <c r="B524" t="s">
        <v>662</v>
      </c>
      <c r="C524" t="s">
        <v>494</v>
      </c>
      <c r="D524" t="s">
        <v>891</v>
      </c>
      <c r="E524" t="s">
        <v>495</v>
      </c>
      <c r="F524" t="s">
        <v>496</v>
      </c>
      <c r="H524">
        <v>0</v>
      </c>
      <c r="I524">
        <v>0</v>
      </c>
      <c r="J524">
        <v>-121367.02</v>
      </c>
      <c r="L524" s="7"/>
    </row>
    <row r="525" spans="2:12" customFormat="1" x14ac:dyDescent="0.25">
      <c r="B525" t="s">
        <v>662</v>
      </c>
      <c r="C525" t="s">
        <v>770</v>
      </c>
      <c r="D525" t="s">
        <v>891</v>
      </c>
      <c r="E525" t="s">
        <v>771</v>
      </c>
      <c r="F525" t="s">
        <v>772</v>
      </c>
      <c r="H525">
        <v>6952.78</v>
      </c>
      <c r="I525">
        <v>6952.78</v>
      </c>
      <c r="J525">
        <v>0</v>
      </c>
      <c r="L525" s="7"/>
    </row>
    <row r="526" spans="2:12" customFormat="1" x14ac:dyDescent="0.25">
      <c r="B526" t="s">
        <v>662</v>
      </c>
      <c r="C526" t="s">
        <v>46</v>
      </c>
      <c r="D526" t="s">
        <v>891</v>
      </c>
      <c r="E526" t="s">
        <v>237</v>
      </c>
      <c r="F526" t="s">
        <v>143</v>
      </c>
      <c r="H526">
        <v>0</v>
      </c>
      <c r="I526">
        <v>0</v>
      </c>
      <c r="J526">
        <v>-146073009</v>
      </c>
      <c r="L526" s="7"/>
    </row>
    <row r="527" spans="2:12" customFormat="1" x14ac:dyDescent="0.25">
      <c r="B527" t="s">
        <v>662</v>
      </c>
      <c r="C527" t="s">
        <v>47</v>
      </c>
      <c r="D527" t="s">
        <v>891</v>
      </c>
      <c r="E527" t="s">
        <v>238</v>
      </c>
      <c r="F527" t="s">
        <v>144</v>
      </c>
      <c r="H527">
        <v>1330801.82</v>
      </c>
      <c r="I527">
        <v>0</v>
      </c>
      <c r="J527">
        <v>-6330801.8200000003</v>
      </c>
      <c r="L527" s="7"/>
    </row>
    <row r="528" spans="2:12" customFormat="1" x14ac:dyDescent="0.25">
      <c r="B528" t="s">
        <v>662</v>
      </c>
      <c r="C528" t="s">
        <v>85</v>
      </c>
      <c r="D528" t="s">
        <v>891</v>
      </c>
      <c r="E528" t="s">
        <v>240</v>
      </c>
      <c r="F528" t="s">
        <v>146</v>
      </c>
      <c r="H528">
        <v>0</v>
      </c>
      <c r="I528">
        <v>0</v>
      </c>
      <c r="J528">
        <v>35031725.049999997</v>
      </c>
      <c r="L528" s="7"/>
    </row>
    <row r="529" spans="2:12" customFormat="1" x14ac:dyDescent="0.25">
      <c r="B529" t="s">
        <v>662</v>
      </c>
      <c r="C529" t="s">
        <v>49</v>
      </c>
      <c r="D529" t="s">
        <v>891</v>
      </c>
      <c r="E529" t="s">
        <v>243</v>
      </c>
      <c r="F529" t="s">
        <v>149</v>
      </c>
      <c r="H529">
        <v>0</v>
      </c>
      <c r="I529">
        <v>0</v>
      </c>
      <c r="J529">
        <v>654.78</v>
      </c>
      <c r="L529" s="7"/>
    </row>
    <row r="530" spans="2:12" customFormat="1" x14ac:dyDescent="0.25">
      <c r="B530" t="s">
        <v>662</v>
      </c>
      <c r="C530" t="s">
        <v>50</v>
      </c>
      <c r="D530" t="s">
        <v>891</v>
      </c>
      <c r="E530" t="s">
        <v>244</v>
      </c>
      <c r="F530" t="s">
        <v>150</v>
      </c>
      <c r="H530">
        <v>0</v>
      </c>
      <c r="I530">
        <v>1.43</v>
      </c>
      <c r="J530">
        <v>894.24</v>
      </c>
      <c r="L530" s="7"/>
    </row>
    <row r="531" spans="2:12" customFormat="1" x14ac:dyDescent="0.25">
      <c r="B531" t="s">
        <v>662</v>
      </c>
      <c r="C531" t="s">
        <v>51</v>
      </c>
      <c r="D531" t="s">
        <v>891</v>
      </c>
      <c r="E531" t="s">
        <v>245</v>
      </c>
      <c r="F531" t="s">
        <v>151</v>
      </c>
      <c r="H531">
        <v>0</v>
      </c>
      <c r="I531">
        <v>8.7899999999999991</v>
      </c>
      <c r="J531">
        <v>4122.97</v>
      </c>
      <c r="L531" s="7"/>
    </row>
    <row r="532" spans="2:12" customFormat="1" x14ac:dyDescent="0.25">
      <c r="B532" t="s">
        <v>662</v>
      </c>
      <c r="C532" t="s">
        <v>87</v>
      </c>
      <c r="D532" t="s">
        <v>891</v>
      </c>
      <c r="E532" t="s">
        <v>246</v>
      </c>
      <c r="F532" t="s">
        <v>152</v>
      </c>
      <c r="H532">
        <v>0</v>
      </c>
      <c r="I532">
        <v>0</v>
      </c>
      <c r="J532">
        <v>-189.13</v>
      </c>
      <c r="L532" s="7"/>
    </row>
    <row r="533" spans="2:12" customFormat="1" x14ac:dyDescent="0.25">
      <c r="B533" t="s">
        <v>662</v>
      </c>
      <c r="C533" t="s">
        <v>574</v>
      </c>
      <c r="D533" t="s">
        <v>891</v>
      </c>
      <c r="E533" t="s">
        <v>575</v>
      </c>
      <c r="F533" t="s">
        <v>576</v>
      </c>
      <c r="H533">
        <v>0</v>
      </c>
      <c r="I533">
        <v>0</v>
      </c>
      <c r="J533">
        <v>-108020.11</v>
      </c>
      <c r="L533" s="7"/>
    </row>
    <row r="534" spans="2:12" customFormat="1" x14ac:dyDescent="0.25">
      <c r="B534" t="s">
        <v>662</v>
      </c>
      <c r="C534" t="s">
        <v>377</v>
      </c>
      <c r="D534" t="s">
        <v>891</v>
      </c>
      <c r="E534" t="s">
        <v>378</v>
      </c>
      <c r="F534" t="s">
        <v>379</v>
      </c>
      <c r="H534">
        <v>0</v>
      </c>
      <c r="I534">
        <v>0</v>
      </c>
      <c r="J534">
        <v>1116869.3500000001</v>
      </c>
      <c r="L534" s="7"/>
    </row>
    <row r="535" spans="2:12" customFormat="1" x14ac:dyDescent="0.25">
      <c r="B535" t="s">
        <v>662</v>
      </c>
      <c r="C535" t="s">
        <v>55</v>
      </c>
      <c r="D535" t="s">
        <v>891</v>
      </c>
      <c r="E535" t="s">
        <v>252</v>
      </c>
      <c r="F535" t="s">
        <v>158</v>
      </c>
      <c r="H535">
        <v>25437.59</v>
      </c>
      <c r="I535">
        <v>205144.49</v>
      </c>
      <c r="J535">
        <v>1264674.4099999999</v>
      </c>
      <c r="L535" s="7"/>
    </row>
    <row r="536" spans="2:12" customFormat="1" x14ac:dyDescent="0.25">
      <c r="B536" t="s">
        <v>662</v>
      </c>
      <c r="C536" t="s">
        <v>56</v>
      </c>
      <c r="D536" t="s">
        <v>891</v>
      </c>
      <c r="E536" t="s">
        <v>253</v>
      </c>
      <c r="F536" t="s">
        <v>159</v>
      </c>
      <c r="H536">
        <v>12694.27</v>
      </c>
      <c r="I536">
        <v>64666.13</v>
      </c>
      <c r="J536">
        <v>670413.61</v>
      </c>
      <c r="L536" s="7"/>
    </row>
    <row r="537" spans="2:12" customFormat="1" x14ac:dyDescent="0.25">
      <c r="B537" t="s">
        <v>662</v>
      </c>
      <c r="C537" t="s">
        <v>57</v>
      </c>
      <c r="D537" t="s">
        <v>891</v>
      </c>
      <c r="E537" t="s">
        <v>254</v>
      </c>
      <c r="F537" t="s">
        <v>160</v>
      </c>
      <c r="H537">
        <v>3789.33</v>
      </c>
      <c r="I537">
        <v>19354.439999999999</v>
      </c>
      <c r="J537">
        <v>63560.42</v>
      </c>
      <c r="L537" s="7"/>
    </row>
    <row r="538" spans="2:12" customFormat="1" x14ac:dyDescent="0.25">
      <c r="B538" t="s">
        <v>662</v>
      </c>
      <c r="C538" t="s">
        <v>58</v>
      </c>
      <c r="D538" t="s">
        <v>891</v>
      </c>
      <c r="E538" t="s">
        <v>255</v>
      </c>
      <c r="F538" t="s">
        <v>161</v>
      </c>
      <c r="H538">
        <v>1047.56</v>
      </c>
      <c r="I538">
        <v>22824.15</v>
      </c>
      <c r="J538">
        <v>293890.23</v>
      </c>
      <c r="L538" s="7"/>
    </row>
    <row r="539" spans="2:12" customFormat="1" x14ac:dyDescent="0.25">
      <c r="B539" t="s">
        <v>662</v>
      </c>
      <c r="C539" t="s">
        <v>59</v>
      </c>
      <c r="D539" t="s">
        <v>891</v>
      </c>
      <c r="E539" t="s">
        <v>256</v>
      </c>
      <c r="F539" t="s">
        <v>162</v>
      </c>
      <c r="H539">
        <v>0</v>
      </c>
      <c r="I539">
        <v>18300.52</v>
      </c>
      <c r="J539">
        <v>127456.26</v>
      </c>
      <c r="L539" s="7"/>
    </row>
    <row r="540" spans="2:12" customFormat="1" x14ac:dyDescent="0.25">
      <c r="B540" t="s">
        <v>662</v>
      </c>
      <c r="C540" t="s">
        <v>90</v>
      </c>
      <c r="D540" t="s">
        <v>891</v>
      </c>
      <c r="E540" t="s">
        <v>257</v>
      </c>
      <c r="F540" t="s">
        <v>163</v>
      </c>
      <c r="H540">
        <v>0</v>
      </c>
      <c r="I540">
        <v>0</v>
      </c>
      <c r="J540">
        <v>116918.57</v>
      </c>
      <c r="L540" s="7"/>
    </row>
    <row r="541" spans="2:12" customFormat="1" x14ac:dyDescent="0.25">
      <c r="B541" t="s">
        <v>662</v>
      </c>
      <c r="C541" t="s">
        <v>60</v>
      </c>
      <c r="D541" t="s">
        <v>891</v>
      </c>
      <c r="E541" t="s">
        <v>258</v>
      </c>
      <c r="F541" t="s">
        <v>164</v>
      </c>
      <c r="H541">
        <v>0</v>
      </c>
      <c r="I541">
        <v>3785.8</v>
      </c>
      <c r="J541">
        <v>26543.94</v>
      </c>
      <c r="L541" s="7"/>
    </row>
    <row r="542" spans="2:12" customFormat="1" x14ac:dyDescent="0.25">
      <c r="B542" t="s">
        <v>662</v>
      </c>
      <c r="C542" t="s">
        <v>527</v>
      </c>
      <c r="D542" t="s">
        <v>891</v>
      </c>
      <c r="E542" t="s">
        <v>528</v>
      </c>
      <c r="F542" t="s">
        <v>529</v>
      </c>
      <c r="H542">
        <v>0</v>
      </c>
      <c r="I542">
        <v>43725.93</v>
      </c>
      <c r="J542">
        <v>137281.19</v>
      </c>
      <c r="L542" s="7"/>
    </row>
    <row r="543" spans="2:12" customFormat="1" x14ac:dyDescent="0.25">
      <c r="B543" t="s">
        <v>662</v>
      </c>
      <c r="C543" t="s">
        <v>61</v>
      </c>
      <c r="D543" t="s">
        <v>891</v>
      </c>
      <c r="E543" t="s">
        <v>259</v>
      </c>
      <c r="F543" t="s">
        <v>165</v>
      </c>
      <c r="H543">
        <v>0</v>
      </c>
      <c r="I543">
        <v>0</v>
      </c>
      <c r="J543">
        <v>81951.45</v>
      </c>
      <c r="L543" s="7"/>
    </row>
    <row r="544" spans="2:12" customFormat="1" x14ac:dyDescent="0.25">
      <c r="B544" t="s">
        <v>662</v>
      </c>
      <c r="C544" t="s">
        <v>344</v>
      </c>
      <c r="D544" t="s">
        <v>891</v>
      </c>
      <c r="E544" t="s">
        <v>345</v>
      </c>
      <c r="F544" t="s">
        <v>346</v>
      </c>
      <c r="H544">
        <v>169.6</v>
      </c>
      <c r="I544">
        <v>1771.65</v>
      </c>
      <c r="J544">
        <v>12905.55</v>
      </c>
      <c r="L544" s="7"/>
    </row>
    <row r="545" spans="2:12" customFormat="1" x14ac:dyDescent="0.25">
      <c r="B545" t="s">
        <v>662</v>
      </c>
      <c r="C545" t="s">
        <v>62</v>
      </c>
      <c r="D545" t="s">
        <v>891</v>
      </c>
      <c r="E545" t="s">
        <v>260</v>
      </c>
      <c r="F545" t="s">
        <v>166</v>
      </c>
      <c r="H545">
        <v>0</v>
      </c>
      <c r="I545">
        <v>0</v>
      </c>
      <c r="J545">
        <v>-408.85</v>
      </c>
      <c r="L545" s="7"/>
    </row>
    <row r="546" spans="2:12" customFormat="1" x14ac:dyDescent="0.25">
      <c r="B546" t="s">
        <v>662</v>
      </c>
      <c r="C546" t="s">
        <v>773</v>
      </c>
      <c r="D546" t="s">
        <v>891</v>
      </c>
      <c r="E546" t="s">
        <v>774</v>
      </c>
      <c r="F546" t="s">
        <v>775</v>
      </c>
      <c r="H546">
        <v>0</v>
      </c>
      <c r="I546">
        <v>12332.95</v>
      </c>
      <c r="J546">
        <v>-151542.54999999999</v>
      </c>
      <c r="L546" s="7"/>
    </row>
    <row r="547" spans="2:12" customFormat="1" x14ac:dyDescent="0.25">
      <c r="B547" t="s">
        <v>662</v>
      </c>
      <c r="C547" t="s">
        <v>776</v>
      </c>
      <c r="D547" t="s">
        <v>891</v>
      </c>
      <c r="E547" t="s">
        <v>777</v>
      </c>
      <c r="F547" t="s">
        <v>778</v>
      </c>
      <c r="H547">
        <v>0</v>
      </c>
      <c r="I547">
        <v>7114.44</v>
      </c>
      <c r="J547">
        <v>40207.269999999997</v>
      </c>
      <c r="L547" s="7"/>
    </row>
    <row r="548" spans="2:12" customFormat="1" x14ac:dyDescent="0.25">
      <c r="B548" t="s">
        <v>662</v>
      </c>
      <c r="C548" t="s">
        <v>207</v>
      </c>
      <c r="D548" t="s">
        <v>891</v>
      </c>
      <c r="E548" t="s">
        <v>299</v>
      </c>
      <c r="F548" t="s">
        <v>208</v>
      </c>
      <c r="H548">
        <v>681.45</v>
      </c>
      <c r="I548">
        <v>18613.2</v>
      </c>
      <c r="J548">
        <v>74948.59</v>
      </c>
      <c r="L548" s="7"/>
    </row>
    <row r="549" spans="2:12" customFormat="1" x14ac:dyDescent="0.25">
      <c r="B549" t="s">
        <v>662</v>
      </c>
      <c r="C549" t="s">
        <v>63</v>
      </c>
      <c r="D549" t="s">
        <v>891</v>
      </c>
      <c r="E549" t="s">
        <v>261</v>
      </c>
      <c r="F549" t="s">
        <v>167</v>
      </c>
      <c r="H549">
        <v>1537.6</v>
      </c>
      <c r="I549">
        <v>7226.22</v>
      </c>
      <c r="J549">
        <v>10129.870000000001</v>
      </c>
      <c r="L549" s="7"/>
    </row>
    <row r="550" spans="2:12" customFormat="1" x14ac:dyDescent="0.25">
      <c r="B550" t="s">
        <v>662</v>
      </c>
      <c r="C550" t="s">
        <v>380</v>
      </c>
      <c r="D550" t="s">
        <v>891</v>
      </c>
      <c r="E550" t="s">
        <v>381</v>
      </c>
      <c r="F550" t="s">
        <v>382</v>
      </c>
      <c r="H550">
        <v>97.44</v>
      </c>
      <c r="I550">
        <v>13228.85</v>
      </c>
      <c r="J550">
        <v>50410.3</v>
      </c>
      <c r="L550" s="7"/>
    </row>
    <row r="551" spans="2:12" customFormat="1" x14ac:dyDescent="0.25">
      <c r="B551" t="s">
        <v>662</v>
      </c>
      <c r="C551" t="s">
        <v>657</v>
      </c>
      <c r="D551" t="s">
        <v>891</v>
      </c>
      <c r="E551" t="s">
        <v>658</v>
      </c>
      <c r="F551" t="s">
        <v>659</v>
      </c>
      <c r="H551">
        <v>0</v>
      </c>
      <c r="I551">
        <v>0</v>
      </c>
      <c r="J551">
        <v>2932.4</v>
      </c>
      <c r="L551" s="7"/>
    </row>
    <row r="552" spans="2:12" customFormat="1" x14ac:dyDescent="0.25">
      <c r="B552" t="s">
        <v>662</v>
      </c>
      <c r="C552" t="s">
        <v>91</v>
      </c>
      <c r="D552" t="s">
        <v>891</v>
      </c>
      <c r="E552" t="s">
        <v>262</v>
      </c>
      <c r="F552" t="s">
        <v>168</v>
      </c>
      <c r="H552">
        <v>115691.5</v>
      </c>
      <c r="I552">
        <v>18356.400000000001</v>
      </c>
      <c r="J552">
        <v>19043.02</v>
      </c>
      <c r="L552" s="7"/>
    </row>
    <row r="553" spans="2:12" customFormat="1" x14ac:dyDescent="0.25">
      <c r="B553" t="s">
        <v>662</v>
      </c>
      <c r="C553" t="s">
        <v>383</v>
      </c>
      <c r="D553" t="s">
        <v>891</v>
      </c>
      <c r="E553" t="s">
        <v>384</v>
      </c>
      <c r="F553" t="s">
        <v>385</v>
      </c>
      <c r="H553">
        <v>0</v>
      </c>
      <c r="I553">
        <v>0</v>
      </c>
      <c r="J553">
        <v>-729.82</v>
      </c>
      <c r="L553" s="7"/>
    </row>
    <row r="554" spans="2:12" customFormat="1" x14ac:dyDescent="0.25">
      <c r="B554" t="s">
        <v>662</v>
      </c>
      <c r="C554" t="s">
        <v>779</v>
      </c>
      <c r="D554" t="s">
        <v>891</v>
      </c>
      <c r="E554" t="s">
        <v>780</v>
      </c>
      <c r="F554" t="s">
        <v>781</v>
      </c>
      <c r="H554">
        <v>0</v>
      </c>
      <c r="I554">
        <v>0</v>
      </c>
      <c r="J554">
        <v>8328.02</v>
      </c>
      <c r="L554" s="7"/>
    </row>
    <row r="555" spans="2:12" customFormat="1" x14ac:dyDescent="0.25">
      <c r="B555" t="s">
        <v>662</v>
      </c>
      <c r="C555" t="s">
        <v>386</v>
      </c>
      <c r="D555" t="s">
        <v>891</v>
      </c>
      <c r="E555" t="s">
        <v>387</v>
      </c>
      <c r="F555" t="s">
        <v>388</v>
      </c>
      <c r="H555">
        <v>0</v>
      </c>
      <c r="I555">
        <v>9827.2099999999991</v>
      </c>
      <c r="J555">
        <v>56295.93</v>
      </c>
      <c r="L555" s="7"/>
    </row>
    <row r="556" spans="2:12" customFormat="1" x14ac:dyDescent="0.25">
      <c r="B556" t="s">
        <v>662</v>
      </c>
      <c r="C556" t="s">
        <v>782</v>
      </c>
      <c r="D556" t="s">
        <v>891</v>
      </c>
      <c r="E556" t="s">
        <v>783</v>
      </c>
      <c r="F556" t="s">
        <v>784</v>
      </c>
      <c r="H556">
        <v>0</v>
      </c>
      <c r="I556">
        <v>0</v>
      </c>
      <c r="J556">
        <v>174.6</v>
      </c>
      <c r="L556" s="7"/>
    </row>
    <row r="557" spans="2:12" customFormat="1" x14ac:dyDescent="0.25">
      <c r="B557" t="s">
        <v>662</v>
      </c>
      <c r="C557" t="s">
        <v>92</v>
      </c>
      <c r="D557" t="s">
        <v>891</v>
      </c>
      <c r="E557" t="s">
        <v>263</v>
      </c>
      <c r="F557" t="s">
        <v>169</v>
      </c>
      <c r="H557">
        <v>0</v>
      </c>
      <c r="I557">
        <v>0</v>
      </c>
      <c r="J557">
        <v>-3000</v>
      </c>
      <c r="L557" s="7"/>
    </row>
    <row r="558" spans="2:12" customFormat="1" x14ac:dyDescent="0.25">
      <c r="B558" t="s">
        <v>662</v>
      </c>
      <c r="C558" t="s">
        <v>350</v>
      </c>
      <c r="D558" t="s">
        <v>891</v>
      </c>
      <c r="E558" t="s">
        <v>351</v>
      </c>
      <c r="F558" t="s">
        <v>352</v>
      </c>
      <c r="H558">
        <v>0</v>
      </c>
      <c r="I558">
        <v>0</v>
      </c>
      <c r="J558">
        <v>-71037.899999999994</v>
      </c>
      <c r="L558" s="7"/>
    </row>
    <row r="559" spans="2:12" customFormat="1" x14ac:dyDescent="0.25">
      <c r="B559" t="s">
        <v>662</v>
      </c>
      <c r="C559" t="s">
        <v>64</v>
      </c>
      <c r="D559" t="s">
        <v>891</v>
      </c>
      <c r="E559" t="s">
        <v>265</v>
      </c>
      <c r="F559" t="s">
        <v>171</v>
      </c>
      <c r="H559">
        <v>367.09</v>
      </c>
      <c r="I559">
        <v>20582.240000000002</v>
      </c>
      <c r="J559">
        <v>207328.04</v>
      </c>
      <c r="L559" s="7"/>
    </row>
    <row r="560" spans="2:12" customFormat="1" x14ac:dyDescent="0.25">
      <c r="B560" t="s">
        <v>662</v>
      </c>
      <c r="C560" t="s">
        <v>94</v>
      </c>
      <c r="D560" t="s">
        <v>891</v>
      </c>
      <c r="E560" t="s">
        <v>266</v>
      </c>
      <c r="F560" t="s">
        <v>172</v>
      </c>
      <c r="H560">
        <v>0</v>
      </c>
      <c r="I560">
        <v>500.14</v>
      </c>
      <c r="J560">
        <v>10022.92</v>
      </c>
      <c r="L560" s="7"/>
    </row>
    <row r="561" spans="2:12" customFormat="1" x14ac:dyDescent="0.25">
      <c r="B561" t="s">
        <v>662</v>
      </c>
      <c r="C561" t="s">
        <v>353</v>
      </c>
      <c r="D561" t="s">
        <v>891</v>
      </c>
      <c r="E561" t="s">
        <v>354</v>
      </c>
      <c r="F561" t="s">
        <v>355</v>
      </c>
      <c r="H561">
        <v>0</v>
      </c>
      <c r="I561">
        <v>0</v>
      </c>
      <c r="J561">
        <v>9155.7000000000007</v>
      </c>
      <c r="L561" s="7"/>
    </row>
    <row r="562" spans="2:12" customFormat="1" x14ac:dyDescent="0.25">
      <c r="B562" t="s">
        <v>662</v>
      </c>
      <c r="C562" t="s">
        <v>95</v>
      </c>
      <c r="D562" t="s">
        <v>891</v>
      </c>
      <c r="E562" t="s">
        <v>267</v>
      </c>
      <c r="F562" t="s">
        <v>173</v>
      </c>
      <c r="H562">
        <v>0</v>
      </c>
      <c r="I562">
        <v>1900.56</v>
      </c>
      <c r="J562">
        <v>17088.27</v>
      </c>
      <c r="L562" s="7"/>
    </row>
    <row r="563" spans="2:12" customFormat="1" x14ac:dyDescent="0.25">
      <c r="B563" t="s">
        <v>662</v>
      </c>
      <c r="C563" t="s">
        <v>96</v>
      </c>
      <c r="D563" t="s">
        <v>891</v>
      </c>
      <c r="E563" t="s">
        <v>268</v>
      </c>
      <c r="F563" t="s">
        <v>174</v>
      </c>
      <c r="H563">
        <v>0</v>
      </c>
      <c r="I563">
        <v>666.59</v>
      </c>
      <c r="J563">
        <v>5659.02</v>
      </c>
      <c r="L563" s="7"/>
    </row>
    <row r="564" spans="2:12" customFormat="1" x14ac:dyDescent="0.25">
      <c r="B564" t="s">
        <v>662</v>
      </c>
      <c r="C564" t="s">
        <v>785</v>
      </c>
      <c r="D564" t="s">
        <v>891</v>
      </c>
      <c r="E564" t="s">
        <v>786</v>
      </c>
      <c r="F564" t="s">
        <v>787</v>
      </c>
      <c r="H564">
        <v>0</v>
      </c>
      <c r="I564">
        <v>0</v>
      </c>
      <c r="J564">
        <v>10082.040000000001</v>
      </c>
      <c r="L564" s="7"/>
    </row>
    <row r="565" spans="2:12" customFormat="1" x14ac:dyDescent="0.25">
      <c r="B565" t="s">
        <v>662</v>
      </c>
      <c r="C565" t="s">
        <v>788</v>
      </c>
      <c r="D565" t="s">
        <v>891</v>
      </c>
      <c r="E565" t="s">
        <v>789</v>
      </c>
      <c r="F565" t="s">
        <v>790</v>
      </c>
      <c r="H565">
        <v>0</v>
      </c>
      <c r="I565">
        <v>0</v>
      </c>
      <c r="J565">
        <v>4686</v>
      </c>
      <c r="L565" s="7"/>
    </row>
    <row r="566" spans="2:12" customFormat="1" x14ac:dyDescent="0.25">
      <c r="B566" t="s">
        <v>662</v>
      </c>
      <c r="C566" t="s">
        <v>584</v>
      </c>
      <c r="D566" t="s">
        <v>891</v>
      </c>
      <c r="E566" t="s">
        <v>585</v>
      </c>
      <c r="F566" t="s">
        <v>586</v>
      </c>
      <c r="H566">
        <v>0</v>
      </c>
      <c r="I566">
        <v>0</v>
      </c>
      <c r="J566">
        <v>2451.92</v>
      </c>
      <c r="L566" s="7"/>
    </row>
    <row r="567" spans="2:12" customFormat="1" x14ac:dyDescent="0.25">
      <c r="B567" t="s">
        <v>662</v>
      </c>
      <c r="C567" t="s">
        <v>791</v>
      </c>
      <c r="D567" t="s">
        <v>891</v>
      </c>
      <c r="E567" t="s">
        <v>792</v>
      </c>
      <c r="F567" t="s">
        <v>793</v>
      </c>
      <c r="H567">
        <v>0</v>
      </c>
      <c r="I567">
        <v>68.400000000000006</v>
      </c>
      <c r="J567">
        <v>634.26</v>
      </c>
      <c r="L567" s="7"/>
    </row>
    <row r="568" spans="2:12" customFormat="1" x14ac:dyDescent="0.25">
      <c r="B568" t="s">
        <v>662</v>
      </c>
      <c r="C568" t="s">
        <v>794</v>
      </c>
      <c r="D568" t="s">
        <v>891</v>
      </c>
      <c r="E568" t="s">
        <v>795</v>
      </c>
      <c r="F568" t="s">
        <v>796</v>
      </c>
      <c r="H568">
        <v>0</v>
      </c>
      <c r="I568">
        <v>0</v>
      </c>
      <c r="J568">
        <v>2651.72</v>
      </c>
      <c r="L568" s="7"/>
    </row>
    <row r="569" spans="2:12" customFormat="1" x14ac:dyDescent="0.25">
      <c r="B569" t="s">
        <v>662</v>
      </c>
      <c r="C569" t="s">
        <v>797</v>
      </c>
      <c r="D569" t="s">
        <v>891</v>
      </c>
      <c r="E569" t="s">
        <v>798</v>
      </c>
      <c r="F569" t="s">
        <v>799</v>
      </c>
      <c r="H569">
        <v>0</v>
      </c>
      <c r="I569">
        <v>0</v>
      </c>
      <c r="J569">
        <v>1062.08</v>
      </c>
      <c r="L569" s="7"/>
    </row>
    <row r="570" spans="2:12" customFormat="1" x14ac:dyDescent="0.25">
      <c r="B570" t="s">
        <v>662</v>
      </c>
      <c r="C570" t="s">
        <v>65</v>
      </c>
      <c r="D570" t="s">
        <v>891</v>
      </c>
      <c r="E570" t="s">
        <v>269</v>
      </c>
      <c r="F570" t="s">
        <v>175</v>
      </c>
      <c r="H570">
        <v>0</v>
      </c>
      <c r="I570">
        <v>0</v>
      </c>
      <c r="J570">
        <v>-26447.32</v>
      </c>
      <c r="L570" s="7"/>
    </row>
    <row r="571" spans="2:12" customFormat="1" x14ac:dyDescent="0.25">
      <c r="B571" t="s">
        <v>662</v>
      </c>
      <c r="C571" t="s">
        <v>800</v>
      </c>
      <c r="D571" t="s">
        <v>891</v>
      </c>
      <c r="E571" t="s">
        <v>801</v>
      </c>
      <c r="F571" t="s">
        <v>802</v>
      </c>
      <c r="H571">
        <v>0</v>
      </c>
      <c r="I571">
        <v>6624.36</v>
      </c>
      <c r="J571">
        <v>45106.54</v>
      </c>
      <c r="L571" s="7"/>
    </row>
    <row r="572" spans="2:12" customFormat="1" x14ac:dyDescent="0.25">
      <c r="B572" t="s">
        <v>662</v>
      </c>
      <c r="C572" t="s">
        <v>97</v>
      </c>
      <c r="D572" t="s">
        <v>891</v>
      </c>
      <c r="E572" t="s">
        <v>270</v>
      </c>
      <c r="F572" t="s">
        <v>176</v>
      </c>
      <c r="H572">
        <v>0</v>
      </c>
      <c r="I572">
        <v>570.63</v>
      </c>
      <c r="J572">
        <v>59073.16</v>
      </c>
      <c r="L572" s="7"/>
    </row>
    <row r="573" spans="2:12" customFormat="1" x14ac:dyDescent="0.25">
      <c r="B573" t="s">
        <v>662</v>
      </c>
      <c r="C573" t="s">
        <v>98</v>
      </c>
      <c r="D573" t="s">
        <v>891</v>
      </c>
      <c r="E573" t="s">
        <v>271</v>
      </c>
      <c r="F573" t="s">
        <v>177</v>
      </c>
      <c r="H573">
        <v>0</v>
      </c>
      <c r="I573">
        <v>18856.5</v>
      </c>
      <c r="J573">
        <v>59849.03</v>
      </c>
      <c r="L573" s="7"/>
    </row>
    <row r="574" spans="2:12" customFormat="1" x14ac:dyDescent="0.25">
      <c r="B574" t="s">
        <v>662</v>
      </c>
      <c r="C574" t="s">
        <v>67</v>
      </c>
      <c r="D574" t="s">
        <v>891</v>
      </c>
      <c r="E574" t="s">
        <v>276</v>
      </c>
      <c r="F574" t="s">
        <v>182</v>
      </c>
      <c r="H574">
        <v>43725.93</v>
      </c>
      <c r="I574">
        <v>223564.83</v>
      </c>
      <c r="J574">
        <v>731385.85</v>
      </c>
      <c r="L574" s="7"/>
    </row>
    <row r="575" spans="2:12" customFormat="1" x14ac:dyDescent="0.25">
      <c r="B575" t="s">
        <v>662</v>
      </c>
      <c r="C575" t="s">
        <v>102</v>
      </c>
      <c r="D575" t="s">
        <v>891</v>
      </c>
      <c r="E575" t="s">
        <v>277</v>
      </c>
      <c r="F575" t="s">
        <v>183</v>
      </c>
      <c r="H575">
        <v>0</v>
      </c>
      <c r="I575">
        <v>5112.72</v>
      </c>
      <c r="J575">
        <v>16801.419999999998</v>
      </c>
      <c r="L575" s="7"/>
    </row>
    <row r="576" spans="2:12" customFormat="1" x14ac:dyDescent="0.25">
      <c r="B576" t="s">
        <v>662</v>
      </c>
      <c r="C576" t="s">
        <v>604</v>
      </c>
      <c r="D576" t="s">
        <v>891</v>
      </c>
      <c r="E576" t="s">
        <v>605</v>
      </c>
      <c r="F576" t="s">
        <v>606</v>
      </c>
      <c r="H576">
        <v>458284.75</v>
      </c>
      <c r="I576">
        <v>510120.4</v>
      </c>
      <c r="J576">
        <v>98746.12</v>
      </c>
      <c r="L576" s="7"/>
    </row>
    <row r="577" spans="2:12" customFormat="1" x14ac:dyDescent="0.25">
      <c r="B577" t="s">
        <v>662</v>
      </c>
      <c r="C577" t="s">
        <v>105</v>
      </c>
      <c r="D577" t="s">
        <v>891</v>
      </c>
      <c r="E577" t="s">
        <v>281</v>
      </c>
      <c r="F577" t="s">
        <v>187</v>
      </c>
      <c r="H577">
        <v>0</v>
      </c>
      <c r="I577">
        <v>49.4</v>
      </c>
      <c r="J577">
        <v>49.4</v>
      </c>
      <c r="L577" s="7"/>
    </row>
    <row r="578" spans="2:12" customFormat="1" x14ac:dyDescent="0.25">
      <c r="B578" t="s">
        <v>662</v>
      </c>
      <c r="C578" t="s">
        <v>106</v>
      </c>
      <c r="D578" t="s">
        <v>891</v>
      </c>
      <c r="E578" t="s">
        <v>282</v>
      </c>
      <c r="F578" t="s">
        <v>188</v>
      </c>
      <c r="H578">
        <v>0</v>
      </c>
      <c r="I578">
        <v>2684.82</v>
      </c>
      <c r="J578">
        <v>6675.75</v>
      </c>
      <c r="L578" s="7"/>
    </row>
    <row r="579" spans="2:12" customFormat="1" x14ac:dyDescent="0.25">
      <c r="B579" t="s">
        <v>662</v>
      </c>
      <c r="C579" t="s">
        <v>107</v>
      </c>
      <c r="D579" t="s">
        <v>891</v>
      </c>
      <c r="E579" t="s">
        <v>283</v>
      </c>
      <c r="F579" t="s">
        <v>189</v>
      </c>
      <c r="H579">
        <v>0</v>
      </c>
      <c r="I579">
        <v>0</v>
      </c>
      <c r="J579">
        <v>48.88</v>
      </c>
      <c r="L579" s="7"/>
    </row>
    <row r="580" spans="2:12" customFormat="1" x14ac:dyDescent="0.25">
      <c r="B580" t="s">
        <v>662</v>
      </c>
      <c r="C580" t="s">
        <v>803</v>
      </c>
      <c r="D580" t="s">
        <v>891</v>
      </c>
      <c r="E580" t="s">
        <v>804</v>
      </c>
      <c r="F580" t="s">
        <v>805</v>
      </c>
      <c r="H580">
        <v>0</v>
      </c>
      <c r="I580">
        <v>0</v>
      </c>
      <c r="J580">
        <v>1074.94</v>
      </c>
      <c r="L580" s="7"/>
    </row>
    <row r="581" spans="2:12" customFormat="1" x14ac:dyDescent="0.25">
      <c r="B581" t="s">
        <v>662</v>
      </c>
      <c r="C581" t="s">
        <v>630</v>
      </c>
      <c r="D581" t="s">
        <v>891</v>
      </c>
      <c r="E581" t="s">
        <v>631</v>
      </c>
      <c r="F581" t="s">
        <v>632</v>
      </c>
      <c r="H581">
        <v>0</v>
      </c>
      <c r="I581">
        <v>0</v>
      </c>
      <c r="J581">
        <v>4383.13</v>
      </c>
      <c r="L581" s="7"/>
    </row>
    <row r="582" spans="2:12" customFormat="1" x14ac:dyDescent="0.25">
      <c r="B582" t="s">
        <v>662</v>
      </c>
      <c r="C582" t="s">
        <v>69</v>
      </c>
      <c r="D582" t="s">
        <v>891</v>
      </c>
      <c r="E582" t="s">
        <v>284</v>
      </c>
      <c r="F582" t="s">
        <v>190</v>
      </c>
      <c r="H582">
        <v>0</v>
      </c>
      <c r="I582">
        <v>33350.97</v>
      </c>
      <c r="J582">
        <v>36138.910000000003</v>
      </c>
      <c r="L582" s="7"/>
    </row>
    <row r="583" spans="2:12" customFormat="1" x14ac:dyDescent="0.25">
      <c r="B583" t="s">
        <v>662</v>
      </c>
      <c r="C583" t="s">
        <v>643</v>
      </c>
      <c r="D583" t="s">
        <v>891</v>
      </c>
      <c r="E583" t="s">
        <v>644</v>
      </c>
      <c r="F583" t="s">
        <v>645</v>
      </c>
      <c r="H583">
        <v>0</v>
      </c>
      <c r="I583">
        <v>0</v>
      </c>
      <c r="J583">
        <v>392.57</v>
      </c>
      <c r="L583" s="7"/>
    </row>
    <row r="584" spans="2:12" customFormat="1" x14ac:dyDescent="0.25">
      <c r="B584" t="s">
        <v>662</v>
      </c>
      <c r="C584" t="s">
        <v>557</v>
      </c>
      <c r="D584" t="s">
        <v>891</v>
      </c>
      <c r="E584" t="s">
        <v>558</v>
      </c>
      <c r="F584" t="s">
        <v>559</v>
      </c>
      <c r="H584">
        <v>0</v>
      </c>
      <c r="I584">
        <v>49902</v>
      </c>
      <c r="J584">
        <v>49902</v>
      </c>
      <c r="L584" s="7"/>
    </row>
    <row r="585" spans="2:12" customFormat="1" x14ac:dyDescent="0.25">
      <c r="B585" t="s">
        <v>662</v>
      </c>
      <c r="C585" t="s">
        <v>70</v>
      </c>
      <c r="D585" t="s">
        <v>891</v>
      </c>
      <c r="E585" t="s">
        <v>286</v>
      </c>
      <c r="F585" t="s">
        <v>192</v>
      </c>
      <c r="H585">
        <v>193229.06</v>
      </c>
      <c r="I585">
        <v>201306.08</v>
      </c>
      <c r="J585">
        <v>41137.050000000003</v>
      </c>
      <c r="L585" s="7"/>
    </row>
    <row r="586" spans="2:12" customFormat="1" x14ac:dyDescent="0.25">
      <c r="B586" t="s">
        <v>662</v>
      </c>
      <c r="C586" t="s">
        <v>109</v>
      </c>
      <c r="D586" t="s">
        <v>891</v>
      </c>
      <c r="E586" t="s">
        <v>287</v>
      </c>
      <c r="F586" t="s">
        <v>193</v>
      </c>
      <c r="H586">
        <v>0</v>
      </c>
      <c r="I586">
        <v>1035.1400000000001</v>
      </c>
      <c r="J586">
        <v>17470.330000000002</v>
      </c>
      <c r="L586" s="7"/>
    </row>
    <row r="587" spans="2:12" customFormat="1" x14ac:dyDescent="0.25">
      <c r="B587" t="s">
        <v>662</v>
      </c>
      <c r="C587" t="s">
        <v>806</v>
      </c>
      <c r="D587" t="s">
        <v>891</v>
      </c>
      <c r="E587" t="s">
        <v>807</v>
      </c>
      <c r="F587" t="s">
        <v>808</v>
      </c>
      <c r="H587">
        <v>0</v>
      </c>
      <c r="I587">
        <v>0</v>
      </c>
      <c r="J587">
        <v>878.6</v>
      </c>
      <c r="L587" s="7"/>
    </row>
    <row r="588" spans="2:12" customFormat="1" x14ac:dyDescent="0.25">
      <c r="B588" t="s">
        <v>662</v>
      </c>
      <c r="C588" t="s">
        <v>110</v>
      </c>
      <c r="D588" t="s">
        <v>891</v>
      </c>
      <c r="E588" t="s">
        <v>288</v>
      </c>
      <c r="F588" t="s">
        <v>194</v>
      </c>
      <c r="H588">
        <v>0</v>
      </c>
      <c r="I588">
        <v>548</v>
      </c>
      <c r="J588">
        <v>548</v>
      </c>
      <c r="L588" s="7"/>
    </row>
    <row r="589" spans="2:12" customFormat="1" x14ac:dyDescent="0.25">
      <c r="B589" t="s">
        <v>662</v>
      </c>
      <c r="C589" t="s">
        <v>809</v>
      </c>
      <c r="D589" t="s">
        <v>891</v>
      </c>
      <c r="E589" t="s">
        <v>810</v>
      </c>
      <c r="F589" t="s">
        <v>811</v>
      </c>
      <c r="H589">
        <v>0</v>
      </c>
      <c r="I589">
        <v>0</v>
      </c>
      <c r="J589">
        <v>2008.96</v>
      </c>
      <c r="L589" s="7"/>
    </row>
    <row r="590" spans="2:12" customFormat="1" x14ac:dyDescent="0.25">
      <c r="B590" t="s">
        <v>662</v>
      </c>
      <c r="C590" t="s">
        <v>440</v>
      </c>
      <c r="D590" t="s">
        <v>891</v>
      </c>
      <c r="E590" t="s">
        <v>441</v>
      </c>
      <c r="F590" t="s">
        <v>442</v>
      </c>
      <c r="H590">
        <v>49902</v>
      </c>
      <c r="I590">
        <v>49902</v>
      </c>
      <c r="J590">
        <v>22116.87</v>
      </c>
      <c r="L590" s="7"/>
    </row>
    <row r="591" spans="2:12" customFormat="1" x14ac:dyDescent="0.25">
      <c r="B591" t="s">
        <v>662</v>
      </c>
      <c r="C591" t="s">
        <v>812</v>
      </c>
      <c r="D591" t="s">
        <v>891</v>
      </c>
      <c r="E591" t="s">
        <v>813</v>
      </c>
      <c r="F591" t="s">
        <v>814</v>
      </c>
      <c r="H591">
        <v>0</v>
      </c>
      <c r="I591">
        <v>17816.53</v>
      </c>
      <c r="J591">
        <v>111406.98</v>
      </c>
      <c r="L591" s="7"/>
    </row>
    <row r="592" spans="2:12" customFormat="1" x14ac:dyDescent="0.25">
      <c r="B592" t="s">
        <v>662</v>
      </c>
      <c r="C592" t="s">
        <v>815</v>
      </c>
      <c r="D592" t="s">
        <v>891</v>
      </c>
      <c r="E592" t="s">
        <v>816</v>
      </c>
      <c r="F592" t="s">
        <v>817</v>
      </c>
      <c r="H592">
        <v>0</v>
      </c>
      <c r="I592">
        <v>34.24</v>
      </c>
      <c r="J592">
        <v>89.4</v>
      </c>
      <c r="L592" s="7"/>
    </row>
    <row r="593" spans="2:12" customFormat="1" x14ac:dyDescent="0.25">
      <c r="B593" t="s">
        <v>662</v>
      </c>
      <c r="C593" t="s">
        <v>818</v>
      </c>
      <c r="D593" t="s">
        <v>891</v>
      </c>
      <c r="E593" t="s">
        <v>819</v>
      </c>
      <c r="F593" t="s">
        <v>820</v>
      </c>
      <c r="H593">
        <v>0</v>
      </c>
      <c r="I593">
        <v>111.7</v>
      </c>
      <c r="J593">
        <v>1132.9000000000001</v>
      </c>
      <c r="L593" s="7"/>
    </row>
    <row r="594" spans="2:12" customFormat="1" x14ac:dyDescent="0.25">
      <c r="B594" t="s">
        <v>662</v>
      </c>
      <c r="C594" t="s">
        <v>821</v>
      </c>
      <c r="D594" t="s">
        <v>891</v>
      </c>
      <c r="E594" t="s">
        <v>822</v>
      </c>
      <c r="F594" t="s">
        <v>823</v>
      </c>
      <c r="H594">
        <v>0</v>
      </c>
      <c r="I594">
        <v>7418.16</v>
      </c>
      <c r="J594">
        <v>42362.85</v>
      </c>
      <c r="L594" s="7"/>
    </row>
    <row r="595" spans="2:12" customFormat="1" x14ac:dyDescent="0.25">
      <c r="B595" t="s">
        <v>662</v>
      </c>
      <c r="C595" t="s">
        <v>824</v>
      </c>
      <c r="D595" t="s">
        <v>891</v>
      </c>
      <c r="E595" t="s">
        <v>825</v>
      </c>
      <c r="F595" t="s">
        <v>826</v>
      </c>
      <c r="H595">
        <v>0</v>
      </c>
      <c r="I595">
        <v>0.3</v>
      </c>
      <c r="J595">
        <v>18.38</v>
      </c>
      <c r="L595" s="7"/>
    </row>
    <row r="596" spans="2:12" customFormat="1" x14ac:dyDescent="0.25">
      <c r="B596" t="s">
        <v>662</v>
      </c>
      <c r="C596" t="s">
        <v>827</v>
      </c>
      <c r="D596" t="s">
        <v>891</v>
      </c>
      <c r="E596" t="s">
        <v>828</v>
      </c>
      <c r="F596" t="s">
        <v>829</v>
      </c>
      <c r="H596">
        <v>489.58</v>
      </c>
      <c r="I596">
        <v>0</v>
      </c>
      <c r="J596">
        <v>4504.62</v>
      </c>
      <c r="L596" s="7"/>
    </row>
    <row r="597" spans="2:12" customFormat="1" x14ac:dyDescent="0.25">
      <c r="B597" t="s">
        <v>662</v>
      </c>
      <c r="C597" t="s">
        <v>398</v>
      </c>
      <c r="D597" t="s">
        <v>891</v>
      </c>
      <c r="E597" t="s">
        <v>399</v>
      </c>
      <c r="F597" t="s">
        <v>400</v>
      </c>
      <c r="H597">
        <v>0</v>
      </c>
      <c r="I597">
        <v>2888.62</v>
      </c>
      <c r="J597">
        <v>20220.34</v>
      </c>
      <c r="L597" s="7"/>
    </row>
    <row r="598" spans="2:12" customFormat="1" x14ac:dyDescent="0.25">
      <c r="B598" t="s">
        <v>662</v>
      </c>
      <c r="C598" t="s">
        <v>443</v>
      </c>
      <c r="D598" t="s">
        <v>891</v>
      </c>
      <c r="E598" t="s">
        <v>444</v>
      </c>
      <c r="F598" t="s">
        <v>445</v>
      </c>
      <c r="H598">
        <v>0</v>
      </c>
      <c r="I598">
        <v>103.62</v>
      </c>
      <c r="J598">
        <v>725.34</v>
      </c>
      <c r="L598" s="7"/>
    </row>
    <row r="599" spans="2:12" customFormat="1" x14ac:dyDescent="0.25">
      <c r="B599" t="s">
        <v>662</v>
      </c>
      <c r="C599" t="s">
        <v>404</v>
      </c>
      <c r="D599" t="s">
        <v>891</v>
      </c>
      <c r="E599" t="s">
        <v>405</v>
      </c>
      <c r="F599" t="s">
        <v>406</v>
      </c>
      <c r="H599">
        <v>0</v>
      </c>
      <c r="I599">
        <v>0</v>
      </c>
      <c r="J599">
        <v>29747.03</v>
      </c>
      <c r="L599" s="7"/>
    </row>
    <row r="600" spans="2:12" customFormat="1" x14ac:dyDescent="0.25">
      <c r="B600" t="s">
        <v>662</v>
      </c>
      <c r="C600" t="s">
        <v>407</v>
      </c>
      <c r="D600" t="s">
        <v>891</v>
      </c>
      <c r="E600" t="s">
        <v>408</v>
      </c>
      <c r="F600" t="s">
        <v>409</v>
      </c>
      <c r="H600">
        <v>0</v>
      </c>
      <c r="I600">
        <v>0</v>
      </c>
      <c r="J600">
        <v>599.47</v>
      </c>
      <c r="L600" s="7"/>
    </row>
    <row r="601" spans="2:12" customFormat="1" x14ac:dyDescent="0.25">
      <c r="B601" t="s">
        <v>662</v>
      </c>
      <c r="C601" t="s">
        <v>830</v>
      </c>
      <c r="D601" t="s">
        <v>891</v>
      </c>
      <c r="E601" t="s">
        <v>831</v>
      </c>
      <c r="F601" t="s">
        <v>832</v>
      </c>
      <c r="H601">
        <v>0</v>
      </c>
      <c r="I601">
        <v>0</v>
      </c>
      <c r="J601">
        <v>1397953.88</v>
      </c>
      <c r="L601" s="7"/>
    </row>
    <row r="602" spans="2:12" customFormat="1" x14ac:dyDescent="0.25">
      <c r="B602" t="s">
        <v>662</v>
      </c>
      <c r="C602" t="s">
        <v>71</v>
      </c>
      <c r="D602" t="s">
        <v>891</v>
      </c>
      <c r="E602" t="s">
        <v>291</v>
      </c>
      <c r="F602" t="s">
        <v>197</v>
      </c>
      <c r="H602">
        <v>0</v>
      </c>
      <c r="I602">
        <v>1</v>
      </c>
      <c r="J602">
        <v>6</v>
      </c>
      <c r="L602" s="7"/>
    </row>
    <row r="603" spans="2:12" customFormat="1" x14ac:dyDescent="0.25">
      <c r="B603" t="s">
        <v>662</v>
      </c>
      <c r="C603" t="s">
        <v>72</v>
      </c>
      <c r="D603" t="s">
        <v>891</v>
      </c>
      <c r="E603" t="s">
        <v>292</v>
      </c>
      <c r="F603" t="s">
        <v>198</v>
      </c>
      <c r="H603">
        <v>0</v>
      </c>
      <c r="I603">
        <v>1878.53</v>
      </c>
      <c r="J603">
        <v>8915.2800000000007</v>
      </c>
      <c r="L603" s="7"/>
    </row>
    <row r="604" spans="2:12" customFormat="1" x14ac:dyDescent="0.25">
      <c r="B604" t="s">
        <v>662</v>
      </c>
      <c r="C604" t="s">
        <v>73</v>
      </c>
      <c r="D604" t="s">
        <v>891</v>
      </c>
      <c r="E604" t="s">
        <v>293</v>
      </c>
      <c r="F604" t="s">
        <v>199</v>
      </c>
      <c r="H604">
        <v>1878.53</v>
      </c>
      <c r="I604">
        <v>2078.5700000000002</v>
      </c>
      <c r="J604">
        <v>-18827.97</v>
      </c>
      <c r="L604" s="7"/>
    </row>
    <row r="605" spans="2:12" customFormat="1" x14ac:dyDescent="0.25">
      <c r="B605" t="s">
        <v>662</v>
      </c>
      <c r="C605" t="s">
        <v>833</v>
      </c>
      <c r="D605" t="s">
        <v>891</v>
      </c>
      <c r="E605" t="s">
        <v>834</v>
      </c>
      <c r="F605" t="s">
        <v>835</v>
      </c>
      <c r="H605">
        <v>0</v>
      </c>
      <c r="I605">
        <v>1143653.03</v>
      </c>
      <c r="J605">
        <v>3148288.36</v>
      </c>
      <c r="L605" s="7"/>
    </row>
    <row r="606" spans="2:12" customFormat="1" x14ac:dyDescent="0.25">
      <c r="B606" t="s">
        <v>836</v>
      </c>
      <c r="C606" t="s">
        <v>85</v>
      </c>
      <c r="D606" t="s">
        <v>891</v>
      </c>
      <c r="E606" t="s">
        <v>240</v>
      </c>
      <c r="F606" t="s">
        <v>146</v>
      </c>
      <c r="H606">
        <v>0</v>
      </c>
      <c r="I606">
        <v>0</v>
      </c>
      <c r="J606">
        <v>-6157.08</v>
      </c>
      <c r="L606" s="7"/>
    </row>
    <row r="607" spans="2:12" customFormat="1" x14ac:dyDescent="0.25">
      <c r="B607" t="s">
        <v>836</v>
      </c>
      <c r="C607" t="s">
        <v>377</v>
      </c>
      <c r="D607" t="s">
        <v>891</v>
      </c>
      <c r="E607" t="s">
        <v>378</v>
      </c>
      <c r="F607" t="s">
        <v>379</v>
      </c>
      <c r="H607">
        <v>0</v>
      </c>
      <c r="I607">
        <v>0</v>
      </c>
      <c r="J607">
        <v>4578.8599999999997</v>
      </c>
      <c r="L607" s="7"/>
    </row>
    <row r="608" spans="2:12" customFormat="1" x14ac:dyDescent="0.25">
      <c r="B608" t="s">
        <v>836</v>
      </c>
      <c r="C608" t="s">
        <v>102</v>
      </c>
      <c r="D608" t="s">
        <v>891</v>
      </c>
      <c r="E608" t="s">
        <v>277</v>
      </c>
      <c r="F608" t="s">
        <v>183</v>
      </c>
      <c r="H608">
        <v>0</v>
      </c>
      <c r="I608">
        <v>0</v>
      </c>
      <c r="J608">
        <v>1255.32</v>
      </c>
      <c r="L608" s="7"/>
    </row>
    <row r="609" spans="2:12" customFormat="1" x14ac:dyDescent="0.25">
      <c r="B609" t="s">
        <v>836</v>
      </c>
      <c r="C609" t="s">
        <v>110</v>
      </c>
      <c r="D609" t="s">
        <v>891</v>
      </c>
      <c r="E609" t="s">
        <v>288</v>
      </c>
      <c r="F609" t="s">
        <v>194</v>
      </c>
      <c r="H609">
        <v>0</v>
      </c>
      <c r="I609">
        <v>0</v>
      </c>
      <c r="J609">
        <v>249.9</v>
      </c>
      <c r="L609" s="7"/>
    </row>
    <row r="610" spans="2:12" customFormat="1" x14ac:dyDescent="0.25">
      <c r="B610" t="s">
        <v>836</v>
      </c>
      <c r="C610" t="s">
        <v>71</v>
      </c>
      <c r="D610" t="s">
        <v>891</v>
      </c>
      <c r="E610" t="s">
        <v>291</v>
      </c>
      <c r="F610" t="s">
        <v>197</v>
      </c>
      <c r="H610">
        <v>0</v>
      </c>
      <c r="I610">
        <v>0</v>
      </c>
      <c r="J610">
        <v>73</v>
      </c>
      <c r="L610" s="7"/>
    </row>
    <row r="611" spans="2:12" customFormat="1" x14ac:dyDescent="0.25">
      <c r="B611" t="s">
        <v>837</v>
      </c>
      <c r="C611" t="s">
        <v>30</v>
      </c>
      <c r="D611" t="s">
        <v>891</v>
      </c>
      <c r="E611" t="s">
        <v>215</v>
      </c>
      <c r="F611" t="s">
        <v>120</v>
      </c>
      <c r="H611">
        <v>246827.33</v>
      </c>
      <c r="I611">
        <v>15340.92</v>
      </c>
      <c r="J611">
        <v>2145.44</v>
      </c>
      <c r="L611" s="7"/>
    </row>
    <row r="612" spans="2:12" customFormat="1" x14ac:dyDescent="0.25">
      <c r="B612" t="s">
        <v>837</v>
      </c>
      <c r="C612" t="s">
        <v>81</v>
      </c>
      <c r="D612" t="s">
        <v>891</v>
      </c>
      <c r="E612" t="s">
        <v>216</v>
      </c>
      <c r="F612" t="s">
        <v>121</v>
      </c>
      <c r="H612">
        <v>15410.53</v>
      </c>
      <c r="I612">
        <v>0</v>
      </c>
      <c r="J612">
        <v>0</v>
      </c>
      <c r="L612" s="7"/>
    </row>
    <row r="613" spans="2:12" customFormat="1" x14ac:dyDescent="0.25">
      <c r="B613" t="s">
        <v>837</v>
      </c>
      <c r="C613" t="s">
        <v>32</v>
      </c>
      <c r="D613" t="s">
        <v>891</v>
      </c>
      <c r="E613" t="s">
        <v>218</v>
      </c>
      <c r="F613" t="s">
        <v>123</v>
      </c>
      <c r="H613">
        <v>0</v>
      </c>
      <c r="I613">
        <v>0</v>
      </c>
      <c r="J613">
        <v>82146.429999999993</v>
      </c>
      <c r="L613" s="7"/>
    </row>
    <row r="614" spans="2:12" customFormat="1" x14ac:dyDescent="0.25">
      <c r="B614" t="s">
        <v>837</v>
      </c>
      <c r="C614" t="s">
        <v>34</v>
      </c>
      <c r="D614" t="s">
        <v>891</v>
      </c>
      <c r="E614" t="s">
        <v>220</v>
      </c>
      <c r="F614" t="s">
        <v>125</v>
      </c>
      <c r="H614">
        <v>0</v>
      </c>
      <c r="I614">
        <v>51.62</v>
      </c>
      <c r="J614">
        <v>0</v>
      </c>
      <c r="L614" s="7"/>
    </row>
    <row r="615" spans="2:12" customFormat="1" x14ac:dyDescent="0.25">
      <c r="B615" t="s">
        <v>837</v>
      </c>
      <c r="C615" t="s">
        <v>36</v>
      </c>
      <c r="D615" t="s">
        <v>891</v>
      </c>
      <c r="E615" t="s">
        <v>222</v>
      </c>
      <c r="F615" t="s">
        <v>128</v>
      </c>
      <c r="H615">
        <v>0.34</v>
      </c>
      <c r="I615">
        <v>0</v>
      </c>
      <c r="J615">
        <v>580.79999999999995</v>
      </c>
      <c r="L615" s="7"/>
    </row>
    <row r="616" spans="2:12" customFormat="1" x14ac:dyDescent="0.25">
      <c r="B616" t="s">
        <v>837</v>
      </c>
      <c r="C616" t="s">
        <v>37</v>
      </c>
      <c r="D616" t="s">
        <v>891</v>
      </c>
      <c r="E616" t="s">
        <v>223</v>
      </c>
      <c r="F616" t="s">
        <v>129</v>
      </c>
      <c r="H616">
        <v>2.06</v>
      </c>
      <c r="I616">
        <v>0</v>
      </c>
      <c r="J616">
        <v>2675.45</v>
      </c>
      <c r="L616" s="7"/>
    </row>
    <row r="617" spans="2:12" customFormat="1" x14ac:dyDescent="0.25">
      <c r="B617" t="s">
        <v>837</v>
      </c>
      <c r="C617" t="s">
        <v>40</v>
      </c>
      <c r="D617" t="s">
        <v>891</v>
      </c>
      <c r="E617" t="s">
        <v>227</v>
      </c>
      <c r="F617" t="s">
        <v>133</v>
      </c>
      <c r="H617">
        <v>4084.69</v>
      </c>
      <c r="I617">
        <v>4664.3599999999997</v>
      </c>
      <c r="J617">
        <v>-2318.59</v>
      </c>
      <c r="L617" s="7"/>
    </row>
    <row r="618" spans="2:12" customFormat="1" x14ac:dyDescent="0.25">
      <c r="B618" t="s">
        <v>837</v>
      </c>
      <c r="C618" t="s">
        <v>84</v>
      </c>
      <c r="D618" t="s">
        <v>891</v>
      </c>
      <c r="E618" t="s">
        <v>230</v>
      </c>
      <c r="F618" t="s">
        <v>136</v>
      </c>
      <c r="H618">
        <v>0</v>
      </c>
      <c r="I618">
        <v>0</v>
      </c>
      <c r="J618">
        <v>-7899.61</v>
      </c>
      <c r="L618" s="7"/>
    </row>
    <row r="619" spans="2:12" customFormat="1" x14ac:dyDescent="0.25">
      <c r="B619" t="s">
        <v>837</v>
      </c>
      <c r="C619" t="s">
        <v>41</v>
      </c>
      <c r="D619" t="s">
        <v>891</v>
      </c>
      <c r="E619" t="s">
        <v>231</v>
      </c>
      <c r="F619" t="s">
        <v>137</v>
      </c>
      <c r="H619">
        <v>0</v>
      </c>
      <c r="I619">
        <v>0</v>
      </c>
      <c r="J619">
        <v>1627.8</v>
      </c>
      <c r="L619" s="7"/>
    </row>
    <row r="620" spans="2:12" customFormat="1" x14ac:dyDescent="0.25">
      <c r="B620" t="s">
        <v>837</v>
      </c>
      <c r="C620" t="s">
        <v>42</v>
      </c>
      <c r="D620" t="s">
        <v>891</v>
      </c>
      <c r="E620" t="s">
        <v>232</v>
      </c>
      <c r="F620" t="s">
        <v>138</v>
      </c>
      <c r="H620">
        <v>0.34</v>
      </c>
      <c r="I620">
        <v>0.34</v>
      </c>
      <c r="J620">
        <v>0</v>
      </c>
      <c r="L620" s="7"/>
    </row>
    <row r="621" spans="2:12" customFormat="1" x14ac:dyDescent="0.25">
      <c r="B621" t="s">
        <v>837</v>
      </c>
      <c r="C621" t="s">
        <v>43</v>
      </c>
      <c r="D621" t="s">
        <v>891</v>
      </c>
      <c r="E621" t="s">
        <v>233</v>
      </c>
      <c r="F621" t="s">
        <v>139</v>
      </c>
      <c r="H621">
        <v>2.06</v>
      </c>
      <c r="I621">
        <v>2.06</v>
      </c>
      <c r="J621">
        <v>0</v>
      </c>
      <c r="L621" s="7"/>
    </row>
    <row r="622" spans="2:12" customFormat="1" x14ac:dyDescent="0.25">
      <c r="B622" t="s">
        <v>837</v>
      </c>
      <c r="C622" t="s">
        <v>44</v>
      </c>
      <c r="D622" t="s">
        <v>891</v>
      </c>
      <c r="E622" t="s">
        <v>235</v>
      </c>
      <c r="F622" t="s">
        <v>141</v>
      </c>
      <c r="H622">
        <v>33.950000000000003</v>
      </c>
      <c r="I622">
        <v>3.4</v>
      </c>
      <c r="J622">
        <v>-34.450000000000003</v>
      </c>
      <c r="L622" s="7"/>
    </row>
    <row r="623" spans="2:12" customFormat="1" x14ac:dyDescent="0.25">
      <c r="B623" t="s">
        <v>837</v>
      </c>
      <c r="C623" t="s">
        <v>45</v>
      </c>
      <c r="D623" t="s">
        <v>891</v>
      </c>
      <c r="E623" t="s">
        <v>236</v>
      </c>
      <c r="F623" t="s">
        <v>142</v>
      </c>
      <c r="H623">
        <v>105.26</v>
      </c>
      <c r="I623">
        <v>15.83</v>
      </c>
      <c r="J623">
        <v>-179.76</v>
      </c>
      <c r="L623" s="7"/>
    </row>
    <row r="624" spans="2:12" customFormat="1" x14ac:dyDescent="0.25">
      <c r="B624" t="s">
        <v>837</v>
      </c>
      <c r="C624" t="s">
        <v>46</v>
      </c>
      <c r="D624" t="s">
        <v>891</v>
      </c>
      <c r="E624" t="s">
        <v>237</v>
      </c>
      <c r="F624" t="s">
        <v>143</v>
      </c>
      <c r="H624">
        <v>0</v>
      </c>
      <c r="I624">
        <v>0</v>
      </c>
      <c r="J624">
        <v>-1200000</v>
      </c>
      <c r="L624" s="7"/>
    </row>
    <row r="625" spans="2:12" customFormat="1" x14ac:dyDescent="0.25">
      <c r="B625" t="s">
        <v>837</v>
      </c>
      <c r="C625" t="s">
        <v>47</v>
      </c>
      <c r="D625" t="s">
        <v>891</v>
      </c>
      <c r="E625" t="s">
        <v>238</v>
      </c>
      <c r="F625" t="s">
        <v>144</v>
      </c>
      <c r="H625">
        <v>0</v>
      </c>
      <c r="I625">
        <v>0</v>
      </c>
      <c r="J625">
        <v>350000</v>
      </c>
      <c r="L625" s="7"/>
    </row>
    <row r="626" spans="2:12" customFormat="1" x14ac:dyDescent="0.25">
      <c r="B626" t="s">
        <v>837</v>
      </c>
      <c r="C626" t="s">
        <v>85</v>
      </c>
      <c r="D626" t="s">
        <v>891</v>
      </c>
      <c r="E626" t="s">
        <v>240</v>
      </c>
      <c r="F626" t="s">
        <v>146</v>
      </c>
      <c r="H626">
        <v>0</v>
      </c>
      <c r="I626">
        <v>0</v>
      </c>
      <c r="J626">
        <v>377531.04</v>
      </c>
      <c r="L626" s="7"/>
    </row>
    <row r="627" spans="2:12" customFormat="1" x14ac:dyDescent="0.25">
      <c r="B627" t="s">
        <v>837</v>
      </c>
      <c r="C627" t="s">
        <v>371</v>
      </c>
      <c r="D627" t="s">
        <v>891</v>
      </c>
      <c r="E627" t="s">
        <v>372</v>
      </c>
      <c r="F627" t="s">
        <v>373</v>
      </c>
      <c r="H627">
        <v>0</v>
      </c>
      <c r="I627">
        <v>0</v>
      </c>
      <c r="J627">
        <v>-398943.23</v>
      </c>
      <c r="L627" s="7"/>
    </row>
    <row r="628" spans="2:12" customFormat="1" x14ac:dyDescent="0.25">
      <c r="B628" t="s">
        <v>837</v>
      </c>
      <c r="C628" t="s">
        <v>374</v>
      </c>
      <c r="D628" t="s">
        <v>891</v>
      </c>
      <c r="E628" t="s">
        <v>375</v>
      </c>
      <c r="F628" t="s">
        <v>376</v>
      </c>
      <c r="H628">
        <v>0</v>
      </c>
      <c r="I628">
        <v>0</v>
      </c>
      <c r="J628">
        <v>-10349.61</v>
      </c>
      <c r="L628" s="7"/>
    </row>
    <row r="629" spans="2:12" customFormat="1" x14ac:dyDescent="0.25">
      <c r="B629" t="s">
        <v>837</v>
      </c>
      <c r="C629" t="s">
        <v>48</v>
      </c>
      <c r="D629" t="s">
        <v>891</v>
      </c>
      <c r="E629" t="s">
        <v>241</v>
      </c>
      <c r="F629" t="s">
        <v>147</v>
      </c>
      <c r="H629">
        <v>0</v>
      </c>
      <c r="I629">
        <v>0</v>
      </c>
      <c r="J629">
        <v>-1283.58</v>
      </c>
      <c r="L629" s="7"/>
    </row>
    <row r="630" spans="2:12" customFormat="1" x14ac:dyDescent="0.25">
      <c r="B630" t="s">
        <v>837</v>
      </c>
      <c r="C630" t="s">
        <v>86</v>
      </c>
      <c r="D630" t="s">
        <v>891</v>
      </c>
      <c r="E630" t="s">
        <v>242</v>
      </c>
      <c r="F630" t="s">
        <v>148</v>
      </c>
      <c r="H630">
        <v>0</v>
      </c>
      <c r="I630">
        <v>0</v>
      </c>
      <c r="J630">
        <v>-75.91</v>
      </c>
      <c r="L630" s="7"/>
    </row>
    <row r="631" spans="2:12" customFormat="1" x14ac:dyDescent="0.25">
      <c r="B631" t="s">
        <v>837</v>
      </c>
      <c r="C631" t="s">
        <v>50</v>
      </c>
      <c r="D631" t="s">
        <v>891</v>
      </c>
      <c r="E631" t="s">
        <v>244</v>
      </c>
      <c r="F631" t="s">
        <v>150</v>
      </c>
      <c r="H631">
        <v>0</v>
      </c>
      <c r="I631">
        <v>0.34</v>
      </c>
      <c r="J631">
        <v>20.04</v>
      </c>
      <c r="L631" s="7"/>
    </row>
    <row r="632" spans="2:12" customFormat="1" x14ac:dyDescent="0.25">
      <c r="B632" t="s">
        <v>837</v>
      </c>
      <c r="C632" t="s">
        <v>51</v>
      </c>
      <c r="D632" t="s">
        <v>891</v>
      </c>
      <c r="E632" t="s">
        <v>245</v>
      </c>
      <c r="F632" t="s">
        <v>151</v>
      </c>
      <c r="H632">
        <v>0</v>
      </c>
      <c r="I632">
        <v>2.06</v>
      </c>
      <c r="J632">
        <v>92.79</v>
      </c>
      <c r="L632" s="7"/>
    </row>
    <row r="633" spans="2:12" customFormat="1" x14ac:dyDescent="0.25">
      <c r="B633" t="s">
        <v>837</v>
      </c>
      <c r="C633" t="s">
        <v>87</v>
      </c>
      <c r="D633" t="s">
        <v>891</v>
      </c>
      <c r="E633" t="s">
        <v>246</v>
      </c>
      <c r="F633" t="s">
        <v>152</v>
      </c>
      <c r="H633">
        <v>0</v>
      </c>
      <c r="I633">
        <v>0</v>
      </c>
      <c r="J633">
        <v>-76.97</v>
      </c>
      <c r="L633" s="7"/>
    </row>
    <row r="634" spans="2:12" customFormat="1" x14ac:dyDescent="0.25">
      <c r="B634" t="s">
        <v>837</v>
      </c>
      <c r="C634" t="s">
        <v>52</v>
      </c>
      <c r="D634" t="s">
        <v>891</v>
      </c>
      <c r="E634" t="s">
        <v>247</v>
      </c>
      <c r="F634" t="s">
        <v>153</v>
      </c>
      <c r="H634">
        <v>51.62</v>
      </c>
      <c r="I634">
        <v>0</v>
      </c>
      <c r="J634">
        <v>-51.62</v>
      </c>
      <c r="L634" s="7"/>
    </row>
    <row r="635" spans="2:12" customFormat="1" x14ac:dyDescent="0.25">
      <c r="B635" t="s">
        <v>837</v>
      </c>
      <c r="C635" t="s">
        <v>838</v>
      </c>
      <c r="D635" t="s">
        <v>891</v>
      </c>
      <c r="E635" t="s">
        <v>839</v>
      </c>
      <c r="F635" t="s">
        <v>840</v>
      </c>
      <c r="H635">
        <v>0</v>
      </c>
      <c r="I635">
        <v>0</v>
      </c>
      <c r="J635">
        <v>-6000</v>
      </c>
      <c r="L635" s="7"/>
    </row>
    <row r="636" spans="2:12" customFormat="1" x14ac:dyDescent="0.25">
      <c r="B636" t="s">
        <v>837</v>
      </c>
      <c r="C636" t="s">
        <v>377</v>
      </c>
      <c r="D636" t="s">
        <v>891</v>
      </c>
      <c r="E636" t="s">
        <v>378</v>
      </c>
      <c r="F636" t="s">
        <v>379</v>
      </c>
      <c r="H636">
        <v>0</v>
      </c>
      <c r="I636">
        <v>0</v>
      </c>
      <c r="J636">
        <v>391060.25</v>
      </c>
      <c r="L636" s="7"/>
    </row>
    <row r="637" spans="2:12" customFormat="1" x14ac:dyDescent="0.25">
      <c r="B637" t="s">
        <v>837</v>
      </c>
      <c r="C637" t="s">
        <v>53</v>
      </c>
      <c r="D637" t="s">
        <v>891</v>
      </c>
      <c r="E637" t="s">
        <v>249</v>
      </c>
      <c r="F637" t="s">
        <v>155</v>
      </c>
      <c r="H637">
        <v>0</v>
      </c>
      <c r="I637">
        <v>0</v>
      </c>
      <c r="J637">
        <v>11665.6</v>
      </c>
      <c r="L637" s="7"/>
    </row>
    <row r="638" spans="2:12" customFormat="1" x14ac:dyDescent="0.25">
      <c r="B638" t="s">
        <v>837</v>
      </c>
      <c r="C638" t="s">
        <v>54</v>
      </c>
      <c r="D638" t="s">
        <v>891</v>
      </c>
      <c r="E638" t="s">
        <v>250</v>
      </c>
      <c r="F638" t="s">
        <v>156</v>
      </c>
      <c r="H638">
        <v>0</v>
      </c>
      <c r="I638">
        <v>0</v>
      </c>
      <c r="J638">
        <v>16731.95</v>
      </c>
      <c r="L638" s="7"/>
    </row>
    <row r="639" spans="2:12" customFormat="1" x14ac:dyDescent="0.25">
      <c r="B639" t="s">
        <v>837</v>
      </c>
      <c r="C639" t="s">
        <v>55</v>
      </c>
      <c r="D639" t="s">
        <v>891</v>
      </c>
      <c r="E639" t="s">
        <v>252</v>
      </c>
      <c r="F639" t="s">
        <v>158</v>
      </c>
      <c r="H639">
        <v>0</v>
      </c>
      <c r="I639">
        <v>0</v>
      </c>
      <c r="J639">
        <v>1310.71</v>
      </c>
      <c r="L639" s="7"/>
    </row>
    <row r="640" spans="2:12" customFormat="1" x14ac:dyDescent="0.25">
      <c r="B640" t="s">
        <v>837</v>
      </c>
      <c r="C640" t="s">
        <v>56</v>
      </c>
      <c r="D640" t="s">
        <v>891</v>
      </c>
      <c r="E640" t="s">
        <v>253</v>
      </c>
      <c r="F640" t="s">
        <v>159</v>
      </c>
      <c r="H640">
        <v>0</v>
      </c>
      <c r="I640">
        <v>0</v>
      </c>
      <c r="J640">
        <v>6705.74</v>
      </c>
      <c r="L640" s="7"/>
    </row>
    <row r="641" spans="2:12" customFormat="1" x14ac:dyDescent="0.25">
      <c r="B641" t="s">
        <v>837</v>
      </c>
      <c r="C641" t="s">
        <v>57</v>
      </c>
      <c r="D641" t="s">
        <v>891</v>
      </c>
      <c r="E641" t="s">
        <v>254</v>
      </c>
      <c r="F641" t="s">
        <v>160</v>
      </c>
      <c r="H641">
        <v>0</v>
      </c>
      <c r="I641">
        <v>0</v>
      </c>
      <c r="J641">
        <v>-431.69</v>
      </c>
      <c r="L641" s="7"/>
    </row>
    <row r="642" spans="2:12" customFormat="1" x14ac:dyDescent="0.25">
      <c r="B642" t="s">
        <v>837</v>
      </c>
      <c r="C642" t="s">
        <v>58</v>
      </c>
      <c r="D642" t="s">
        <v>891</v>
      </c>
      <c r="E642" t="s">
        <v>255</v>
      </c>
      <c r="F642" t="s">
        <v>161</v>
      </c>
      <c r="H642">
        <v>0</v>
      </c>
      <c r="I642">
        <v>0</v>
      </c>
      <c r="J642">
        <v>9529.68</v>
      </c>
      <c r="L642" s="7"/>
    </row>
    <row r="643" spans="2:12" customFormat="1" x14ac:dyDescent="0.25">
      <c r="B643" t="s">
        <v>837</v>
      </c>
      <c r="C643" t="s">
        <v>59</v>
      </c>
      <c r="D643" t="s">
        <v>891</v>
      </c>
      <c r="E643" t="s">
        <v>256</v>
      </c>
      <c r="F643" t="s">
        <v>162</v>
      </c>
      <c r="H643">
        <v>0</v>
      </c>
      <c r="I643">
        <v>0</v>
      </c>
      <c r="J643">
        <v>2141.81</v>
      </c>
      <c r="L643" s="7"/>
    </row>
    <row r="644" spans="2:12" customFormat="1" x14ac:dyDescent="0.25">
      <c r="B644" t="s">
        <v>837</v>
      </c>
      <c r="C644" t="s">
        <v>90</v>
      </c>
      <c r="D644" t="s">
        <v>891</v>
      </c>
      <c r="E644" t="s">
        <v>257</v>
      </c>
      <c r="F644" t="s">
        <v>163</v>
      </c>
      <c r="H644">
        <v>0</v>
      </c>
      <c r="I644">
        <v>0</v>
      </c>
      <c r="J644">
        <v>12781.25</v>
      </c>
      <c r="L644" s="7"/>
    </row>
    <row r="645" spans="2:12" customFormat="1" x14ac:dyDescent="0.25">
      <c r="B645" t="s">
        <v>837</v>
      </c>
      <c r="C645" t="s">
        <v>60</v>
      </c>
      <c r="D645" t="s">
        <v>891</v>
      </c>
      <c r="E645" t="s">
        <v>258</v>
      </c>
      <c r="F645" t="s">
        <v>164</v>
      </c>
      <c r="H645">
        <v>0</v>
      </c>
      <c r="I645">
        <v>0</v>
      </c>
      <c r="J645">
        <v>323.02999999999997</v>
      </c>
      <c r="L645" s="7"/>
    </row>
    <row r="646" spans="2:12" customFormat="1" x14ac:dyDescent="0.25">
      <c r="B646" t="s">
        <v>837</v>
      </c>
      <c r="C646" t="s">
        <v>61</v>
      </c>
      <c r="D646" t="s">
        <v>891</v>
      </c>
      <c r="E646" t="s">
        <v>259</v>
      </c>
      <c r="F646" t="s">
        <v>165</v>
      </c>
      <c r="H646">
        <v>0</v>
      </c>
      <c r="I646">
        <v>0</v>
      </c>
      <c r="J646">
        <v>8751.3700000000008</v>
      </c>
      <c r="L646" s="7"/>
    </row>
    <row r="647" spans="2:12" customFormat="1" x14ac:dyDescent="0.25">
      <c r="B647" t="s">
        <v>837</v>
      </c>
      <c r="C647" t="s">
        <v>344</v>
      </c>
      <c r="D647" t="s">
        <v>891</v>
      </c>
      <c r="E647" t="s">
        <v>345</v>
      </c>
      <c r="F647" t="s">
        <v>346</v>
      </c>
      <c r="H647">
        <v>0</v>
      </c>
      <c r="I647">
        <v>0</v>
      </c>
      <c r="J647">
        <v>-5512.84</v>
      </c>
      <c r="L647" s="7"/>
    </row>
    <row r="648" spans="2:12" customFormat="1" x14ac:dyDescent="0.25">
      <c r="B648" t="s">
        <v>837</v>
      </c>
      <c r="C648" t="s">
        <v>62</v>
      </c>
      <c r="D648" t="s">
        <v>891</v>
      </c>
      <c r="E648" t="s">
        <v>260</v>
      </c>
      <c r="F648" t="s">
        <v>166</v>
      </c>
      <c r="H648">
        <v>0</v>
      </c>
      <c r="I648">
        <v>0</v>
      </c>
      <c r="J648">
        <v>1319.33</v>
      </c>
      <c r="L648" s="7"/>
    </row>
    <row r="649" spans="2:12" customFormat="1" x14ac:dyDescent="0.25">
      <c r="B649" t="s">
        <v>837</v>
      </c>
      <c r="C649" t="s">
        <v>207</v>
      </c>
      <c r="D649" t="s">
        <v>891</v>
      </c>
      <c r="E649" t="s">
        <v>299</v>
      </c>
      <c r="F649" t="s">
        <v>208</v>
      </c>
      <c r="H649">
        <v>0</v>
      </c>
      <c r="I649">
        <v>0</v>
      </c>
      <c r="J649">
        <v>1279.9000000000001</v>
      </c>
      <c r="L649" s="7"/>
    </row>
    <row r="650" spans="2:12" customFormat="1" x14ac:dyDescent="0.25">
      <c r="B650" t="s">
        <v>837</v>
      </c>
      <c r="C650" t="s">
        <v>380</v>
      </c>
      <c r="D650" t="s">
        <v>891</v>
      </c>
      <c r="E650" t="s">
        <v>381</v>
      </c>
      <c r="F650" t="s">
        <v>382</v>
      </c>
      <c r="H650">
        <v>0</v>
      </c>
      <c r="I650">
        <v>0</v>
      </c>
      <c r="J650">
        <v>1966.75</v>
      </c>
      <c r="L650" s="7"/>
    </row>
    <row r="651" spans="2:12" customFormat="1" x14ac:dyDescent="0.25">
      <c r="B651" t="s">
        <v>837</v>
      </c>
      <c r="C651" t="s">
        <v>383</v>
      </c>
      <c r="D651" t="s">
        <v>891</v>
      </c>
      <c r="E651" t="s">
        <v>384</v>
      </c>
      <c r="F651" t="s">
        <v>385</v>
      </c>
      <c r="H651">
        <v>0</v>
      </c>
      <c r="I651">
        <v>0</v>
      </c>
      <c r="J651">
        <v>1070.1600000000001</v>
      </c>
      <c r="L651" s="7"/>
    </row>
    <row r="652" spans="2:12" customFormat="1" x14ac:dyDescent="0.25">
      <c r="B652" t="s">
        <v>837</v>
      </c>
      <c r="C652" t="s">
        <v>386</v>
      </c>
      <c r="D652" t="s">
        <v>891</v>
      </c>
      <c r="E652" t="s">
        <v>387</v>
      </c>
      <c r="F652" t="s">
        <v>388</v>
      </c>
      <c r="H652">
        <v>0</v>
      </c>
      <c r="I652">
        <v>176.83</v>
      </c>
      <c r="J652">
        <v>2696.65</v>
      </c>
      <c r="L652" s="7"/>
    </row>
    <row r="653" spans="2:12" customFormat="1" x14ac:dyDescent="0.25">
      <c r="B653" t="s">
        <v>837</v>
      </c>
      <c r="C653" t="s">
        <v>350</v>
      </c>
      <c r="D653" t="s">
        <v>891</v>
      </c>
      <c r="E653" t="s">
        <v>351</v>
      </c>
      <c r="F653" t="s">
        <v>352</v>
      </c>
      <c r="H653">
        <v>0</v>
      </c>
      <c r="I653">
        <v>0</v>
      </c>
      <c r="J653">
        <v>-31574.12</v>
      </c>
      <c r="L653" s="7"/>
    </row>
    <row r="654" spans="2:12" customFormat="1" x14ac:dyDescent="0.25">
      <c r="B654" t="s">
        <v>837</v>
      </c>
      <c r="C654" t="s">
        <v>64</v>
      </c>
      <c r="D654" t="s">
        <v>891</v>
      </c>
      <c r="E654" t="s">
        <v>265</v>
      </c>
      <c r="F654" t="s">
        <v>171</v>
      </c>
      <c r="H654">
        <v>0</v>
      </c>
      <c r="I654">
        <v>0</v>
      </c>
      <c r="J654">
        <v>6079.22</v>
      </c>
      <c r="L654" s="7"/>
    </row>
    <row r="655" spans="2:12" customFormat="1" x14ac:dyDescent="0.25">
      <c r="B655" t="s">
        <v>837</v>
      </c>
      <c r="C655" t="s">
        <v>94</v>
      </c>
      <c r="D655" t="s">
        <v>891</v>
      </c>
      <c r="E655" t="s">
        <v>266</v>
      </c>
      <c r="F655" t="s">
        <v>172</v>
      </c>
      <c r="H655">
        <v>0</v>
      </c>
      <c r="I655">
        <v>0</v>
      </c>
      <c r="J655">
        <v>-339.32</v>
      </c>
      <c r="L655" s="7"/>
    </row>
    <row r="656" spans="2:12" customFormat="1" x14ac:dyDescent="0.25">
      <c r="B656" t="s">
        <v>837</v>
      </c>
      <c r="C656" t="s">
        <v>353</v>
      </c>
      <c r="D656" t="s">
        <v>891</v>
      </c>
      <c r="E656" t="s">
        <v>354</v>
      </c>
      <c r="F656" t="s">
        <v>355</v>
      </c>
      <c r="H656">
        <v>0</v>
      </c>
      <c r="I656">
        <v>0</v>
      </c>
      <c r="J656">
        <v>4309.9399999999996</v>
      </c>
      <c r="L656" s="7"/>
    </row>
    <row r="657" spans="2:12" customFormat="1" x14ac:dyDescent="0.25">
      <c r="B657" t="s">
        <v>837</v>
      </c>
      <c r="C657" t="s">
        <v>95</v>
      </c>
      <c r="D657" t="s">
        <v>891</v>
      </c>
      <c r="E657" t="s">
        <v>267</v>
      </c>
      <c r="F657" t="s">
        <v>173</v>
      </c>
      <c r="H657">
        <v>0</v>
      </c>
      <c r="I657">
        <v>0</v>
      </c>
      <c r="J657">
        <v>-262.61</v>
      </c>
      <c r="L657" s="7"/>
    </row>
    <row r="658" spans="2:12" customFormat="1" x14ac:dyDescent="0.25">
      <c r="B658" t="s">
        <v>837</v>
      </c>
      <c r="C658" t="s">
        <v>389</v>
      </c>
      <c r="D658" t="s">
        <v>891</v>
      </c>
      <c r="E658" t="s">
        <v>390</v>
      </c>
      <c r="F658" t="s">
        <v>391</v>
      </c>
      <c r="H658">
        <v>0</v>
      </c>
      <c r="I658">
        <v>0</v>
      </c>
      <c r="J658">
        <v>312.7</v>
      </c>
      <c r="L658" s="7"/>
    </row>
    <row r="659" spans="2:12" customFormat="1" x14ac:dyDescent="0.25">
      <c r="B659" t="s">
        <v>837</v>
      </c>
      <c r="C659" t="s">
        <v>65</v>
      </c>
      <c r="D659" t="s">
        <v>891</v>
      </c>
      <c r="E659" t="s">
        <v>269</v>
      </c>
      <c r="F659" t="s">
        <v>175</v>
      </c>
      <c r="H659">
        <v>0</v>
      </c>
      <c r="I659">
        <v>0</v>
      </c>
      <c r="J659">
        <v>-356.98</v>
      </c>
      <c r="L659" s="7"/>
    </row>
    <row r="660" spans="2:12" customFormat="1" x14ac:dyDescent="0.25">
      <c r="B660" t="s">
        <v>837</v>
      </c>
      <c r="C660" t="s">
        <v>97</v>
      </c>
      <c r="D660" t="s">
        <v>891</v>
      </c>
      <c r="E660" t="s">
        <v>270</v>
      </c>
      <c r="F660" t="s">
        <v>176</v>
      </c>
      <c r="H660">
        <v>0</v>
      </c>
      <c r="I660">
        <v>364.69</v>
      </c>
      <c r="J660">
        <v>588.66999999999996</v>
      </c>
      <c r="L660" s="7"/>
    </row>
    <row r="661" spans="2:12" customFormat="1" x14ac:dyDescent="0.25">
      <c r="B661" t="s">
        <v>837</v>
      </c>
      <c r="C661" t="s">
        <v>548</v>
      </c>
      <c r="D661" t="s">
        <v>891</v>
      </c>
      <c r="E661" t="s">
        <v>549</v>
      </c>
      <c r="F661" t="s">
        <v>550</v>
      </c>
      <c r="H661">
        <v>0</v>
      </c>
      <c r="I661">
        <v>0</v>
      </c>
      <c r="J661">
        <v>15307.7</v>
      </c>
      <c r="L661" s="7"/>
    </row>
    <row r="662" spans="2:12" customFormat="1" x14ac:dyDescent="0.25">
      <c r="B662" t="s">
        <v>837</v>
      </c>
      <c r="C662" t="s">
        <v>66</v>
      </c>
      <c r="D662" t="s">
        <v>891</v>
      </c>
      <c r="E662" t="s">
        <v>272</v>
      </c>
      <c r="F662" t="s">
        <v>178</v>
      </c>
      <c r="H662">
        <v>0</v>
      </c>
      <c r="I662">
        <v>0</v>
      </c>
      <c r="J662">
        <v>312.66000000000003</v>
      </c>
      <c r="L662" s="7"/>
    </row>
    <row r="663" spans="2:12" customFormat="1" x14ac:dyDescent="0.25">
      <c r="B663" t="s">
        <v>837</v>
      </c>
      <c r="C663" t="s">
        <v>99</v>
      </c>
      <c r="D663" t="s">
        <v>891</v>
      </c>
      <c r="E663" t="s">
        <v>273</v>
      </c>
      <c r="F663" t="s">
        <v>179</v>
      </c>
      <c r="H663">
        <v>1138.5</v>
      </c>
      <c r="I663">
        <v>0</v>
      </c>
      <c r="J663">
        <v>0</v>
      </c>
      <c r="L663" s="7"/>
    </row>
    <row r="664" spans="2:12" customFormat="1" x14ac:dyDescent="0.25">
      <c r="B664" t="s">
        <v>837</v>
      </c>
      <c r="C664" t="s">
        <v>392</v>
      </c>
      <c r="D664" t="s">
        <v>891</v>
      </c>
      <c r="E664" t="s">
        <v>393</v>
      </c>
      <c r="F664" t="s">
        <v>394</v>
      </c>
      <c r="H664">
        <v>0</v>
      </c>
      <c r="I664">
        <v>0</v>
      </c>
      <c r="J664">
        <v>2318.66</v>
      </c>
      <c r="L664" s="7"/>
    </row>
    <row r="665" spans="2:12" customFormat="1" x14ac:dyDescent="0.25">
      <c r="B665" t="s">
        <v>837</v>
      </c>
      <c r="C665" t="s">
        <v>67</v>
      </c>
      <c r="D665" t="s">
        <v>891</v>
      </c>
      <c r="E665" t="s">
        <v>276</v>
      </c>
      <c r="F665" t="s">
        <v>182</v>
      </c>
      <c r="H665">
        <v>0</v>
      </c>
      <c r="I665">
        <v>0</v>
      </c>
      <c r="J665">
        <v>3340.55</v>
      </c>
      <c r="L665" s="7"/>
    </row>
    <row r="666" spans="2:12" customFormat="1" x14ac:dyDescent="0.25">
      <c r="B666" t="s">
        <v>837</v>
      </c>
      <c r="C666" t="s">
        <v>102</v>
      </c>
      <c r="D666" t="s">
        <v>891</v>
      </c>
      <c r="E666" t="s">
        <v>277</v>
      </c>
      <c r="F666" t="s">
        <v>183</v>
      </c>
      <c r="H666">
        <v>0</v>
      </c>
      <c r="I666">
        <v>0</v>
      </c>
      <c r="J666">
        <v>8998.0499999999993</v>
      </c>
      <c r="L666" s="7"/>
    </row>
    <row r="667" spans="2:12" customFormat="1" x14ac:dyDescent="0.25">
      <c r="B667" t="s">
        <v>837</v>
      </c>
      <c r="C667" t="s">
        <v>68</v>
      </c>
      <c r="D667" t="s">
        <v>891</v>
      </c>
      <c r="E667" t="s">
        <v>279</v>
      </c>
      <c r="F667" t="s">
        <v>185</v>
      </c>
      <c r="H667">
        <v>0</v>
      </c>
      <c r="I667">
        <v>0</v>
      </c>
      <c r="J667">
        <v>4241.34</v>
      </c>
      <c r="L667" s="7"/>
    </row>
    <row r="668" spans="2:12" customFormat="1" x14ac:dyDescent="0.25">
      <c r="B668" t="s">
        <v>837</v>
      </c>
      <c r="C668" t="s">
        <v>395</v>
      </c>
      <c r="D668" t="s">
        <v>891</v>
      </c>
      <c r="E668" t="s">
        <v>396</v>
      </c>
      <c r="F668" t="s">
        <v>397</v>
      </c>
      <c r="H668">
        <v>0</v>
      </c>
      <c r="I668">
        <v>0</v>
      </c>
      <c r="J668">
        <v>800</v>
      </c>
      <c r="L668" s="7"/>
    </row>
    <row r="669" spans="2:12" customFormat="1" x14ac:dyDescent="0.25">
      <c r="B669" t="s">
        <v>837</v>
      </c>
      <c r="C669" t="s">
        <v>356</v>
      </c>
      <c r="D669" t="s">
        <v>891</v>
      </c>
      <c r="E669" t="s">
        <v>357</v>
      </c>
      <c r="F669" t="s">
        <v>358</v>
      </c>
      <c r="H669">
        <v>0</v>
      </c>
      <c r="I669">
        <v>0</v>
      </c>
      <c r="J669">
        <v>980</v>
      </c>
      <c r="L669" s="7"/>
    </row>
    <row r="670" spans="2:12" customFormat="1" x14ac:dyDescent="0.25">
      <c r="B670" t="s">
        <v>837</v>
      </c>
      <c r="C670" t="s">
        <v>106</v>
      </c>
      <c r="D670" t="s">
        <v>891</v>
      </c>
      <c r="E670" t="s">
        <v>282</v>
      </c>
      <c r="F670" t="s">
        <v>188</v>
      </c>
      <c r="H670">
        <v>0</v>
      </c>
      <c r="I670">
        <v>0</v>
      </c>
      <c r="J670">
        <v>143.96</v>
      </c>
      <c r="L670" s="7"/>
    </row>
    <row r="671" spans="2:12" customFormat="1" x14ac:dyDescent="0.25">
      <c r="B671" t="s">
        <v>837</v>
      </c>
      <c r="C671" t="s">
        <v>107</v>
      </c>
      <c r="D671" t="s">
        <v>891</v>
      </c>
      <c r="E671" t="s">
        <v>283</v>
      </c>
      <c r="F671" t="s">
        <v>189</v>
      </c>
      <c r="H671">
        <v>0</v>
      </c>
      <c r="I671">
        <v>0</v>
      </c>
      <c r="J671">
        <v>1790.57</v>
      </c>
      <c r="L671" s="7"/>
    </row>
    <row r="672" spans="2:12" customFormat="1" x14ac:dyDescent="0.25">
      <c r="B672" t="s">
        <v>837</v>
      </c>
      <c r="C672" t="s">
        <v>359</v>
      </c>
      <c r="D672" t="s">
        <v>891</v>
      </c>
      <c r="E672" t="s">
        <v>360</v>
      </c>
      <c r="F672" t="s">
        <v>361</v>
      </c>
      <c r="H672">
        <v>0</v>
      </c>
      <c r="I672">
        <v>0</v>
      </c>
      <c r="J672">
        <v>161.18</v>
      </c>
      <c r="L672" s="7"/>
    </row>
    <row r="673" spans="2:12" customFormat="1" x14ac:dyDescent="0.25">
      <c r="B673" t="s">
        <v>837</v>
      </c>
      <c r="C673" t="s">
        <v>69</v>
      </c>
      <c r="D673" t="s">
        <v>891</v>
      </c>
      <c r="E673" t="s">
        <v>284</v>
      </c>
      <c r="F673" t="s">
        <v>190</v>
      </c>
      <c r="H673">
        <v>0</v>
      </c>
      <c r="I673">
        <v>197.5</v>
      </c>
      <c r="J673">
        <v>386.21</v>
      </c>
      <c r="L673" s="7"/>
    </row>
    <row r="674" spans="2:12" customFormat="1" x14ac:dyDescent="0.25">
      <c r="B674" t="s">
        <v>837</v>
      </c>
      <c r="C674" t="s">
        <v>70</v>
      </c>
      <c r="D674" t="s">
        <v>891</v>
      </c>
      <c r="E674" t="s">
        <v>286</v>
      </c>
      <c r="F674" t="s">
        <v>192</v>
      </c>
      <c r="H674">
        <v>0</v>
      </c>
      <c r="I674">
        <v>0</v>
      </c>
      <c r="J674">
        <v>18985.75</v>
      </c>
      <c r="L674" s="7"/>
    </row>
    <row r="675" spans="2:12" customFormat="1" x14ac:dyDescent="0.25">
      <c r="B675" t="s">
        <v>837</v>
      </c>
      <c r="C675" t="s">
        <v>109</v>
      </c>
      <c r="D675" t="s">
        <v>891</v>
      </c>
      <c r="E675" t="s">
        <v>287</v>
      </c>
      <c r="F675" t="s">
        <v>193</v>
      </c>
      <c r="H675">
        <v>0</v>
      </c>
      <c r="I675">
        <v>2469.67</v>
      </c>
      <c r="J675">
        <v>9187.02</v>
      </c>
      <c r="L675" s="7"/>
    </row>
    <row r="676" spans="2:12" customFormat="1" x14ac:dyDescent="0.25">
      <c r="B676" t="s">
        <v>837</v>
      </c>
      <c r="C676" t="s">
        <v>110</v>
      </c>
      <c r="D676" t="s">
        <v>891</v>
      </c>
      <c r="E676" t="s">
        <v>288</v>
      </c>
      <c r="F676" t="s">
        <v>194</v>
      </c>
      <c r="H676">
        <v>0</v>
      </c>
      <c r="I676">
        <v>2263.5</v>
      </c>
      <c r="J676">
        <v>2263.5</v>
      </c>
      <c r="L676" s="7"/>
    </row>
    <row r="677" spans="2:12" customFormat="1" x14ac:dyDescent="0.25">
      <c r="B677" t="s">
        <v>837</v>
      </c>
      <c r="C677" t="s">
        <v>111</v>
      </c>
      <c r="D677" t="s">
        <v>891</v>
      </c>
      <c r="E677" t="s">
        <v>289</v>
      </c>
      <c r="F677" t="s">
        <v>195</v>
      </c>
      <c r="H677">
        <v>0</v>
      </c>
      <c r="I677">
        <v>0</v>
      </c>
      <c r="J677">
        <v>-25726.51</v>
      </c>
      <c r="L677" s="7"/>
    </row>
    <row r="678" spans="2:12" customFormat="1" x14ac:dyDescent="0.25">
      <c r="B678" t="s">
        <v>837</v>
      </c>
      <c r="C678" t="s">
        <v>398</v>
      </c>
      <c r="D678" t="s">
        <v>891</v>
      </c>
      <c r="E678" t="s">
        <v>399</v>
      </c>
      <c r="F678" t="s">
        <v>400</v>
      </c>
      <c r="H678">
        <v>0</v>
      </c>
      <c r="I678">
        <v>0</v>
      </c>
      <c r="J678">
        <v>58608.639999999999</v>
      </c>
      <c r="L678" s="7"/>
    </row>
    <row r="679" spans="2:12" customFormat="1" x14ac:dyDescent="0.25">
      <c r="B679" t="s">
        <v>837</v>
      </c>
      <c r="C679" t="s">
        <v>401</v>
      </c>
      <c r="D679" t="s">
        <v>891</v>
      </c>
      <c r="E679" t="s">
        <v>402</v>
      </c>
      <c r="F679" t="s">
        <v>403</v>
      </c>
      <c r="H679">
        <v>0</v>
      </c>
      <c r="I679">
        <v>0</v>
      </c>
      <c r="J679">
        <v>1287.67</v>
      </c>
      <c r="L679" s="7"/>
    </row>
    <row r="680" spans="2:12" customFormat="1" x14ac:dyDescent="0.25">
      <c r="B680" t="s">
        <v>837</v>
      </c>
      <c r="C680" t="s">
        <v>404</v>
      </c>
      <c r="D680" t="s">
        <v>891</v>
      </c>
      <c r="E680" t="s">
        <v>405</v>
      </c>
      <c r="F680" t="s">
        <v>406</v>
      </c>
      <c r="H680">
        <v>0</v>
      </c>
      <c r="I680">
        <v>0</v>
      </c>
      <c r="J680">
        <v>177.31</v>
      </c>
      <c r="L680" s="7"/>
    </row>
    <row r="681" spans="2:12" customFormat="1" x14ac:dyDescent="0.25">
      <c r="B681" t="s">
        <v>837</v>
      </c>
      <c r="C681" t="s">
        <v>407</v>
      </c>
      <c r="D681" t="s">
        <v>891</v>
      </c>
      <c r="E681" t="s">
        <v>408</v>
      </c>
      <c r="F681" t="s">
        <v>409</v>
      </c>
      <c r="H681">
        <v>0</v>
      </c>
      <c r="I681">
        <v>0</v>
      </c>
      <c r="J681">
        <v>926.24</v>
      </c>
      <c r="L681" s="7"/>
    </row>
    <row r="682" spans="2:12" customFormat="1" x14ac:dyDescent="0.25">
      <c r="B682" t="s">
        <v>837</v>
      </c>
      <c r="C682" t="s">
        <v>71</v>
      </c>
      <c r="D682" t="s">
        <v>891</v>
      </c>
      <c r="E682" t="s">
        <v>291</v>
      </c>
      <c r="F682" t="s">
        <v>197</v>
      </c>
      <c r="H682">
        <v>0</v>
      </c>
      <c r="I682">
        <v>121</v>
      </c>
      <c r="J682">
        <v>3237.05</v>
      </c>
      <c r="L682" s="7"/>
    </row>
    <row r="683" spans="2:12" customFormat="1" x14ac:dyDescent="0.25">
      <c r="B683" t="s">
        <v>837</v>
      </c>
      <c r="C683" t="s">
        <v>72</v>
      </c>
      <c r="D683" t="s">
        <v>891</v>
      </c>
      <c r="E683" t="s">
        <v>292</v>
      </c>
      <c r="F683" t="s">
        <v>198</v>
      </c>
      <c r="H683">
        <v>0</v>
      </c>
      <c r="I683">
        <v>32.950000000000003</v>
      </c>
      <c r="J683">
        <v>1968.35</v>
      </c>
      <c r="L683" s="7"/>
    </row>
    <row r="684" spans="2:12" customFormat="1" x14ac:dyDescent="0.25">
      <c r="B684" t="s">
        <v>837</v>
      </c>
      <c r="C684" t="s">
        <v>73</v>
      </c>
      <c r="D684" t="s">
        <v>891</v>
      </c>
      <c r="E684" t="s">
        <v>293</v>
      </c>
      <c r="F684" t="s">
        <v>199</v>
      </c>
      <c r="H684">
        <v>51.62</v>
      </c>
      <c r="I684">
        <v>242000</v>
      </c>
      <c r="J684">
        <v>251279.75</v>
      </c>
      <c r="L684" s="7"/>
    </row>
    <row r="685" spans="2:12" customFormat="1" x14ac:dyDescent="0.25">
      <c r="B685" t="s">
        <v>837</v>
      </c>
      <c r="C685" t="s">
        <v>74</v>
      </c>
      <c r="D685" t="s">
        <v>891</v>
      </c>
      <c r="E685" t="s">
        <v>294</v>
      </c>
      <c r="F685" t="s">
        <v>200</v>
      </c>
      <c r="H685">
        <v>0</v>
      </c>
      <c r="I685">
        <v>1.23</v>
      </c>
      <c r="J685">
        <v>7176.09</v>
      </c>
      <c r="L685" s="7"/>
    </row>
    <row r="686" spans="2:12" customFormat="1" x14ac:dyDescent="0.25">
      <c r="B686" t="s">
        <v>837</v>
      </c>
      <c r="C686" t="s">
        <v>75</v>
      </c>
      <c r="D686" t="s">
        <v>891</v>
      </c>
      <c r="E686" t="s">
        <v>295</v>
      </c>
      <c r="F686" t="s">
        <v>201</v>
      </c>
      <c r="H686">
        <v>0</v>
      </c>
      <c r="I686">
        <v>0</v>
      </c>
      <c r="J686">
        <v>59.16</v>
      </c>
      <c r="L686" s="7"/>
    </row>
    <row r="687" spans="2:12" customFormat="1" x14ac:dyDescent="0.25">
      <c r="B687" t="s">
        <v>837</v>
      </c>
      <c r="C687" t="s">
        <v>76</v>
      </c>
      <c r="D687" t="s">
        <v>891</v>
      </c>
      <c r="E687" t="s">
        <v>296</v>
      </c>
      <c r="F687" t="s">
        <v>202</v>
      </c>
      <c r="H687">
        <v>0</v>
      </c>
      <c r="I687">
        <v>0</v>
      </c>
      <c r="J687">
        <v>35.49</v>
      </c>
      <c r="L687" s="7"/>
    </row>
    <row r="688" spans="2:12" customFormat="1" x14ac:dyDescent="0.25">
      <c r="B688" t="s">
        <v>536</v>
      </c>
      <c r="C688" t="s">
        <v>26</v>
      </c>
      <c r="D688" t="s">
        <v>891</v>
      </c>
      <c r="E688" t="s">
        <v>211</v>
      </c>
      <c r="F688" t="s">
        <v>116</v>
      </c>
      <c r="H688">
        <v>216335.28</v>
      </c>
      <c r="I688">
        <v>216335.28</v>
      </c>
      <c r="J688">
        <v>0</v>
      </c>
      <c r="L688" s="7"/>
    </row>
    <row r="689" spans="2:12" customFormat="1" x14ac:dyDescent="0.25">
      <c r="B689" t="s">
        <v>536</v>
      </c>
      <c r="C689" t="s">
        <v>27</v>
      </c>
      <c r="D689" t="s">
        <v>891</v>
      </c>
      <c r="E689" t="s">
        <v>212</v>
      </c>
      <c r="F689" t="s">
        <v>117</v>
      </c>
      <c r="H689">
        <v>465</v>
      </c>
      <c r="I689">
        <v>1341.33</v>
      </c>
      <c r="J689">
        <v>988.58</v>
      </c>
      <c r="L689" s="7"/>
    </row>
    <row r="690" spans="2:12" customFormat="1" x14ac:dyDescent="0.25">
      <c r="B690" t="s">
        <v>536</v>
      </c>
      <c r="C690" t="s">
        <v>28</v>
      </c>
      <c r="D690" t="s">
        <v>891</v>
      </c>
      <c r="E690" t="s">
        <v>213</v>
      </c>
      <c r="F690" t="s">
        <v>118</v>
      </c>
      <c r="H690">
        <v>184379.5</v>
      </c>
      <c r="I690">
        <v>182980.53</v>
      </c>
      <c r="J690">
        <v>5256.98</v>
      </c>
      <c r="L690" s="7"/>
    </row>
    <row r="691" spans="2:12" customFormat="1" x14ac:dyDescent="0.25">
      <c r="B691" t="s">
        <v>536</v>
      </c>
      <c r="C691" t="s">
        <v>410</v>
      </c>
      <c r="D691" t="s">
        <v>891</v>
      </c>
      <c r="E691" t="s">
        <v>411</v>
      </c>
      <c r="F691" t="s">
        <v>412</v>
      </c>
      <c r="H691">
        <v>221321.17</v>
      </c>
      <c r="I691">
        <v>217127.43</v>
      </c>
      <c r="J691">
        <v>45536.13</v>
      </c>
      <c r="L691" s="7"/>
    </row>
    <row r="692" spans="2:12" customFormat="1" x14ac:dyDescent="0.25">
      <c r="B692" t="s">
        <v>536</v>
      </c>
      <c r="C692" t="s">
        <v>30</v>
      </c>
      <c r="D692" t="s">
        <v>891</v>
      </c>
      <c r="E692" t="s">
        <v>215</v>
      </c>
      <c r="F692" t="s">
        <v>120</v>
      </c>
      <c r="H692">
        <v>1561772.06</v>
      </c>
      <c r="I692">
        <v>1436346.37</v>
      </c>
      <c r="J692">
        <v>76166.47</v>
      </c>
      <c r="L692" s="7"/>
    </row>
    <row r="693" spans="2:12" customFormat="1" x14ac:dyDescent="0.25">
      <c r="B693" t="s">
        <v>536</v>
      </c>
      <c r="C693" t="s">
        <v>81</v>
      </c>
      <c r="D693" t="s">
        <v>891</v>
      </c>
      <c r="E693" t="s">
        <v>216</v>
      </c>
      <c r="F693" t="s">
        <v>121</v>
      </c>
      <c r="H693">
        <v>120</v>
      </c>
      <c r="I693">
        <v>20470.650000000001</v>
      </c>
      <c r="J693">
        <v>24407.42</v>
      </c>
      <c r="L693" s="7"/>
    </row>
    <row r="694" spans="2:12" customFormat="1" x14ac:dyDescent="0.25">
      <c r="B694" t="s">
        <v>536</v>
      </c>
      <c r="C694" t="s">
        <v>31</v>
      </c>
      <c r="D694" t="s">
        <v>891</v>
      </c>
      <c r="E694" t="s">
        <v>217</v>
      </c>
      <c r="F694" t="s">
        <v>122</v>
      </c>
      <c r="H694">
        <v>1513233.54</v>
      </c>
      <c r="I694">
        <v>1513233.54</v>
      </c>
      <c r="J694">
        <v>0</v>
      </c>
      <c r="L694" s="7"/>
    </row>
    <row r="695" spans="2:12" customFormat="1" x14ac:dyDescent="0.25">
      <c r="B695" t="s">
        <v>536</v>
      </c>
      <c r="C695" t="s">
        <v>32</v>
      </c>
      <c r="D695" t="s">
        <v>891</v>
      </c>
      <c r="E695" t="s">
        <v>218</v>
      </c>
      <c r="F695" t="s">
        <v>123</v>
      </c>
      <c r="H695">
        <v>21473</v>
      </c>
      <c r="I695">
        <v>23500</v>
      </c>
      <c r="J695">
        <v>23500</v>
      </c>
      <c r="L695" s="7"/>
    </row>
    <row r="696" spans="2:12" customFormat="1" x14ac:dyDescent="0.25">
      <c r="B696" t="s">
        <v>536</v>
      </c>
      <c r="C696" t="s">
        <v>33</v>
      </c>
      <c r="D696" t="s">
        <v>891</v>
      </c>
      <c r="E696" t="s">
        <v>219</v>
      </c>
      <c r="F696" t="s">
        <v>124</v>
      </c>
      <c r="H696">
        <v>365679.27</v>
      </c>
      <c r="I696">
        <v>365876.59</v>
      </c>
      <c r="J696">
        <v>10265.76</v>
      </c>
      <c r="L696" s="7"/>
    </row>
    <row r="697" spans="2:12" customFormat="1" x14ac:dyDescent="0.25">
      <c r="B697" t="s">
        <v>536</v>
      </c>
      <c r="C697" t="s">
        <v>34</v>
      </c>
      <c r="D697" t="s">
        <v>891</v>
      </c>
      <c r="E697" t="s">
        <v>220</v>
      </c>
      <c r="F697" t="s">
        <v>125</v>
      </c>
      <c r="H697">
        <v>383777.94</v>
      </c>
      <c r="I697">
        <v>508408.71</v>
      </c>
      <c r="J697">
        <v>478446.77</v>
      </c>
      <c r="L697" s="7"/>
    </row>
    <row r="698" spans="2:12" customFormat="1" x14ac:dyDescent="0.25">
      <c r="B698" t="s">
        <v>536</v>
      </c>
      <c r="C698" t="s">
        <v>205</v>
      </c>
      <c r="D698" t="s">
        <v>891</v>
      </c>
      <c r="E698" t="s">
        <v>298</v>
      </c>
      <c r="F698" t="s">
        <v>206</v>
      </c>
      <c r="H698">
        <v>147652.70000000001</v>
      </c>
      <c r="I698">
        <v>237309.89</v>
      </c>
      <c r="J698">
        <v>237309.89</v>
      </c>
      <c r="L698" s="7"/>
    </row>
    <row r="699" spans="2:12" customFormat="1" x14ac:dyDescent="0.25">
      <c r="B699" t="s">
        <v>536</v>
      </c>
      <c r="C699" t="s">
        <v>301</v>
      </c>
      <c r="D699" t="s">
        <v>891</v>
      </c>
      <c r="E699" t="s">
        <v>302</v>
      </c>
      <c r="F699" t="s">
        <v>303</v>
      </c>
      <c r="H699">
        <v>13062.02</v>
      </c>
      <c r="I699">
        <v>13062.02</v>
      </c>
      <c r="J699">
        <v>0</v>
      </c>
      <c r="L699" s="7"/>
    </row>
    <row r="700" spans="2:12" customFormat="1" x14ac:dyDescent="0.25">
      <c r="B700" t="s">
        <v>536</v>
      </c>
      <c r="C700" t="s">
        <v>35</v>
      </c>
      <c r="D700" t="s">
        <v>891</v>
      </c>
      <c r="E700" t="s">
        <v>221</v>
      </c>
      <c r="F700" t="s">
        <v>127</v>
      </c>
      <c r="H700">
        <v>5291.93</v>
      </c>
      <c r="I700">
        <v>4969.25</v>
      </c>
      <c r="J700">
        <v>0</v>
      </c>
      <c r="L700" s="7"/>
    </row>
    <row r="701" spans="2:12" customFormat="1" x14ac:dyDescent="0.25">
      <c r="B701" t="s">
        <v>536</v>
      </c>
      <c r="C701" t="s">
        <v>36</v>
      </c>
      <c r="D701" t="s">
        <v>891</v>
      </c>
      <c r="E701" t="s">
        <v>222</v>
      </c>
      <c r="F701" t="s">
        <v>128</v>
      </c>
      <c r="H701">
        <v>605.82000000000005</v>
      </c>
      <c r="I701">
        <v>1027.17</v>
      </c>
      <c r="J701">
        <v>5889.34</v>
      </c>
      <c r="L701" s="7"/>
    </row>
    <row r="702" spans="2:12" customFormat="1" x14ac:dyDescent="0.25">
      <c r="B702" t="s">
        <v>536</v>
      </c>
      <c r="C702" t="s">
        <v>37</v>
      </c>
      <c r="D702" t="s">
        <v>891</v>
      </c>
      <c r="E702" t="s">
        <v>223</v>
      </c>
      <c r="F702" t="s">
        <v>129</v>
      </c>
      <c r="H702">
        <v>2790.46</v>
      </c>
      <c r="I702">
        <v>4731.1899999999996</v>
      </c>
      <c r="J702">
        <v>27311.38</v>
      </c>
      <c r="L702" s="7"/>
    </row>
    <row r="703" spans="2:12" customFormat="1" x14ac:dyDescent="0.25">
      <c r="B703" t="s">
        <v>536</v>
      </c>
      <c r="C703" t="s">
        <v>540</v>
      </c>
      <c r="D703" t="s">
        <v>891</v>
      </c>
      <c r="E703" t="s">
        <v>541</v>
      </c>
      <c r="F703" t="s">
        <v>542</v>
      </c>
      <c r="H703">
        <v>0</v>
      </c>
      <c r="I703">
        <v>0</v>
      </c>
      <c r="J703">
        <v>2561.42</v>
      </c>
      <c r="L703" s="7"/>
    </row>
    <row r="704" spans="2:12" customFormat="1" x14ac:dyDescent="0.25">
      <c r="B704" t="s">
        <v>536</v>
      </c>
      <c r="C704" t="s">
        <v>413</v>
      </c>
      <c r="D704" t="s">
        <v>891</v>
      </c>
      <c r="E704" t="s">
        <v>414</v>
      </c>
      <c r="F704" t="s">
        <v>415</v>
      </c>
      <c r="H704">
        <v>0</v>
      </c>
      <c r="I704">
        <v>0</v>
      </c>
      <c r="J704">
        <v>1796.85</v>
      </c>
      <c r="L704" s="7"/>
    </row>
    <row r="705" spans="2:12" customFormat="1" x14ac:dyDescent="0.25">
      <c r="B705" t="s">
        <v>536</v>
      </c>
      <c r="C705" t="s">
        <v>543</v>
      </c>
      <c r="D705" t="s">
        <v>891</v>
      </c>
      <c r="E705" t="s">
        <v>544</v>
      </c>
      <c r="F705" t="s">
        <v>126</v>
      </c>
      <c r="H705">
        <v>0</v>
      </c>
      <c r="I705">
        <v>0</v>
      </c>
      <c r="J705">
        <v>114.41</v>
      </c>
      <c r="L705" s="7"/>
    </row>
    <row r="706" spans="2:12" customFormat="1" x14ac:dyDescent="0.25">
      <c r="B706" t="s">
        <v>536</v>
      </c>
      <c r="C706" t="s">
        <v>304</v>
      </c>
      <c r="D706" t="s">
        <v>891</v>
      </c>
      <c r="E706" t="s">
        <v>305</v>
      </c>
      <c r="F706" t="s">
        <v>306</v>
      </c>
      <c r="H706">
        <v>1319767.96</v>
      </c>
      <c r="I706">
        <v>1459980.88</v>
      </c>
      <c r="J706">
        <v>200738.91</v>
      </c>
      <c r="L706" s="7"/>
    </row>
    <row r="707" spans="2:12" customFormat="1" x14ac:dyDescent="0.25">
      <c r="B707" t="s">
        <v>536</v>
      </c>
      <c r="C707" t="s">
        <v>38</v>
      </c>
      <c r="D707" t="s">
        <v>891</v>
      </c>
      <c r="E707" t="s">
        <v>224</v>
      </c>
      <c r="F707" t="s">
        <v>130</v>
      </c>
      <c r="H707">
        <v>51264.02</v>
      </c>
      <c r="I707">
        <v>79589.490000000005</v>
      </c>
      <c r="J707">
        <v>68216.59</v>
      </c>
      <c r="L707" s="7"/>
    </row>
    <row r="708" spans="2:12" customFormat="1" x14ac:dyDescent="0.25">
      <c r="B708" t="s">
        <v>536</v>
      </c>
      <c r="C708" t="s">
        <v>39</v>
      </c>
      <c r="D708" t="s">
        <v>891</v>
      </c>
      <c r="E708" t="s">
        <v>225</v>
      </c>
      <c r="F708" t="s">
        <v>131</v>
      </c>
      <c r="H708">
        <v>7152.02</v>
      </c>
      <c r="I708">
        <v>10076.19</v>
      </c>
      <c r="J708">
        <v>29708.18</v>
      </c>
      <c r="L708" s="7"/>
    </row>
    <row r="709" spans="2:12" customFormat="1" x14ac:dyDescent="0.25">
      <c r="B709" t="s">
        <v>536</v>
      </c>
      <c r="C709" t="s">
        <v>416</v>
      </c>
      <c r="D709" t="s">
        <v>891</v>
      </c>
      <c r="E709" t="s">
        <v>417</v>
      </c>
      <c r="F709" t="s">
        <v>418</v>
      </c>
      <c r="H709">
        <v>0</v>
      </c>
      <c r="I709">
        <v>0</v>
      </c>
      <c r="J709">
        <v>939.7</v>
      </c>
      <c r="L709" s="7"/>
    </row>
    <row r="710" spans="2:12" customFormat="1" x14ac:dyDescent="0.25">
      <c r="B710" t="s">
        <v>536</v>
      </c>
      <c r="C710" t="s">
        <v>419</v>
      </c>
      <c r="D710" t="s">
        <v>891</v>
      </c>
      <c r="E710" t="s">
        <v>420</v>
      </c>
      <c r="F710" t="s">
        <v>421</v>
      </c>
      <c r="H710">
        <v>7.83</v>
      </c>
      <c r="I710">
        <v>0</v>
      </c>
      <c r="J710">
        <v>-15.66</v>
      </c>
      <c r="L710" s="7"/>
    </row>
    <row r="711" spans="2:12" customFormat="1" x14ac:dyDescent="0.25">
      <c r="B711" t="s">
        <v>536</v>
      </c>
      <c r="C711" t="s">
        <v>422</v>
      </c>
      <c r="D711" t="s">
        <v>891</v>
      </c>
      <c r="E711" t="s">
        <v>423</v>
      </c>
      <c r="F711" t="s">
        <v>424</v>
      </c>
      <c r="H711">
        <v>0</v>
      </c>
      <c r="I711">
        <v>0</v>
      </c>
      <c r="J711">
        <v>3514371.48</v>
      </c>
      <c r="L711" s="7"/>
    </row>
    <row r="712" spans="2:12" customFormat="1" x14ac:dyDescent="0.25">
      <c r="B712" t="s">
        <v>536</v>
      </c>
      <c r="C712" t="s">
        <v>425</v>
      </c>
      <c r="D712" t="s">
        <v>891</v>
      </c>
      <c r="E712" t="s">
        <v>426</v>
      </c>
      <c r="F712" t="s">
        <v>427</v>
      </c>
      <c r="H712">
        <v>340</v>
      </c>
      <c r="I712">
        <v>340</v>
      </c>
      <c r="J712">
        <v>3500</v>
      </c>
      <c r="L712" s="7"/>
    </row>
    <row r="713" spans="2:12" customFormat="1" x14ac:dyDescent="0.25">
      <c r="B713" t="s">
        <v>536</v>
      </c>
      <c r="C713" t="s">
        <v>428</v>
      </c>
      <c r="D713" t="s">
        <v>891</v>
      </c>
      <c r="E713" t="s">
        <v>429</v>
      </c>
      <c r="F713" t="s">
        <v>430</v>
      </c>
      <c r="H713">
        <v>58.33</v>
      </c>
      <c r="I713">
        <v>0</v>
      </c>
      <c r="J713">
        <v>-58.33</v>
      </c>
      <c r="L713" s="7"/>
    </row>
    <row r="714" spans="2:12" customFormat="1" x14ac:dyDescent="0.25">
      <c r="B714" t="s">
        <v>536</v>
      </c>
      <c r="C714" t="s">
        <v>40</v>
      </c>
      <c r="D714" t="s">
        <v>891</v>
      </c>
      <c r="E714" t="s">
        <v>227</v>
      </c>
      <c r="F714" t="s">
        <v>133</v>
      </c>
      <c r="H714">
        <v>1569095.28</v>
      </c>
      <c r="I714">
        <v>190925.07</v>
      </c>
      <c r="J714">
        <v>-1405745.47</v>
      </c>
      <c r="L714" s="7"/>
    </row>
    <row r="715" spans="2:12" customFormat="1" x14ac:dyDescent="0.25">
      <c r="B715" t="s">
        <v>536</v>
      </c>
      <c r="C715" t="s">
        <v>83</v>
      </c>
      <c r="D715" t="s">
        <v>891</v>
      </c>
      <c r="E715" t="s">
        <v>228</v>
      </c>
      <c r="F715" t="s">
        <v>134</v>
      </c>
      <c r="H715">
        <v>32938.44</v>
      </c>
      <c r="I715">
        <v>20681.21</v>
      </c>
      <c r="J715">
        <v>-26056.73</v>
      </c>
      <c r="L715" s="7"/>
    </row>
    <row r="716" spans="2:12" customFormat="1" x14ac:dyDescent="0.25">
      <c r="B716" t="s">
        <v>536</v>
      </c>
      <c r="C716" t="s">
        <v>113</v>
      </c>
      <c r="D716" t="s">
        <v>891</v>
      </c>
      <c r="E716" t="s">
        <v>229</v>
      </c>
      <c r="F716" t="s">
        <v>135</v>
      </c>
      <c r="H716">
        <v>0</v>
      </c>
      <c r="I716">
        <v>1295366.6100000001</v>
      </c>
      <c r="J716">
        <v>1131263.51</v>
      </c>
      <c r="L716" s="7"/>
    </row>
    <row r="717" spans="2:12" customFormat="1" x14ac:dyDescent="0.25">
      <c r="B717" t="s">
        <v>536</v>
      </c>
      <c r="C717" t="s">
        <v>84</v>
      </c>
      <c r="D717" t="s">
        <v>891</v>
      </c>
      <c r="E717" t="s">
        <v>230</v>
      </c>
      <c r="F717" t="s">
        <v>136</v>
      </c>
      <c r="H717">
        <v>3587.29</v>
      </c>
      <c r="I717">
        <v>3587.29</v>
      </c>
      <c r="J717">
        <v>-3514371.48</v>
      </c>
      <c r="L717" s="7"/>
    </row>
    <row r="718" spans="2:12" customFormat="1" x14ac:dyDescent="0.25">
      <c r="B718" t="s">
        <v>536</v>
      </c>
      <c r="C718" t="s">
        <v>310</v>
      </c>
      <c r="D718" t="s">
        <v>891</v>
      </c>
      <c r="E718" t="s">
        <v>311</v>
      </c>
      <c r="F718" t="s">
        <v>312</v>
      </c>
      <c r="H718">
        <v>76786.039999999994</v>
      </c>
      <c r="I718">
        <v>76786.039999999994</v>
      </c>
      <c r="J718">
        <v>0</v>
      </c>
      <c r="L718" s="7"/>
    </row>
    <row r="719" spans="2:12" customFormat="1" x14ac:dyDescent="0.25">
      <c r="B719" t="s">
        <v>536</v>
      </c>
      <c r="C719" t="s">
        <v>316</v>
      </c>
      <c r="D719" t="s">
        <v>891</v>
      </c>
      <c r="E719" t="s">
        <v>317</v>
      </c>
      <c r="F719" t="s">
        <v>318</v>
      </c>
      <c r="H719">
        <v>4162.5200000000004</v>
      </c>
      <c r="I719">
        <v>451.23</v>
      </c>
      <c r="J719">
        <v>-19029.59</v>
      </c>
      <c r="L719" s="7"/>
    </row>
    <row r="720" spans="2:12" customFormat="1" x14ac:dyDescent="0.25">
      <c r="B720" t="s">
        <v>536</v>
      </c>
      <c r="C720" t="s">
        <v>319</v>
      </c>
      <c r="D720" t="s">
        <v>891</v>
      </c>
      <c r="E720" t="s">
        <v>320</v>
      </c>
      <c r="F720" t="s">
        <v>321</v>
      </c>
      <c r="H720">
        <v>3093.79</v>
      </c>
      <c r="I720">
        <v>327.57</v>
      </c>
      <c r="J720">
        <v>-10347.94</v>
      </c>
      <c r="L720" s="7"/>
    </row>
    <row r="721" spans="2:12" customFormat="1" x14ac:dyDescent="0.25">
      <c r="B721" t="s">
        <v>536</v>
      </c>
      <c r="C721" t="s">
        <v>322</v>
      </c>
      <c r="D721" t="s">
        <v>891</v>
      </c>
      <c r="E721" t="s">
        <v>323</v>
      </c>
      <c r="F721" t="s">
        <v>324</v>
      </c>
      <c r="H721">
        <v>24957.16</v>
      </c>
      <c r="I721">
        <v>23833.26</v>
      </c>
      <c r="J721">
        <v>-12702.49</v>
      </c>
      <c r="L721" s="7"/>
    </row>
    <row r="722" spans="2:12" customFormat="1" x14ac:dyDescent="0.25">
      <c r="B722" t="s">
        <v>536</v>
      </c>
      <c r="C722" t="s">
        <v>325</v>
      </c>
      <c r="D722" t="s">
        <v>891</v>
      </c>
      <c r="E722" t="s">
        <v>326</v>
      </c>
      <c r="F722" t="s">
        <v>327</v>
      </c>
      <c r="H722">
        <v>5448.65</v>
      </c>
      <c r="I722">
        <v>5196.5200000000004</v>
      </c>
      <c r="J722">
        <v>-2850.39</v>
      </c>
      <c r="L722" s="7"/>
    </row>
    <row r="723" spans="2:12" customFormat="1" x14ac:dyDescent="0.25">
      <c r="B723" t="s">
        <v>536</v>
      </c>
      <c r="C723" t="s">
        <v>328</v>
      </c>
      <c r="D723" t="s">
        <v>891</v>
      </c>
      <c r="E723" t="s">
        <v>329</v>
      </c>
      <c r="F723" t="s">
        <v>171</v>
      </c>
      <c r="H723">
        <v>1139.22</v>
      </c>
      <c r="I723">
        <v>126.04</v>
      </c>
      <c r="J723">
        <v>-5195.08</v>
      </c>
      <c r="L723" s="7"/>
    </row>
    <row r="724" spans="2:12" customFormat="1" x14ac:dyDescent="0.25">
      <c r="B724" t="s">
        <v>536</v>
      </c>
      <c r="C724" t="s">
        <v>330</v>
      </c>
      <c r="D724" t="s">
        <v>891</v>
      </c>
      <c r="E724" t="s">
        <v>331</v>
      </c>
      <c r="F724" t="s">
        <v>332</v>
      </c>
      <c r="H724">
        <v>846.76</v>
      </c>
      <c r="I724">
        <v>91.57</v>
      </c>
      <c r="J724">
        <v>-2824.99</v>
      </c>
      <c r="L724" s="7"/>
    </row>
    <row r="725" spans="2:12" customFormat="1" x14ac:dyDescent="0.25">
      <c r="B725" t="s">
        <v>536</v>
      </c>
      <c r="C725" t="s">
        <v>333</v>
      </c>
      <c r="D725" t="s">
        <v>891</v>
      </c>
      <c r="E725" t="s">
        <v>334</v>
      </c>
      <c r="F725" t="s">
        <v>172</v>
      </c>
      <c r="H725">
        <v>333</v>
      </c>
      <c r="I725">
        <v>36.1</v>
      </c>
      <c r="J725">
        <v>-1522.38</v>
      </c>
      <c r="L725" s="7"/>
    </row>
    <row r="726" spans="2:12" customFormat="1" x14ac:dyDescent="0.25">
      <c r="B726" t="s">
        <v>536</v>
      </c>
      <c r="C726" t="s">
        <v>335</v>
      </c>
      <c r="D726" t="s">
        <v>891</v>
      </c>
      <c r="E726" t="s">
        <v>336</v>
      </c>
      <c r="F726" t="s">
        <v>337</v>
      </c>
      <c r="H726">
        <v>247.53</v>
      </c>
      <c r="I726">
        <v>26.2</v>
      </c>
      <c r="J726">
        <v>-827.86</v>
      </c>
      <c r="L726" s="7"/>
    </row>
    <row r="727" spans="2:12" customFormat="1" x14ac:dyDescent="0.25">
      <c r="B727" t="s">
        <v>536</v>
      </c>
      <c r="C727" t="s">
        <v>41</v>
      </c>
      <c r="D727" t="s">
        <v>891</v>
      </c>
      <c r="E727" t="s">
        <v>231</v>
      </c>
      <c r="F727" t="s">
        <v>137</v>
      </c>
      <c r="H727">
        <v>5895.96</v>
      </c>
      <c r="I727">
        <v>5291.93</v>
      </c>
      <c r="J727">
        <v>-588.17999999999995</v>
      </c>
      <c r="L727" s="7"/>
    </row>
    <row r="728" spans="2:12" customFormat="1" x14ac:dyDescent="0.25">
      <c r="B728" t="s">
        <v>536</v>
      </c>
      <c r="C728" t="s">
        <v>42</v>
      </c>
      <c r="D728" t="s">
        <v>891</v>
      </c>
      <c r="E728" t="s">
        <v>232</v>
      </c>
      <c r="F728" t="s">
        <v>138</v>
      </c>
      <c r="H728">
        <v>605.82000000000005</v>
      </c>
      <c r="I728">
        <v>605.82000000000005</v>
      </c>
      <c r="J728">
        <v>0</v>
      </c>
      <c r="L728" s="7"/>
    </row>
    <row r="729" spans="2:12" customFormat="1" x14ac:dyDescent="0.25">
      <c r="B729" t="s">
        <v>536</v>
      </c>
      <c r="C729" t="s">
        <v>43</v>
      </c>
      <c r="D729" t="s">
        <v>891</v>
      </c>
      <c r="E729" t="s">
        <v>233</v>
      </c>
      <c r="F729" t="s">
        <v>139</v>
      </c>
      <c r="H729">
        <v>2790.46</v>
      </c>
      <c r="I729">
        <v>2790.46</v>
      </c>
      <c r="J729">
        <v>0</v>
      </c>
      <c r="L729" s="7"/>
    </row>
    <row r="730" spans="2:12" customFormat="1" x14ac:dyDescent="0.25">
      <c r="B730" t="s">
        <v>536</v>
      </c>
      <c r="C730" t="s">
        <v>545</v>
      </c>
      <c r="D730" t="s">
        <v>891</v>
      </c>
      <c r="E730" t="s">
        <v>546</v>
      </c>
      <c r="F730" t="s">
        <v>547</v>
      </c>
      <c r="H730">
        <v>0</v>
      </c>
      <c r="I730">
        <v>0</v>
      </c>
      <c r="J730">
        <v>9.43</v>
      </c>
      <c r="L730" s="7"/>
    </row>
    <row r="731" spans="2:12" customFormat="1" x14ac:dyDescent="0.25">
      <c r="B731" t="s">
        <v>536</v>
      </c>
      <c r="C731" t="s">
        <v>365</v>
      </c>
      <c r="D731" t="s">
        <v>891</v>
      </c>
      <c r="E731" t="s">
        <v>366</v>
      </c>
      <c r="F731" t="s">
        <v>367</v>
      </c>
      <c r="H731">
        <v>3429.87</v>
      </c>
      <c r="I731">
        <v>0</v>
      </c>
      <c r="J731">
        <v>-3429.87</v>
      </c>
      <c r="L731" s="7"/>
    </row>
    <row r="732" spans="2:12" customFormat="1" x14ac:dyDescent="0.25">
      <c r="B732" t="s">
        <v>536</v>
      </c>
      <c r="C732" t="s">
        <v>368</v>
      </c>
      <c r="D732" t="s">
        <v>891</v>
      </c>
      <c r="E732" t="s">
        <v>369</v>
      </c>
      <c r="F732" t="s">
        <v>370</v>
      </c>
      <c r="H732">
        <v>1954.75</v>
      </c>
      <c r="I732">
        <v>0</v>
      </c>
      <c r="J732">
        <v>-1954.75</v>
      </c>
      <c r="L732" s="7"/>
    </row>
    <row r="733" spans="2:12" customFormat="1" x14ac:dyDescent="0.25">
      <c r="B733" t="s">
        <v>536</v>
      </c>
      <c r="C733" t="s">
        <v>79</v>
      </c>
      <c r="D733" t="s">
        <v>891</v>
      </c>
      <c r="E733" t="s">
        <v>234</v>
      </c>
      <c r="F733" t="s">
        <v>140</v>
      </c>
      <c r="H733">
        <v>0</v>
      </c>
      <c r="I733">
        <v>0</v>
      </c>
      <c r="J733">
        <v>-139.04</v>
      </c>
      <c r="L733" s="7"/>
    </row>
    <row r="734" spans="2:12" customFormat="1" x14ac:dyDescent="0.25">
      <c r="B734" t="s">
        <v>536</v>
      </c>
      <c r="C734" t="s">
        <v>44</v>
      </c>
      <c r="D734" t="s">
        <v>891</v>
      </c>
      <c r="E734" t="s">
        <v>235</v>
      </c>
      <c r="F734" t="s">
        <v>141</v>
      </c>
      <c r="H734">
        <v>22.7</v>
      </c>
      <c r="I734">
        <v>12.6</v>
      </c>
      <c r="J734">
        <v>-22.71</v>
      </c>
      <c r="L734" s="7"/>
    </row>
    <row r="735" spans="2:12" customFormat="1" x14ac:dyDescent="0.25">
      <c r="B735" t="s">
        <v>536</v>
      </c>
      <c r="C735" t="s">
        <v>45</v>
      </c>
      <c r="D735" t="s">
        <v>891</v>
      </c>
      <c r="E735" t="s">
        <v>236</v>
      </c>
      <c r="F735" t="s">
        <v>142</v>
      </c>
      <c r="H735">
        <v>70.39</v>
      </c>
      <c r="I735">
        <v>39.06</v>
      </c>
      <c r="J735">
        <v>-217.81</v>
      </c>
      <c r="L735" s="7"/>
    </row>
    <row r="736" spans="2:12" customFormat="1" x14ac:dyDescent="0.25">
      <c r="B736" t="s">
        <v>536</v>
      </c>
      <c r="C736" t="s">
        <v>338</v>
      </c>
      <c r="D736" t="s">
        <v>891</v>
      </c>
      <c r="E736" t="s">
        <v>339</v>
      </c>
      <c r="F736" t="s">
        <v>340</v>
      </c>
      <c r="H736">
        <v>312.08999999999997</v>
      </c>
      <c r="I736">
        <v>312.08999999999997</v>
      </c>
      <c r="J736">
        <v>-312.08999999999997</v>
      </c>
      <c r="L736" s="7"/>
    </row>
    <row r="737" spans="2:12" customFormat="1" x14ac:dyDescent="0.25">
      <c r="B737" t="s">
        <v>536</v>
      </c>
      <c r="C737" t="s">
        <v>46</v>
      </c>
      <c r="D737" t="s">
        <v>891</v>
      </c>
      <c r="E737" t="s">
        <v>237</v>
      </c>
      <c r="F737" t="s">
        <v>143</v>
      </c>
      <c r="H737">
        <v>0</v>
      </c>
      <c r="I737">
        <v>0</v>
      </c>
      <c r="J737">
        <v>-2068866</v>
      </c>
      <c r="L737" s="7"/>
    </row>
    <row r="738" spans="2:12" customFormat="1" x14ac:dyDescent="0.25">
      <c r="B738" t="s">
        <v>536</v>
      </c>
      <c r="C738" t="s">
        <v>47</v>
      </c>
      <c r="D738" t="s">
        <v>891</v>
      </c>
      <c r="E738" t="s">
        <v>238</v>
      </c>
      <c r="F738" t="s">
        <v>144</v>
      </c>
      <c r="H738">
        <v>145000</v>
      </c>
      <c r="I738">
        <v>0</v>
      </c>
      <c r="J738">
        <v>-597979.78</v>
      </c>
      <c r="L738" s="7"/>
    </row>
    <row r="739" spans="2:12" customFormat="1" x14ac:dyDescent="0.25">
      <c r="B739" t="s">
        <v>536</v>
      </c>
      <c r="C739" t="s">
        <v>80</v>
      </c>
      <c r="D739" t="s">
        <v>891</v>
      </c>
      <c r="E739" t="s">
        <v>239</v>
      </c>
      <c r="F739" t="s">
        <v>145</v>
      </c>
      <c r="H739">
        <v>0</v>
      </c>
      <c r="I739">
        <v>0</v>
      </c>
      <c r="J739">
        <v>0.26</v>
      </c>
      <c r="L739" s="7"/>
    </row>
    <row r="740" spans="2:12" customFormat="1" x14ac:dyDescent="0.25">
      <c r="B740" t="s">
        <v>536</v>
      </c>
      <c r="C740" t="s">
        <v>85</v>
      </c>
      <c r="D740" t="s">
        <v>891</v>
      </c>
      <c r="E740" t="s">
        <v>240</v>
      </c>
      <c r="F740" t="s">
        <v>146</v>
      </c>
      <c r="H740">
        <v>0</v>
      </c>
      <c r="I740">
        <v>0</v>
      </c>
      <c r="J740">
        <v>1603348.85</v>
      </c>
      <c r="L740" s="7"/>
    </row>
    <row r="741" spans="2:12" customFormat="1" x14ac:dyDescent="0.25">
      <c r="B741" t="s">
        <v>536</v>
      </c>
      <c r="C741" t="s">
        <v>371</v>
      </c>
      <c r="D741" t="s">
        <v>891</v>
      </c>
      <c r="E741" t="s">
        <v>372</v>
      </c>
      <c r="F741" t="s">
        <v>373</v>
      </c>
      <c r="H741">
        <v>1337235.55</v>
      </c>
      <c r="I741">
        <v>0</v>
      </c>
      <c r="J741">
        <v>-2501676.27</v>
      </c>
      <c r="L741" s="7"/>
    </row>
    <row r="742" spans="2:12" customFormat="1" x14ac:dyDescent="0.25">
      <c r="B742" t="s">
        <v>536</v>
      </c>
      <c r="C742" t="s">
        <v>374</v>
      </c>
      <c r="D742" t="s">
        <v>891</v>
      </c>
      <c r="E742" t="s">
        <v>375</v>
      </c>
      <c r="F742" t="s">
        <v>376</v>
      </c>
      <c r="H742">
        <v>30010.13</v>
      </c>
      <c r="I742">
        <v>0</v>
      </c>
      <c r="J742">
        <v>-60003.95</v>
      </c>
      <c r="L742" s="7"/>
    </row>
    <row r="743" spans="2:12" customFormat="1" x14ac:dyDescent="0.25">
      <c r="B743" t="s">
        <v>536</v>
      </c>
      <c r="C743" t="s">
        <v>434</v>
      </c>
      <c r="D743" t="s">
        <v>891</v>
      </c>
      <c r="E743" t="s">
        <v>435</v>
      </c>
      <c r="F743" t="s">
        <v>436</v>
      </c>
      <c r="H743">
        <v>60724.24</v>
      </c>
      <c r="I743">
        <v>0</v>
      </c>
      <c r="J743">
        <v>-129075.15</v>
      </c>
      <c r="L743" s="7"/>
    </row>
    <row r="744" spans="2:12" customFormat="1" x14ac:dyDescent="0.25">
      <c r="B744" t="s">
        <v>536</v>
      </c>
      <c r="C744" t="s">
        <v>48</v>
      </c>
      <c r="D744" t="s">
        <v>891</v>
      </c>
      <c r="E744" t="s">
        <v>241</v>
      </c>
      <c r="F744" t="s">
        <v>147</v>
      </c>
      <c r="H744">
        <v>10997.27</v>
      </c>
      <c r="I744">
        <v>0</v>
      </c>
      <c r="J744">
        <v>-19574.09</v>
      </c>
      <c r="L744" s="7"/>
    </row>
    <row r="745" spans="2:12" customFormat="1" x14ac:dyDescent="0.25">
      <c r="B745" t="s">
        <v>536</v>
      </c>
      <c r="C745" t="s">
        <v>86</v>
      </c>
      <c r="D745" t="s">
        <v>891</v>
      </c>
      <c r="E745" t="s">
        <v>242</v>
      </c>
      <c r="F745" t="s">
        <v>148</v>
      </c>
      <c r="H745">
        <v>73971.62</v>
      </c>
      <c r="I745">
        <v>0</v>
      </c>
      <c r="J745">
        <v>-137203.14000000001</v>
      </c>
      <c r="L745" s="7"/>
    </row>
    <row r="746" spans="2:12" customFormat="1" x14ac:dyDescent="0.25">
      <c r="B746" t="s">
        <v>536</v>
      </c>
      <c r="C746" t="s">
        <v>49</v>
      </c>
      <c r="D746" t="s">
        <v>891</v>
      </c>
      <c r="E746" t="s">
        <v>243</v>
      </c>
      <c r="F746" t="s">
        <v>149</v>
      </c>
      <c r="H746">
        <v>8.83</v>
      </c>
      <c r="I746">
        <v>5904.79</v>
      </c>
      <c r="J746">
        <v>10839.19</v>
      </c>
      <c r="L746" s="7"/>
    </row>
    <row r="747" spans="2:12" customFormat="1" x14ac:dyDescent="0.25">
      <c r="B747" t="s">
        <v>536</v>
      </c>
      <c r="C747" t="s">
        <v>50</v>
      </c>
      <c r="D747" t="s">
        <v>891</v>
      </c>
      <c r="E747" t="s">
        <v>244</v>
      </c>
      <c r="F747" t="s">
        <v>150</v>
      </c>
      <c r="H747">
        <v>0</v>
      </c>
      <c r="I747">
        <v>605.82000000000005</v>
      </c>
      <c r="J747">
        <v>1116.48</v>
      </c>
      <c r="L747" s="7"/>
    </row>
    <row r="748" spans="2:12" customFormat="1" x14ac:dyDescent="0.25">
      <c r="B748" t="s">
        <v>536</v>
      </c>
      <c r="C748" t="s">
        <v>51</v>
      </c>
      <c r="D748" t="s">
        <v>891</v>
      </c>
      <c r="E748" t="s">
        <v>245</v>
      </c>
      <c r="F748" t="s">
        <v>151</v>
      </c>
      <c r="H748">
        <v>0</v>
      </c>
      <c r="I748">
        <v>2790.46</v>
      </c>
      <c r="J748">
        <v>5142.59</v>
      </c>
      <c r="L748" s="7"/>
    </row>
    <row r="749" spans="2:12" customFormat="1" x14ac:dyDescent="0.25">
      <c r="B749" t="s">
        <v>536</v>
      </c>
      <c r="C749" t="s">
        <v>87</v>
      </c>
      <c r="D749" t="s">
        <v>891</v>
      </c>
      <c r="E749" t="s">
        <v>246</v>
      </c>
      <c r="F749" t="s">
        <v>152</v>
      </c>
      <c r="H749">
        <v>22945.82</v>
      </c>
      <c r="I749">
        <v>22176.799999999999</v>
      </c>
      <c r="J749">
        <v>-1095.3699999999999</v>
      </c>
      <c r="L749" s="7"/>
    </row>
    <row r="750" spans="2:12" customFormat="1" x14ac:dyDescent="0.25">
      <c r="B750" t="s">
        <v>536</v>
      </c>
      <c r="C750" t="s">
        <v>88</v>
      </c>
      <c r="D750" t="s">
        <v>891</v>
      </c>
      <c r="E750" t="s">
        <v>248</v>
      </c>
      <c r="F750" t="s">
        <v>154</v>
      </c>
      <c r="H750">
        <v>0</v>
      </c>
      <c r="I750">
        <v>0</v>
      </c>
      <c r="J750">
        <v>-30</v>
      </c>
      <c r="L750" s="7"/>
    </row>
    <row r="751" spans="2:12" customFormat="1" x14ac:dyDescent="0.25">
      <c r="B751" t="s">
        <v>536</v>
      </c>
      <c r="C751" t="s">
        <v>377</v>
      </c>
      <c r="D751" t="s">
        <v>891</v>
      </c>
      <c r="E751" t="s">
        <v>378</v>
      </c>
      <c r="F751" t="s">
        <v>379</v>
      </c>
      <c r="H751">
        <v>45676.800000000003</v>
      </c>
      <c r="I751">
        <v>1340999.79</v>
      </c>
      <c r="J751">
        <v>2463060.27</v>
      </c>
      <c r="L751" s="7"/>
    </row>
    <row r="752" spans="2:12" customFormat="1" x14ac:dyDescent="0.25">
      <c r="B752" t="s">
        <v>536</v>
      </c>
      <c r="C752" t="s">
        <v>53</v>
      </c>
      <c r="D752" t="s">
        <v>891</v>
      </c>
      <c r="E752" t="s">
        <v>249</v>
      </c>
      <c r="F752" t="s">
        <v>155</v>
      </c>
      <c r="H752">
        <v>2585.2399999999998</v>
      </c>
      <c r="I752">
        <v>44444.99</v>
      </c>
      <c r="J752">
        <v>144798.98000000001</v>
      </c>
      <c r="L752" s="7"/>
    </row>
    <row r="753" spans="2:12" customFormat="1" x14ac:dyDescent="0.25">
      <c r="B753" t="s">
        <v>536</v>
      </c>
      <c r="C753" t="s">
        <v>54</v>
      </c>
      <c r="D753" t="s">
        <v>891</v>
      </c>
      <c r="E753" t="s">
        <v>250</v>
      </c>
      <c r="F753" t="s">
        <v>156</v>
      </c>
      <c r="H753">
        <v>0</v>
      </c>
      <c r="I753">
        <v>6086.85</v>
      </c>
      <c r="J753">
        <v>16477.78</v>
      </c>
      <c r="L753" s="7"/>
    </row>
    <row r="754" spans="2:12" customFormat="1" x14ac:dyDescent="0.25">
      <c r="B754" t="s">
        <v>536</v>
      </c>
      <c r="C754" t="s">
        <v>55</v>
      </c>
      <c r="D754" t="s">
        <v>891</v>
      </c>
      <c r="E754" t="s">
        <v>252</v>
      </c>
      <c r="F754" t="s">
        <v>158</v>
      </c>
      <c r="H754">
        <v>1.4</v>
      </c>
      <c r="I754">
        <v>34918.78</v>
      </c>
      <c r="J754">
        <v>53635.61</v>
      </c>
      <c r="L754" s="7"/>
    </row>
    <row r="755" spans="2:12" customFormat="1" x14ac:dyDescent="0.25">
      <c r="B755" t="s">
        <v>536</v>
      </c>
      <c r="C755" t="s">
        <v>56</v>
      </c>
      <c r="D755" t="s">
        <v>891</v>
      </c>
      <c r="E755" t="s">
        <v>253</v>
      </c>
      <c r="F755" t="s">
        <v>159</v>
      </c>
      <c r="H755">
        <v>417</v>
      </c>
      <c r="I755">
        <v>9727.2800000000007</v>
      </c>
      <c r="J755">
        <v>19472.75</v>
      </c>
      <c r="L755" s="7"/>
    </row>
    <row r="756" spans="2:12" customFormat="1" x14ac:dyDescent="0.25">
      <c r="B756" t="s">
        <v>536</v>
      </c>
      <c r="C756" t="s">
        <v>57</v>
      </c>
      <c r="D756" t="s">
        <v>891</v>
      </c>
      <c r="E756" t="s">
        <v>254</v>
      </c>
      <c r="F756" t="s">
        <v>160</v>
      </c>
      <c r="H756">
        <v>26.2</v>
      </c>
      <c r="I756">
        <v>2850.39</v>
      </c>
      <c r="J756">
        <v>4731.84</v>
      </c>
      <c r="L756" s="7"/>
    </row>
    <row r="757" spans="2:12" customFormat="1" x14ac:dyDescent="0.25">
      <c r="B757" t="s">
        <v>536</v>
      </c>
      <c r="C757" t="s">
        <v>58</v>
      </c>
      <c r="D757" t="s">
        <v>891</v>
      </c>
      <c r="E757" t="s">
        <v>255</v>
      </c>
      <c r="F757" t="s">
        <v>161</v>
      </c>
      <c r="H757">
        <v>451.23</v>
      </c>
      <c r="I757">
        <v>4319.54</v>
      </c>
      <c r="J757">
        <v>25115.97</v>
      </c>
      <c r="L757" s="7"/>
    </row>
    <row r="758" spans="2:12" customFormat="1" x14ac:dyDescent="0.25">
      <c r="B758" t="s">
        <v>536</v>
      </c>
      <c r="C758" t="s">
        <v>59</v>
      </c>
      <c r="D758" t="s">
        <v>891</v>
      </c>
      <c r="E758" t="s">
        <v>256</v>
      </c>
      <c r="F758" t="s">
        <v>162</v>
      </c>
      <c r="H758">
        <v>0</v>
      </c>
      <c r="I758">
        <v>3211.54</v>
      </c>
      <c r="J758">
        <v>12419.23</v>
      </c>
      <c r="L758" s="7"/>
    </row>
    <row r="759" spans="2:12" customFormat="1" x14ac:dyDescent="0.25">
      <c r="B759" t="s">
        <v>536</v>
      </c>
      <c r="C759" t="s">
        <v>60</v>
      </c>
      <c r="D759" t="s">
        <v>891</v>
      </c>
      <c r="E759" t="s">
        <v>258</v>
      </c>
      <c r="F759" t="s">
        <v>164</v>
      </c>
      <c r="H759">
        <v>0</v>
      </c>
      <c r="I759">
        <v>149.77000000000001</v>
      </c>
      <c r="J759">
        <v>237.95</v>
      </c>
      <c r="L759" s="7"/>
    </row>
    <row r="760" spans="2:12" customFormat="1" x14ac:dyDescent="0.25">
      <c r="B760" t="s">
        <v>536</v>
      </c>
      <c r="C760" t="s">
        <v>344</v>
      </c>
      <c r="D760" t="s">
        <v>891</v>
      </c>
      <c r="E760" t="s">
        <v>345</v>
      </c>
      <c r="F760" t="s">
        <v>346</v>
      </c>
      <c r="H760">
        <v>220.78</v>
      </c>
      <c r="I760">
        <v>2285.38</v>
      </c>
      <c r="J760">
        <v>4243.54</v>
      </c>
      <c r="L760" s="7"/>
    </row>
    <row r="761" spans="2:12" customFormat="1" x14ac:dyDescent="0.25">
      <c r="B761" t="s">
        <v>536</v>
      </c>
      <c r="C761" t="s">
        <v>62</v>
      </c>
      <c r="D761" t="s">
        <v>891</v>
      </c>
      <c r="E761" t="s">
        <v>260</v>
      </c>
      <c r="F761" t="s">
        <v>166</v>
      </c>
      <c r="H761">
        <v>294.73</v>
      </c>
      <c r="I761">
        <v>1096.21</v>
      </c>
      <c r="J761">
        <v>996.28</v>
      </c>
      <c r="L761" s="7"/>
    </row>
    <row r="762" spans="2:12" customFormat="1" x14ac:dyDescent="0.25">
      <c r="B762" t="s">
        <v>536</v>
      </c>
      <c r="C762" t="s">
        <v>207</v>
      </c>
      <c r="D762" t="s">
        <v>891</v>
      </c>
      <c r="E762" t="s">
        <v>299</v>
      </c>
      <c r="F762" t="s">
        <v>208</v>
      </c>
      <c r="H762">
        <v>200</v>
      </c>
      <c r="I762">
        <v>1999</v>
      </c>
      <c r="J762">
        <v>2092.8000000000002</v>
      </c>
      <c r="L762" s="7"/>
    </row>
    <row r="763" spans="2:12" customFormat="1" x14ac:dyDescent="0.25">
      <c r="B763" t="s">
        <v>536</v>
      </c>
      <c r="C763" t="s">
        <v>63</v>
      </c>
      <c r="D763" t="s">
        <v>891</v>
      </c>
      <c r="E763" t="s">
        <v>261</v>
      </c>
      <c r="F763" t="s">
        <v>167</v>
      </c>
      <c r="H763">
        <v>3736.26</v>
      </c>
      <c r="I763">
        <v>9687.11</v>
      </c>
      <c r="J763">
        <v>4528.54</v>
      </c>
      <c r="L763" s="7"/>
    </row>
    <row r="764" spans="2:12" customFormat="1" x14ac:dyDescent="0.25">
      <c r="B764" t="s">
        <v>536</v>
      </c>
      <c r="C764" t="s">
        <v>380</v>
      </c>
      <c r="D764" t="s">
        <v>891</v>
      </c>
      <c r="E764" t="s">
        <v>381</v>
      </c>
      <c r="F764" t="s">
        <v>382</v>
      </c>
      <c r="H764">
        <v>0</v>
      </c>
      <c r="I764">
        <v>0</v>
      </c>
      <c r="J764">
        <v>1550</v>
      </c>
      <c r="L764" s="7"/>
    </row>
    <row r="765" spans="2:12" customFormat="1" x14ac:dyDescent="0.25">
      <c r="B765" t="s">
        <v>536</v>
      </c>
      <c r="C765" t="s">
        <v>91</v>
      </c>
      <c r="D765" t="s">
        <v>891</v>
      </c>
      <c r="E765" t="s">
        <v>262</v>
      </c>
      <c r="F765" t="s">
        <v>168</v>
      </c>
      <c r="H765">
        <v>0</v>
      </c>
      <c r="I765">
        <v>0</v>
      </c>
      <c r="J765">
        <v>1608.2</v>
      </c>
      <c r="L765" s="7"/>
    </row>
    <row r="766" spans="2:12" customFormat="1" x14ac:dyDescent="0.25">
      <c r="B766" t="s">
        <v>536</v>
      </c>
      <c r="C766" t="s">
        <v>386</v>
      </c>
      <c r="D766" t="s">
        <v>891</v>
      </c>
      <c r="E766" t="s">
        <v>387</v>
      </c>
      <c r="F766" t="s">
        <v>388</v>
      </c>
      <c r="H766">
        <v>0</v>
      </c>
      <c r="I766">
        <v>155.94</v>
      </c>
      <c r="J766">
        <v>155.94</v>
      </c>
      <c r="L766" s="7"/>
    </row>
    <row r="767" spans="2:12" customFormat="1" x14ac:dyDescent="0.25">
      <c r="B767" t="s">
        <v>536</v>
      </c>
      <c r="C767" t="s">
        <v>92</v>
      </c>
      <c r="D767" t="s">
        <v>891</v>
      </c>
      <c r="E767" t="s">
        <v>263</v>
      </c>
      <c r="F767" t="s">
        <v>169</v>
      </c>
      <c r="H767">
        <v>0</v>
      </c>
      <c r="I767">
        <v>0</v>
      </c>
      <c r="J767">
        <v>32.299999999999997</v>
      </c>
      <c r="L767" s="7"/>
    </row>
    <row r="768" spans="2:12" customFormat="1" x14ac:dyDescent="0.25">
      <c r="B768" t="s">
        <v>536</v>
      </c>
      <c r="C768" t="s">
        <v>93</v>
      </c>
      <c r="D768" t="s">
        <v>891</v>
      </c>
      <c r="E768" t="s">
        <v>264</v>
      </c>
      <c r="F768" t="s">
        <v>170</v>
      </c>
      <c r="H768">
        <v>0</v>
      </c>
      <c r="I768">
        <v>2133</v>
      </c>
      <c r="J768">
        <v>2133</v>
      </c>
      <c r="L768" s="7"/>
    </row>
    <row r="769" spans="2:12" customFormat="1" x14ac:dyDescent="0.25">
      <c r="B769" t="s">
        <v>536</v>
      </c>
      <c r="C769" t="s">
        <v>350</v>
      </c>
      <c r="D769" t="s">
        <v>891</v>
      </c>
      <c r="E769" t="s">
        <v>351</v>
      </c>
      <c r="F769" t="s">
        <v>352</v>
      </c>
      <c r="H769">
        <v>0</v>
      </c>
      <c r="I769">
        <v>0</v>
      </c>
      <c r="J769">
        <v>-12195.14</v>
      </c>
      <c r="L769" s="7"/>
    </row>
    <row r="770" spans="2:12" customFormat="1" x14ac:dyDescent="0.25">
      <c r="B770" t="s">
        <v>536</v>
      </c>
      <c r="C770" t="s">
        <v>64</v>
      </c>
      <c r="D770" t="s">
        <v>891</v>
      </c>
      <c r="E770" t="s">
        <v>265</v>
      </c>
      <c r="F770" t="s">
        <v>171</v>
      </c>
      <c r="H770">
        <v>164.28</v>
      </c>
      <c r="I770">
        <v>2291.7399999999998</v>
      </c>
      <c r="J770">
        <v>1485.15</v>
      </c>
      <c r="L770" s="7"/>
    </row>
    <row r="771" spans="2:12" customFormat="1" x14ac:dyDescent="0.25">
      <c r="B771" t="s">
        <v>536</v>
      </c>
      <c r="C771" t="s">
        <v>94</v>
      </c>
      <c r="D771" t="s">
        <v>891</v>
      </c>
      <c r="E771" t="s">
        <v>266</v>
      </c>
      <c r="F771" t="s">
        <v>172</v>
      </c>
      <c r="H771">
        <v>0</v>
      </c>
      <c r="I771">
        <v>0</v>
      </c>
      <c r="J771">
        <v>-975.65</v>
      </c>
      <c r="L771" s="7"/>
    </row>
    <row r="772" spans="2:12" customFormat="1" x14ac:dyDescent="0.25">
      <c r="B772" t="s">
        <v>536</v>
      </c>
      <c r="C772" t="s">
        <v>353</v>
      </c>
      <c r="D772" t="s">
        <v>891</v>
      </c>
      <c r="E772" t="s">
        <v>354</v>
      </c>
      <c r="F772" t="s">
        <v>355</v>
      </c>
      <c r="H772">
        <v>0</v>
      </c>
      <c r="I772">
        <v>0</v>
      </c>
      <c r="J772">
        <v>-277.56</v>
      </c>
      <c r="L772" s="7"/>
    </row>
    <row r="773" spans="2:12" customFormat="1" x14ac:dyDescent="0.25">
      <c r="B773" t="s">
        <v>536</v>
      </c>
      <c r="C773" t="s">
        <v>95</v>
      </c>
      <c r="D773" t="s">
        <v>891</v>
      </c>
      <c r="E773" t="s">
        <v>267</v>
      </c>
      <c r="F773" t="s">
        <v>173</v>
      </c>
      <c r="H773">
        <v>0</v>
      </c>
      <c r="I773">
        <v>0</v>
      </c>
      <c r="J773">
        <v>-947.18</v>
      </c>
      <c r="L773" s="7"/>
    </row>
    <row r="774" spans="2:12" customFormat="1" x14ac:dyDescent="0.25">
      <c r="B774" t="s">
        <v>536</v>
      </c>
      <c r="C774" t="s">
        <v>65</v>
      </c>
      <c r="D774" t="s">
        <v>891</v>
      </c>
      <c r="E774" t="s">
        <v>269</v>
      </c>
      <c r="F774" t="s">
        <v>175</v>
      </c>
      <c r="H774">
        <v>0</v>
      </c>
      <c r="I774">
        <v>29850</v>
      </c>
      <c r="J774">
        <v>21031.69</v>
      </c>
      <c r="L774" s="7"/>
    </row>
    <row r="775" spans="2:12" customFormat="1" x14ac:dyDescent="0.25">
      <c r="B775" t="s">
        <v>536</v>
      </c>
      <c r="C775" t="s">
        <v>97</v>
      </c>
      <c r="D775" t="s">
        <v>891</v>
      </c>
      <c r="E775" t="s">
        <v>270</v>
      </c>
      <c r="F775" t="s">
        <v>176</v>
      </c>
      <c r="H775">
        <v>0</v>
      </c>
      <c r="I775">
        <v>130.06</v>
      </c>
      <c r="J775">
        <v>488.41</v>
      </c>
      <c r="L775" s="7"/>
    </row>
    <row r="776" spans="2:12" customFormat="1" x14ac:dyDescent="0.25">
      <c r="B776" t="s">
        <v>536</v>
      </c>
      <c r="C776" t="s">
        <v>66</v>
      </c>
      <c r="D776" t="s">
        <v>891</v>
      </c>
      <c r="E776" t="s">
        <v>272</v>
      </c>
      <c r="F776" t="s">
        <v>178</v>
      </c>
      <c r="H776">
        <v>0</v>
      </c>
      <c r="I776">
        <v>0</v>
      </c>
      <c r="J776">
        <v>199</v>
      </c>
      <c r="L776" s="7"/>
    </row>
    <row r="777" spans="2:12" customFormat="1" x14ac:dyDescent="0.25">
      <c r="B777" t="s">
        <v>536</v>
      </c>
      <c r="C777" t="s">
        <v>99</v>
      </c>
      <c r="D777" t="s">
        <v>891</v>
      </c>
      <c r="E777" t="s">
        <v>273</v>
      </c>
      <c r="F777" t="s">
        <v>179</v>
      </c>
      <c r="H777">
        <v>1413.8</v>
      </c>
      <c r="I777">
        <v>0</v>
      </c>
      <c r="J777">
        <v>0</v>
      </c>
      <c r="L777" s="7"/>
    </row>
    <row r="778" spans="2:12" customFormat="1" x14ac:dyDescent="0.25">
      <c r="B778" t="s">
        <v>536</v>
      </c>
      <c r="C778" t="s">
        <v>392</v>
      </c>
      <c r="D778" t="s">
        <v>891</v>
      </c>
      <c r="E778" t="s">
        <v>393</v>
      </c>
      <c r="F778" t="s">
        <v>394</v>
      </c>
      <c r="H778">
        <v>0</v>
      </c>
      <c r="I778">
        <v>1554.64</v>
      </c>
      <c r="J778">
        <v>1554.64</v>
      </c>
      <c r="L778" s="7"/>
    </row>
    <row r="779" spans="2:12" customFormat="1" x14ac:dyDescent="0.25">
      <c r="B779" t="s">
        <v>536</v>
      </c>
      <c r="C779" t="s">
        <v>100</v>
      </c>
      <c r="D779" t="s">
        <v>891</v>
      </c>
      <c r="E779" t="s">
        <v>274</v>
      </c>
      <c r="F779" t="s">
        <v>180</v>
      </c>
      <c r="H779">
        <v>835</v>
      </c>
      <c r="I779">
        <v>5318.65</v>
      </c>
      <c r="J779">
        <v>4483.6499999999996</v>
      </c>
      <c r="L779" s="7"/>
    </row>
    <row r="780" spans="2:12" customFormat="1" x14ac:dyDescent="0.25">
      <c r="B780" t="s">
        <v>536</v>
      </c>
      <c r="C780" t="s">
        <v>101</v>
      </c>
      <c r="D780" t="s">
        <v>891</v>
      </c>
      <c r="E780" t="s">
        <v>275</v>
      </c>
      <c r="F780" t="s">
        <v>181</v>
      </c>
      <c r="H780">
        <v>0</v>
      </c>
      <c r="I780">
        <v>290</v>
      </c>
      <c r="J780">
        <v>290</v>
      </c>
      <c r="L780" s="7"/>
    </row>
    <row r="781" spans="2:12" customFormat="1" x14ac:dyDescent="0.25">
      <c r="B781" t="s">
        <v>536</v>
      </c>
      <c r="C781" t="s">
        <v>67</v>
      </c>
      <c r="D781" t="s">
        <v>891</v>
      </c>
      <c r="E781" t="s">
        <v>276</v>
      </c>
      <c r="F781" t="s">
        <v>182</v>
      </c>
      <c r="H781">
        <v>0</v>
      </c>
      <c r="I781">
        <v>282.81</v>
      </c>
      <c r="J781">
        <v>612.80999999999995</v>
      </c>
      <c r="L781" s="7"/>
    </row>
    <row r="782" spans="2:12" customFormat="1" x14ac:dyDescent="0.25">
      <c r="B782" t="s">
        <v>536</v>
      </c>
      <c r="C782" t="s">
        <v>102</v>
      </c>
      <c r="D782" t="s">
        <v>891</v>
      </c>
      <c r="E782" t="s">
        <v>277</v>
      </c>
      <c r="F782" t="s">
        <v>183</v>
      </c>
      <c r="H782">
        <v>0</v>
      </c>
      <c r="I782">
        <v>0</v>
      </c>
      <c r="J782">
        <v>7566.75</v>
      </c>
      <c r="L782" s="7"/>
    </row>
    <row r="783" spans="2:12" customFormat="1" x14ac:dyDescent="0.25">
      <c r="B783" t="s">
        <v>536</v>
      </c>
      <c r="C783" t="s">
        <v>103</v>
      </c>
      <c r="D783" t="s">
        <v>891</v>
      </c>
      <c r="E783" t="s">
        <v>278</v>
      </c>
      <c r="F783" t="s">
        <v>184</v>
      </c>
      <c r="H783">
        <v>0</v>
      </c>
      <c r="I783">
        <v>0</v>
      </c>
      <c r="J783">
        <v>285.5</v>
      </c>
      <c r="L783" s="7"/>
    </row>
    <row r="784" spans="2:12" customFormat="1" x14ac:dyDescent="0.25">
      <c r="B784" t="s">
        <v>536</v>
      </c>
      <c r="C784" t="s">
        <v>395</v>
      </c>
      <c r="D784" t="s">
        <v>891</v>
      </c>
      <c r="E784" t="s">
        <v>396</v>
      </c>
      <c r="F784" t="s">
        <v>397</v>
      </c>
      <c r="H784">
        <v>0</v>
      </c>
      <c r="I784">
        <v>0</v>
      </c>
      <c r="J784">
        <v>4622.5600000000004</v>
      </c>
      <c r="L784" s="7"/>
    </row>
    <row r="785" spans="2:12" customFormat="1" x14ac:dyDescent="0.25">
      <c r="B785" t="s">
        <v>536</v>
      </c>
      <c r="C785" t="s">
        <v>104</v>
      </c>
      <c r="D785" t="s">
        <v>891</v>
      </c>
      <c r="E785" t="s">
        <v>280</v>
      </c>
      <c r="F785" t="s">
        <v>186</v>
      </c>
      <c r="H785">
        <v>0</v>
      </c>
      <c r="I785">
        <v>890</v>
      </c>
      <c r="J785">
        <v>7506</v>
      </c>
      <c r="L785" s="7"/>
    </row>
    <row r="786" spans="2:12" customFormat="1" x14ac:dyDescent="0.25">
      <c r="B786" t="s">
        <v>536</v>
      </c>
      <c r="C786" t="s">
        <v>356</v>
      </c>
      <c r="D786" t="s">
        <v>891</v>
      </c>
      <c r="E786" t="s">
        <v>357</v>
      </c>
      <c r="F786" t="s">
        <v>358</v>
      </c>
      <c r="H786">
        <v>0</v>
      </c>
      <c r="I786">
        <v>3068.6</v>
      </c>
      <c r="J786">
        <v>3068.6</v>
      </c>
      <c r="L786" s="7"/>
    </row>
    <row r="787" spans="2:12" customFormat="1" x14ac:dyDescent="0.25">
      <c r="B787" t="s">
        <v>536</v>
      </c>
      <c r="C787" t="s">
        <v>105</v>
      </c>
      <c r="D787" t="s">
        <v>891</v>
      </c>
      <c r="E787" t="s">
        <v>281</v>
      </c>
      <c r="F787" t="s">
        <v>187</v>
      </c>
      <c r="H787">
        <v>0</v>
      </c>
      <c r="I787">
        <v>1066.5899999999999</v>
      </c>
      <c r="J787">
        <v>2684.9</v>
      </c>
      <c r="L787" s="7"/>
    </row>
    <row r="788" spans="2:12" customFormat="1" x14ac:dyDescent="0.25">
      <c r="B788" t="s">
        <v>536</v>
      </c>
      <c r="C788" t="s">
        <v>106</v>
      </c>
      <c r="D788" t="s">
        <v>891</v>
      </c>
      <c r="E788" t="s">
        <v>282</v>
      </c>
      <c r="F788" t="s">
        <v>188</v>
      </c>
      <c r="H788">
        <v>0</v>
      </c>
      <c r="I788">
        <v>0</v>
      </c>
      <c r="J788">
        <v>160</v>
      </c>
      <c r="L788" s="7"/>
    </row>
    <row r="789" spans="2:12" customFormat="1" x14ac:dyDescent="0.25">
      <c r="B789" t="s">
        <v>536</v>
      </c>
      <c r="C789" t="s">
        <v>359</v>
      </c>
      <c r="D789" t="s">
        <v>891</v>
      </c>
      <c r="E789" t="s">
        <v>360</v>
      </c>
      <c r="F789" t="s">
        <v>361</v>
      </c>
      <c r="H789">
        <v>0</v>
      </c>
      <c r="I789">
        <v>154.52000000000001</v>
      </c>
      <c r="J789">
        <v>154.52000000000001</v>
      </c>
      <c r="L789" s="7"/>
    </row>
    <row r="790" spans="2:12" customFormat="1" x14ac:dyDescent="0.25">
      <c r="B790" t="s">
        <v>536</v>
      </c>
      <c r="C790" t="s">
        <v>69</v>
      </c>
      <c r="D790" t="s">
        <v>891</v>
      </c>
      <c r="E790" t="s">
        <v>284</v>
      </c>
      <c r="F790" t="s">
        <v>190</v>
      </c>
      <c r="H790">
        <v>0</v>
      </c>
      <c r="I790">
        <v>0</v>
      </c>
      <c r="J790">
        <v>188.71</v>
      </c>
      <c r="L790" s="7"/>
    </row>
    <row r="791" spans="2:12" customFormat="1" x14ac:dyDescent="0.25">
      <c r="B791" t="s">
        <v>536</v>
      </c>
      <c r="C791" t="s">
        <v>108</v>
      </c>
      <c r="D791" t="s">
        <v>891</v>
      </c>
      <c r="E791" t="s">
        <v>285</v>
      </c>
      <c r="F791" t="s">
        <v>191</v>
      </c>
      <c r="H791">
        <v>0</v>
      </c>
      <c r="I791">
        <v>0</v>
      </c>
      <c r="J791">
        <v>889.9</v>
      </c>
      <c r="L791" s="7"/>
    </row>
    <row r="792" spans="2:12" customFormat="1" x14ac:dyDescent="0.25">
      <c r="B792" t="s">
        <v>536</v>
      </c>
      <c r="C792" t="s">
        <v>557</v>
      </c>
      <c r="D792" t="s">
        <v>891</v>
      </c>
      <c r="E792" t="s">
        <v>558</v>
      </c>
      <c r="F792" t="s">
        <v>559</v>
      </c>
      <c r="H792">
        <v>0</v>
      </c>
      <c r="I792">
        <v>300</v>
      </c>
      <c r="J792">
        <v>300</v>
      </c>
      <c r="L792" s="7"/>
    </row>
    <row r="793" spans="2:12" customFormat="1" x14ac:dyDescent="0.25">
      <c r="B793" t="s">
        <v>536</v>
      </c>
      <c r="C793" t="s">
        <v>70</v>
      </c>
      <c r="D793" t="s">
        <v>891</v>
      </c>
      <c r="E793" t="s">
        <v>286</v>
      </c>
      <c r="F793" t="s">
        <v>192</v>
      </c>
      <c r="H793">
        <v>0</v>
      </c>
      <c r="I793">
        <v>1586.53</v>
      </c>
      <c r="J793">
        <v>10587.97</v>
      </c>
      <c r="L793" s="7"/>
    </row>
    <row r="794" spans="2:12" customFormat="1" x14ac:dyDescent="0.25">
      <c r="B794" t="s">
        <v>536</v>
      </c>
      <c r="C794" t="s">
        <v>109</v>
      </c>
      <c r="D794" t="s">
        <v>891</v>
      </c>
      <c r="E794" t="s">
        <v>287</v>
      </c>
      <c r="F794" t="s">
        <v>193</v>
      </c>
      <c r="H794">
        <v>0</v>
      </c>
      <c r="I794">
        <v>4369.8</v>
      </c>
      <c r="J794">
        <v>11371.7</v>
      </c>
      <c r="L794" s="7"/>
    </row>
    <row r="795" spans="2:12" customFormat="1" x14ac:dyDescent="0.25">
      <c r="B795" t="s">
        <v>536</v>
      </c>
      <c r="C795" t="s">
        <v>110</v>
      </c>
      <c r="D795" t="s">
        <v>891</v>
      </c>
      <c r="E795" t="s">
        <v>288</v>
      </c>
      <c r="F795" t="s">
        <v>194</v>
      </c>
      <c r="H795">
        <v>0</v>
      </c>
      <c r="I795">
        <v>1513.5</v>
      </c>
      <c r="J795">
        <v>2527</v>
      </c>
      <c r="L795" s="7"/>
    </row>
    <row r="796" spans="2:12" customFormat="1" x14ac:dyDescent="0.25">
      <c r="B796" t="s">
        <v>536</v>
      </c>
      <c r="C796" t="s">
        <v>437</v>
      </c>
      <c r="D796" t="s">
        <v>891</v>
      </c>
      <c r="E796" t="s">
        <v>438</v>
      </c>
      <c r="F796" t="s">
        <v>439</v>
      </c>
      <c r="H796">
        <v>0</v>
      </c>
      <c r="I796">
        <v>0</v>
      </c>
      <c r="J796">
        <v>742.63</v>
      </c>
      <c r="L796" s="7"/>
    </row>
    <row r="797" spans="2:12" customFormat="1" x14ac:dyDescent="0.25">
      <c r="B797" t="s">
        <v>536</v>
      </c>
      <c r="C797" t="s">
        <v>440</v>
      </c>
      <c r="D797" t="s">
        <v>891</v>
      </c>
      <c r="E797" t="s">
        <v>441</v>
      </c>
      <c r="F797" t="s">
        <v>442</v>
      </c>
      <c r="H797">
        <v>0</v>
      </c>
      <c r="I797">
        <v>0</v>
      </c>
      <c r="J797">
        <v>221.81</v>
      </c>
      <c r="L797" s="7"/>
    </row>
    <row r="798" spans="2:12" customFormat="1" x14ac:dyDescent="0.25">
      <c r="B798" t="s">
        <v>536</v>
      </c>
      <c r="C798" t="s">
        <v>111</v>
      </c>
      <c r="D798" t="s">
        <v>891</v>
      </c>
      <c r="E798" t="s">
        <v>289</v>
      </c>
      <c r="F798" t="s">
        <v>195</v>
      </c>
      <c r="H798">
        <v>0</v>
      </c>
      <c r="I798">
        <v>817.62</v>
      </c>
      <c r="J798">
        <v>817.62</v>
      </c>
      <c r="L798" s="7"/>
    </row>
    <row r="799" spans="2:12" customFormat="1" x14ac:dyDescent="0.25">
      <c r="B799" t="s">
        <v>536</v>
      </c>
      <c r="C799" t="s">
        <v>203</v>
      </c>
      <c r="D799" t="s">
        <v>891</v>
      </c>
      <c r="E799" t="s">
        <v>297</v>
      </c>
      <c r="F799" t="s">
        <v>204</v>
      </c>
      <c r="H799">
        <v>100</v>
      </c>
      <c r="I799">
        <v>700</v>
      </c>
      <c r="J799">
        <v>700</v>
      </c>
      <c r="L799" s="7"/>
    </row>
    <row r="800" spans="2:12" customFormat="1" x14ac:dyDescent="0.25">
      <c r="B800" t="s">
        <v>536</v>
      </c>
      <c r="C800" t="s">
        <v>398</v>
      </c>
      <c r="D800" t="s">
        <v>891</v>
      </c>
      <c r="E800" t="s">
        <v>399</v>
      </c>
      <c r="F800" t="s">
        <v>400</v>
      </c>
      <c r="H800">
        <v>0</v>
      </c>
      <c r="I800">
        <v>7.83</v>
      </c>
      <c r="J800">
        <v>32863.15</v>
      </c>
      <c r="L800" s="7"/>
    </row>
    <row r="801" spans="2:12" customFormat="1" x14ac:dyDescent="0.25">
      <c r="B801" t="s">
        <v>536</v>
      </c>
      <c r="C801" t="s">
        <v>443</v>
      </c>
      <c r="D801" t="s">
        <v>891</v>
      </c>
      <c r="E801" t="s">
        <v>444</v>
      </c>
      <c r="F801" t="s">
        <v>445</v>
      </c>
      <c r="H801">
        <v>0</v>
      </c>
      <c r="I801">
        <v>58.33</v>
      </c>
      <c r="J801">
        <v>1317.14</v>
      </c>
      <c r="L801" s="7"/>
    </row>
    <row r="802" spans="2:12" customFormat="1" x14ac:dyDescent="0.25">
      <c r="B802" t="s">
        <v>536</v>
      </c>
      <c r="C802" t="s">
        <v>563</v>
      </c>
      <c r="D802" t="s">
        <v>891</v>
      </c>
      <c r="E802" t="s">
        <v>564</v>
      </c>
      <c r="F802" t="s">
        <v>565</v>
      </c>
      <c r="H802">
        <v>0</v>
      </c>
      <c r="I802">
        <v>0</v>
      </c>
      <c r="J802">
        <v>840</v>
      </c>
      <c r="L802" s="7"/>
    </row>
    <row r="803" spans="2:12" customFormat="1" x14ac:dyDescent="0.25">
      <c r="B803" t="s">
        <v>536</v>
      </c>
      <c r="C803" t="s">
        <v>401</v>
      </c>
      <c r="D803" t="s">
        <v>891</v>
      </c>
      <c r="E803" t="s">
        <v>402</v>
      </c>
      <c r="F803" t="s">
        <v>403</v>
      </c>
      <c r="H803">
        <v>0</v>
      </c>
      <c r="I803">
        <v>0</v>
      </c>
      <c r="J803">
        <v>1266.52</v>
      </c>
      <c r="L803" s="7"/>
    </row>
    <row r="804" spans="2:12" customFormat="1" x14ac:dyDescent="0.25">
      <c r="B804" t="s">
        <v>536</v>
      </c>
      <c r="C804" t="s">
        <v>566</v>
      </c>
      <c r="D804" t="s">
        <v>891</v>
      </c>
      <c r="E804" t="s">
        <v>567</v>
      </c>
      <c r="F804" t="s">
        <v>568</v>
      </c>
      <c r="H804">
        <v>0</v>
      </c>
      <c r="I804">
        <v>0</v>
      </c>
      <c r="J804">
        <v>950</v>
      </c>
      <c r="L804" s="7"/>
    </row>
    <row r="805" spans="2:12" customFormat="1" x14ac:dyDescent="0.25">
      <c r="B805" t="s">
        <v>536</v>
      </c>
      <c r="C805" t="s">
        <v>404</v>
      </c>
      <c r="D805" t="s">
        <v>891</v>
      </c>
      <c r="E805" t="s">
        <v>405</v>
      </c>
      <c r="F805" t="s">
        <v>406</v>
      </c>
      <c r="H805">
        <v>0</v>
      </c>
      <c r="I805">
        <v>0</v>
      </c>
      <c r="J805">
        <v>0.02</v>
      </c>
      <c r="L805" s="7"/>
    </row>
    <row r="806" spans="2:12" customFormat="1" x14ac:dyDescent="0.25">
      <c r="B806" t="s">
        <v>536</v>
      </c>
      <c r="C806" t="s">
        <v>407</v>
      </c>
      <c r="D806" t="s">
        <v>891</v>
      </c>
      <c r="E806" t="s">
        <v>408</v>
      </c>
      <c r="F806" t="s">
        <v>409</v>
      </c>
      <c r="H806">
        <v>0</v>
      </c>
      <c r="I806">
        <v>0</v>
      </c>
      <c r="J806">
        <v>2883.28</v>
      </c>
      <c r="L806" s="7"/>
    </row>
    <row r="807" spans="2:12" customFormat="1" x14ac:dyDescent="0.25">
      <c r="B807" t="s">
        <v>536</v>
      </c>
      <c r="C807" t="s">
        <v>569</v>
      </c>
      <c r="D807" t="s">
        <v>891</v>
      </c>
      <c r="E807" t="s">
        <v>570</v>
      </c>
      <c r="F807" t="s">
        <v>571</v>
      </c>
      <c r="H807">
        <v>0</v>
      </c>
      <c r="I807">
        <v>0</v>
      </c>
      <c r="J807">
        <v>47.64</v>
      </c>
      <c r="L807" s="7"/>
    </row>
    <row r="808" spans="2:12" customFormat="1" x14ac:dyDescent="0.25">
      <c r="B808" t="s">
        <v>536</v>
      </c>
      <c r="C808" t="s">
        <v>71</v>
      </c>
      <c r="D808" t="s">
        <v>891</v>
      </c>
      <c r="E808" t="s">
        <v>291</v>
      </c>
      <c r="F808" t="s">
        <v>197</v>
      </c>
      <c r="H808">
        <v>0</v>
      </c>
      <c r="I808">
        <v>471.46</v>
      </c>
      <c r="J808">
        <v>1201.3</v>
      </c>
      <c r="L808" s="7"/>
    </row>
    <row r="809" spans="2:12" customFormat="1" x14ac:dyDescent="0.25">
      <c r="B809" t="s">
        <v>536</v>
      </c>
      <c r="C809" t="s">
        <v>72</v>
      </c>
      <c r="D809" t="s">
        <v>891</v>
      </c>
      <c r="E809" t="s">
        <v>292</v>
      </c>
      <c r="F809" t="s">
        <v>198</v>
      </c>
      <c r="H809">
        <v>0</v>
      </c>
      <c r="I809">
        <v>637.09</v>
      </c>
      <c r="J809">
        <v>1125.6600000000001</v>
      </c>
      <c r="L809" s="7"/>
    </row>
    <row r="810" spans="2:12" customFormat="1" x14ac:dyDescent="0.25">
      <c r="B810" t="s">
        <v>536</v>
      </c>
      <c r="C810" t="s">
        <v>73</v>
      </c>
      <c r="D810" t="s">
        <v>891</v>
      </c>
      <c r="E810" t="s">
        <v>293</v>
      </c>
      <c r="F810" t="s">
        <v>199</v>
      </c>
      <c r="H810">
        <v>0</v>
      </c>
      <c r="I810">
        <v>689.73</v>
      </c>
      <c r="J810">
        <v>121832.54</v>
      </c>
      <c r="L810" s="7"/>
    </row>
    <row r="811" spans="2:12" customFormat="1" x14ac:dyDescent="0.25">
      <c r="B811" t="s">
        <v>536</v>
      </c>
      <c r="C811" t="s">
        <v>74</v>
      </c>
      <c r="D811" t="s">
        <v>891</v>
      </c>
      <c r="E811" t="s">
        <v>294</v>
      </c>
      <c r="F811" t="s">
        <v>200</v>
      </c>
      <c r="H811">
        <v>0</v>
      </c>
      <c r="I811">
        <v>11113.01</v>
      </c>
      <c r="J811">
        <v>15370.01</v>
      </c>
      <c r="L811" s="7"/>
    </row>
    <row r="812" spans="2:12" customFormat="1" x14ac:dyDescent="0.25">
      <c r="B812" t="s">
        <v>536</v>
      </c>
      <c r="C812" t="s">
        <v>75</v>
      </c>
      <c r="D812" t="s">
        <v>891</v>
      </c>
      <c r="E812" t="s">
        <v>295</v>
      </c>
      <c r="F812" t="s">
        <v>201</v>
      </c>
      <c r="H812">
        <v>0</v>
      </c>
      <c r="I812">
        <v>3429.87</v>
      </c>
      <c r="J812">
        <v>4961.8500000000004</v>
      </c>
      <c r="L812" s="7"/>
    </row>
    <row r="813" spans="2:12" customFormat="1" x14ac:dyDescent="0.25">
      <c r="B813" t="s">
        <v>536</v>
      </c>
      <c r="C813" t="s">
        <v>76</v>
      </c>
      <c r="D813" t="s">
        <v>891</v>
      </c>
      <c r="E813" t="s">
        <v>296</v>
      </c>
      <c r="F813" t="s">
        <v>202</v>
      </c>
      <c r="H813">
        <v>0</v>
      </c>
      <c r="I813">
        <v>1954.75</v>
      </c>
      <c r="J813">
        <v>2873.94</v>
      </c>
      <c r="L813" s="7"/>
    </row>
    <row r="814" spans="2:12" customFormat="1" x14ac:dyDescent="0.25">
      <c r="B814" t="s">
        <v>841</v>
      </c>
      <c r="C814" t="s">
        <v>26</v>
      </c>
      <c r="D814" t="s">
        <v>891</v>
      </c>
      <c r="E814" t="s">
        <v>211</v>
      </c>
      <c r="F814" t="s">
        <v>116</v>
      </c>
      <c r="H814">
        <v>140371.35</v>
      </c>
      <c r="I814">
        <v>140371.35</v>
      </c>
      <c r="J814">
        <v>0</v>
      </c>
      <c r="L814" s="7"/>
    </row>
    <row r="815" spans="2:12" customFormat="1" x14ac:dyDescent="0.25">
      <c r="B815" t="s">
        <v>841</v>
      </c>
      <c r="C815" t="s">
        <v>27</v>
      </c>
      <c r="D815" t="s">
        <v>891</v>
      </c>
      <c r="E815" t="s">
        <v>212</v>
      </c>
      <c r="F815" t="s">
        <v>117</v>
      </c>
      <c r="H815">
        <v>9331.27</v>
      </c>
      <c r="I815">
        <v>8121.96</v>
      </c>
      <c r="J815">
        <v>10952.37</v>
      </c>
      <c r="L815" s="7"/>
    </row>
    <row r="816" spans="2:12" customFormat="1" x14ac:dyDescent="0.25">
      <c r="B816" t="s">
        <v>841</v>
      </c>
      <c r="C816" t="s">
        <v>28</v>
      </c>
      <c r="D816" t="s">
        <v>891</v>
      </c>
      <c r="E816" t="s">
        <v>213</v>
      </c>
      <c r="F816" t="s">
        <v>118</v>
      </c>
      <c r="H816">
        <v>57986.28</v>
      </c>
      <c r="I816">
        <v>60246.29</v>
      </c>
      <c r="J816">
        <v>1520.57</v>
      </c>
      <c r="L816" s="7"/>
    </row>
    <row r="817" spans="2:12" customFormat="1" x14ac:dyDescent="0.25">
      <c r="B817" t="s">
        <v>841</v>
      </c>
      <c r="C817" t="s">
        <v>410</v>
      </c>
      <c r="D817" t="s">
        <v>891</v>
      </c>
      <c r="E817" t="s">
        <v>411</v>
      </c>
      <c r="F817" t="s">
        <v>412</v>
      </c>
      <c r="H817">
        <v>127733.83</v>
      </c>
      <c r="I817">
        <v>140519.54999999999</v>
      </c>
      <c r="J817">
        <v>29209.919999999998</v>
      </c>
      <c r="L817" s="7"/>
    </row>
    <row r="818" spans="2:12" customFormat="1" x14ac:dyDescent="0.25">
      <c r="B818" t="s">
        <v>841</v>
      </c>
      <c r="C818" t="s">
        <v>30</v>
      </c>
      <c r="D818" t="s">
        <v>891</v>
      </c>
      <c r="E818" t="s">
        <v>215</v>
      </c>
      <c r="F818" t="s">
        <v>120</v>
      </c>
      <c r="H818">
        <v>699497.54</v>
      </c>
      <c r="I818">
        <v>772939.7</v>
      </c>
      <c r="J818">
        <v>163951.93</v>
      </c>
      <c r="L818" s="7"/>
    </row>
    <row r="819" spans="2:12" customFormat="1" x14ac:dyDescent="0.25">
      <c r="B819" t="s">
        <v>841</v>
      </c>
      <c r="C819" t="s">
        <v>81</v>
      </c>
      <c r="D819" t="s">
        <v>891</v>
      </c>
      <c r="E819" t="s">
        <v>216</v>
      </c>
      <c r="F819" t="s">
        <v>121</v>
      </c>
      <c r="H819">
        <v>30120</v>
      </c>
      <c r="I819">
        <v>18916.59</v>
      </c>
      <c r="J819">
        <v>32932.19</v>
      </c>
      <c r="L819" s="7"/>
    </row>
    <row r="820" spans="2:12" customFormat="1" x14ac:dyDescent="0.25">
      <c r="B820" t="s">
        <v>841</v>
      </c>
      <c r="C820" t="s">
        <v>449</v>
      </c>
      <c r="D820" t="s">
        <v>891</v>
      </c>
      <c r="E820" t="s">
        <v>450</v>
      </c>
      <c r="F820" t="s">
        <v>451</v>
      </c>
      <c r="H820">
        <v>18399.900000000001</v>
      </c>
      <c r="I820">
        <v>15331.12</v>
      </c>
      <c r="J820">
        <v>14418.81</v>
      </c>
      <c r="L820" s="7"/>
    </row>
    <row r="821" spans="2:12" customFormat="1" x14ac:dyDescent="0.25">
      <c r="B821" t="s">
        <v>841</v>
      </c>
      <c r="C821" t="s">
        <v>31</v>
      </c>
      <c r="D821" t="s">
        <v>891</v>
      </c>
      <c r="E821" t="s">
        <v>217</v>
      </c>
      <c r="F821" t="s">
        <v>122</v>
      </c>
      <c r="H821">
        <v>829738.51</v>
      </c>
      <c r="I821">
        <v>829686.82</v>
      </c>
      <c r="J821">
        <v>-51.69</v>
      </c>
      <c r="L821" s="7"/>
    </row>
    <row r="822" spans="2:12" customFormat="1" x14ac:dyDescent="0.25">
      <c r="B822" t="s">
        <v>841</v>
      </c>
      <c r="C822" t="s">
        <v>32</v>
      </c>
      <c r="D822" t="s">
        <v>891</v>
      </c>
      <c r="E822" t="s">
        <v>218</v>
      </c>
      <c r="F822" t="s">
        <v>123</v>
      </c>
      <c r="H822">
        <v>0</v>
      </c>
      <c r="I822">
        <v>12000</v>
      </c>
      <c r="J822">
        <v>82681.600000000006</v>
      </c>
      <c r="L822" s="7"/>
    </row>
    <row r="823" spans="2:12" customFormat="1" x14ac:dyDescent="0.25">
      <c r="B823" t="s">
        <v>841</v>
      </c>
      <c r="C823" t="s">
        <v>33</v>
      </c>
      <c r="D823" t="s">
        <v>891</v>
      </c>
      <c r="E823" t="s">
        <v>219</v>
      </c>
      <c r="F823" t="s">
        <v>124</v>
      </c>
      <c r="H823">
        <v>200241.63</v>
      </c>
      <c r="I823">
        <v>201151.86</v>
      </c>
      <c r="J823">
        <v>9268.61</v>
      </c>
      <c r="L823" s="7"/>
    </row>
    <row r="824" spans="2:12" customFormat="1" x14ac:dyDescent="0.25">
      <c r="B824" t="s">
        <v>841</v>
      </c>
      <c r="C824" t="s">
        <v>34</v>
      </c>
      <c r="D824" t="s">
        <v>891</v>
      </c>
      <c r="E824" t="s">
        <v>220</v>
      </c>
      <c r="F824" t="s">
        <v>125</v>
      </c>
      <c r="H824">
        <v>201794.5</v>
      </c>
      <c r="I824">
        <v>246221.04</v>
      </c>
      <c r="J824">
        <v>233535.68</v>
      </c>
      <c r="L824" s="7"/>
    </row>
    <row r="825" spans="2:12" customFormat="1" x14ac:dyDescent="0.25">
      <c r="B825" t="s">
        <v>841</v>
      </c>
      <c r="C825" t="s">
        <v>205</v>
      </c>
      <c r="D825" t="s">
        <v>891</v>
      </c>
      <c r="E825" t="s">
        <v>298</v>
      </c>
      <c r="F825" t="s">
        <v>206</v>
      </c>
      <c r="H825">
        <v>134039.07</v>
      </c>
      <c r="I825">
        <v>161036.71</v>
      </c>
      <c r="J825">
        <v>176964.61</v>
      </c>
      <c r="L825" s="7"/>
    </row>
    <row r="826" spans="2:12" customFormat="1" x14ac:dyDescent="0.25">
      <c r="B826" t="s">
        <v>841</v>
      </c>
      <c r="C826" t="s">
        <v>301</v>
      </c>
      <c r="D826" t="s">
        <v>891</v>
      </c>
      <c r="E826" t="s">
        <v>302</v>
      </c>
      <c r="F826" t="s">
        <v>303</v>
      </c>
      <c r="H826">
        <v>9545.32</v>
      </c>
      <c r="I826">
        <v>9545.32</v>
      </c>
      <c r="J826">
        <v>0</v>
      </c>
      <c r="L826" s="7"/>
    </row>
    <row r="827" spans="2:12" customFormat="1" x14ac:dyDescent="0.25">
      <c r="B827" t="s">
        <v>841</v>
      </c>
      <c r="C827" t="s">
        <v>648</v>
      </c>
      <c r="D827" t="s">
        <v>891</v>
      </c>
      <c r="E827" t="s">
        <v>649</v>
      </c>
      <c r="F827" t="s">
        <v>650</v>
      </c>
      <c r="H827">
        <v>0</v>
      </c>
      <c r="I827">
        <v>0</v>
      </c>
      <c r="J827">
        <v>2498.23</v>
      </c>
      <c r="L827" s="7"/>
    </row>
    <row r="828" spans="2:12" customFormat="1" x14ac:dyDescent="0.25">
      <c r="B828" t="s">
        <v>841</v>
      </c>
      <c r="C828" t="s">
        <v>35</v>
      </c>
      <c r="D828" t="s">
        <v>891</v>
      </c>
      <c r="E828" t="s">
        <v>221</v>
      </c>
      <c r="F828" t="s">
        <v>127</v>
      </c>
      <c r="H828">
        <v>703.07</v>
      </c>
      <c r="I828">
        <v>703.07</v>
      </c>
      <c r="J828">
        <v>2472.7800000000002</v>
      </c>
      <c r="L828" s="7"/>
    </row>
    <row r="829" spans="2:12" customFormat="1" x14ac:dyDescent="0.25">
      <c r="B829" t="s">
        <v>841</v>
      </c>
      <c r="C829" t="s">
        <v>36</v>
      </c>
      <c r="D829" t="s">
        <v>891</v>
      </c>
      <c r="E829" t="s">
        <v>222</v>
      </c>
      <c r="F829" t="s">
        <v>128</v>
      </c>
      <c r="H829">
        <v>150.41999999999999</v>
      </c>
      <c r="I829">
        <v>379.8</v>
      </c>
      <c r="J829">
        <v>10280.84</v>
      </c>
      <c r="L829" s="7"/>
    </row>
    <row r="830" spans="2:12" customFormat="1" x14ac:dyDescent="0.25">
      <c r="B830" t="s">
        <v>841</v>
      </c>
      <c r="C830" t="s">
        <v>37</v>
      </c>
      <c r="D830" t="s">
        <v>891</v>
      </c>
      <c r="E830" t="s">
        <v>223</v>
      </c>
      <c r="F830" t="s">
        <v>129</v>
      </c>
      <c r="H830">
        <v>692.83</v>
      </c>
      <c r="I830">
        <v>1749.39</v>
      </c>
      <c r="J830">
        <v>47321.440000000002</v>
      </c>
      <c r="L830" s="7"/>
    </row>
    <row r="831" spans="2:12" customFormat="1" x14ac:dyDescent="0.25">
      <c r="B831" t="s">
        <v>841</v>
      </c>
      <c r="C831" t="s">
        <v>413</v>
      </c>
      <c r="D831" t="s">
        <v>891</v>
      </c>
      <c r="E831" t="s">
        <v>414</v>
      </c>
      <c r="F831" t="s">
        <v>415</v>
      </c>
      <c r="H831">
        <v>0</v>
      </c>
      <c r="I831">
        <v>0</v>
      </c>
      <c r="J831">
        <v>1.63</v>
      </c>
      <c r="L831" s="7"/>
    </row>
    <row r="832" spans="2:12" customFormat="1" x14ac:dyDescent="0.25">
      <c r="B832" t="s">
        <v>841</v>
      </c>
      <c r="C832" t="s">
        <v>304</v>
      </c>
      <c r="D832" t="s">
        <v>891</v>
      </c>
      <c r="E832" t="s">
        <v>305</v>
      </c>
      <c r="F832" t="s">
        <v>306</v>
      </c>
      <c r="H832">
        <v>711625.76</v>
      </c>
      <c r="I832">
        <v>653710.5</v>
      </c>
      <c r="J832">
        <v>113350.38</v>
      </c>
      <c r="L832" s="7"/>
    </row>
    <row r="833" spans="2:12" customFormat="1" x14ac:dyDescent="0.25">
      <c r="B833" t="s">
        <v>841</v>
      </c>
      <c r="C833" t="s">
        <v>38</v>
      </c>
      <c r="D833" t="s">
        <v>891</v>
      </c>
      <c r="E833" t="s">
        <v>224</v>
      </c>
      <c r="F833" t="s">
        <v>130</v>
      </c>
      <c r="H833">
        <v>15707.55</v>
      </c>
      <c r="I833">
        <v>19618.87</v>
      </c>
      <c r="J833">
        <v>49625.02</v>
      </c>
      <c r="L833" s="7"/>
    </row>
    <row r="834" spans="2:12" customFormat="1" x14ac:dyDescent="0.25">
      <c r="B834" t="s">
        <v>841</v>
      </c>
      <c r="C834" t="s">
        <v>39</v>
      </c>
      <c r="D834" t="s">
        <v>891</v>
      </c>
      <c r="E834" t="s">
        <v>225</v>
      </c>
      <c r="F834" t="s">
        <v>131</v>
      </c>
      <c r="H834">
        <v>3137.91</v>
      </c>
      <c r="I834">
        <v>4532.5200000000004</v>
      </c>
      <c r="J834">
        <v>20208.72</v>
      </c>
      <c r="L834" s="7"/>
    </row>
    <row r="835" spans="2:12" customFormat="1" x14ac:dyDescent="0.25">
      <c r="B835" t="s">
        <v>841</v>
      </c>
      <c r="C835" t="s">
        <v>82</v>
      </c>
      <c r="D835" t="s">
        <v>891</v>
      </c>
      <c r="E835" t="s">
        <v>226</v>
      </c>
      <c r="F835" t="s">
        <v>132</v>
      </c>
      <c r="H835">
        <v>0</v>
      </c>
      <c r="I835">
        <v>0</v>
      </c>
      <c r="J835">
        <v>-6945</v>
      </c>
      <c r="L835" s="7"/>
    </row>
    <row r="836" spans="2:12" customFormat="1" x14ac:dyDescent="0.25">
      <c r="B836" t="s">
        <v>841</v>
      </c>
      <c r="C836" t="s">
        <v>452</v>
      </c>
      <c r="D836" t="s">
        <v>891</v>
      </c>
      <c r="E836" t="s">
        <v>453</v>
      </c>
      <c r="F836" t="s">
        <v>454</v>
      </c>
      <c r="H836">
        <v>0</v>
      </c>
      <c r="I836">
        <v>0</v>
      </c>
      <c r="J836">
        <v>3984.11</v>
      </c>
      <c r="L836" s="7"/>
    </row>
    <row r="837" spans="2:12" customFormat="1" x14ac:dyDescent="0.25">
      <c r="B837" t="s">
        <v>841</v>
      </c>
      <c r="C837" t="s">
        <v>455</v>
      </c>
      <c r="D837" t="s">
        <v>891</v>
      </c>
      <c r="E837" t="s">
        <v>456</v>
      </c>
      <c r="F837" t="s">
        <v>457</v>
      </c>
      <c r="H837">
        <v>0</v>
      </c>
      <c r="I837">
        <v>0</v>
      </c>
      <c r="J837">
        <v>6202.5</v>
      </c>
      <c r="L837" s="7"/>
    </row>
    <row r="838" spans="2:12" customFormat="1" x14ac:dyDescent="0.25">
      <c r="B838" t="s">
        <v>841</v>
      </c>
      <c r="C838" t="s">
        <v>416</v>
      </c>
      <c r="D838" t="s">
        <v>891</v>
      </c>
      <c r="E838" t="s">
        <v>417</v>
      </c>
      <c r="F838" t="s">
        <v>418</v>
      </c>
      <c r="H838">
        <v>0</v>
      </c>
      <c r="I838">
        <v>0</v>
      </c>
      <c r="J838">
        <v>2428.8000000000002</v>
      </c>
      <c r="L838" s="7"/>
    </row>
    <row r="839" spans="2:12" customFormat="1" x14ac:dyDescent="0.25">
      <c r="B839" t="s">
        <v>841</v>
      </c>
      <c r="C839" t="s">
        <v>458</v>
      </c>
      <c r="D839" t="s">
        <v>891</v>
      </c>
      <c r="E839" t="s">
        <v>459</v>
      </c>
      <c r="F839" t="s">
        <v>460</v>
      </c>
      <c r="H839">
        <v>0</v>
      </c>
      <c r="I839">
        <v>0</v>
      </c>
      <c r="J839">
        <v>19454.009999999998</v>
      </c>
      <c r="L839" s="7"/>
    </row>
    <row r="840" spans="2:12" customFormat="1" x14ac:dyDescent="0.25">
      <c r="B840" t="s">
        <v>841</v>
      </c>
      <c r="C840" t="s">
        <v>461</v>
      </c>
      <c r="D840" t="s">
        <v>891</v>
      </c>
      <c r="E840" t="s">
        <v>462</v>
      </c>
      <c r="F840" t="s">
        <v>463</v>
      </c>
      <c r="H840">
        <v>0</v>
      </c>
      <c r="I840">
        <v>119.9</v>
      </c>
      <c r="J840">
        <v>119.9</v>
      </c>
      <c r="L840" s="7"/>
    </row>
    <row r="841" spans="2:12" customFormat="1" x14ac:dyDescent="0.25">
      <c r="B841" t="s">
        <v>841</v>
      </c>
      <c r="C841" t="s">
        <v>464</v>
      </c>
      <c r="D841" t="s">
        <v>891</v>
      </c>
      <c r="E841" t="s">
        <v>465</v>
      </c>
      <c r="F841" t="s">
        <v>466</v>
      </c>
      <c r="H841">
        <v>0</v>
      </c>
      <c r="I841">
        <v>28979.64</v>
      </c>
      <c r="J841">
        <v>28979.64</v>
      </c>
      <c r="L841" s="7"/>
    </row>
    <row r="842" spans="2:12" customFormat="1" x14ac:dyDescent="0.25">
      <c r="B842" t="s">
        <v>841</v>
      </c>
      <c r="C842" t="s">
        <v>467</v>
      </c>
      <c r="D842" t="s">
        <v>891</v>
      </c>
      <c r="E842" t="s">
        <v>468</v>
      </c>
      <c r="F842" t="s">
        <v>469</v>
      </c>
      <c r="H842">
        <v>28979.64</v>
      </c>
      <c r="I842">
        <v>2914.85</v>
      </c>
      <c r="J842">
        <v>18437.78</v>
      </c>
      <c r="L842" s="7"/>
    </row>
    <row r="843" spans="2:12" customFormat="1" x14ac:dyDescent="0.25">
      <c r="B843" t="s">
        <v>841</v>
      </c>
      <c r="C843" t="s">
        <v>470</v>
      </c>
      <c r="D843" t="s">
        <v>891</v>
      </c>
      <c r="E843" t="s">
        <v>471</v>
      </c>
      <c r="F843" t="s">
        <v>472</v>
      </c>
      <c r="H843">
        <v>51.69</v>
      </c>
      <c r="I843">
        <v>0</v>
      </c>
      <c r="J843">
        <v>-3479.21</v>
      </c>
      <c r="L843" s="7"/>
    </row>
    <row r="844" spans="2:12" customFormat="1" x14ac:dyDescent="0.25">
      <c r="B844" t="s">
        <v>841</v>
      </c>
      <c r="C844" t="s">
        <v>419</v>
      </c>
      <c r="D844" t="s">
        <v>891</v>
      </c>
      <c r="E844" t="s">
        <v>420</v>
      </c>
      <c r="F844" t="s">
        <v>421</v>
      </c>
      <c r="H844">
        <v>20.239999999999998</v>
      </c>
      <c r="I844">
        <v>0</v>
      </c>
      <c r="J844">
        <v>-1234.6400000000001</v>
      </c>
      <c r="L844" s="7"/>
    </row>
    <row r="845" spans="2:12" customFormat="1" x14ac:dyDescent="0.25">
      <c r="B845" t="s">
        <v>841</v>
      </c>
      <c r="C845" t="s">
        <v>473</v>
      </c>
      <c r="D845" t="s">
        <v>891</v>
      </c>
      <c r="E845" t="s">
        <v>474</v>
      </c>
      <c r="F845" t="s">
        <v>475</v>
      </c>
      <c r="H845">
        <v>324.23</v>
      </c>
      <c r="I845">
        <v>0</v>
      </c>
      <c r="J845">
        <v>-20123.78</v>
      </c>
      <c r="L845" s="7"/>
    </row>
    <row r="846" spans="2:12" customFormat="1" x14ac:dyDescent="0.25">
      <c r="B846" t="s">
        <v>841</v>
      </c>
      <c r="C846" t="s">
        <v>479</v>
      </c>
      <c r="D846" t="s">
        <v>891</v>
      </c>
      <c r="E846" t="s">
        <v>480</v>
      </c>
      <c r="F846" t="s">
        <v>481</v>
      </c>
      <c r="H846">
        <v>241.5</v>
      </c>
      <c r="I846">
        <v>0</v>
      </c>
      <c r="J846">
        <v>-241.5</v>
      </c>
      <c r="L846" s="7"/>
    </row>
    <row r="847" spans="2:12" customFormat="1" x14ac:dyDescent="0.25">
      <c r="B847" t="s">
        <v>841</v>
      </c>
      <c r="C847" t="s">
        <v>482</v>
      </c>
      <c r="D847" t="s">
        <v>891</v>
      </c>
      <c r="E847" t="s">
        <v>483</v>
      </c>
      <c r="F847" t="s">
        <v>484</v>
      </c>
      <c r="H847">
        <v>0</v>
      </c>
      <c r="I847">
        <v>0</v>
      </c>
      <c r="J847">
        <v>45815</v>
      </c>
      <c r="L847" s="7"/>
    </row>
    <row r="848" spans="2:12" customFormat="1" x14ac:dyDescent="0.25">
      <c r="B848" t="s">
        <v>841</v>
      </c>
      <c r="C848" t="s">
        <v>40</v>
      </c>
      <c r="D848" t="s">
        <v>891</v>
      </c>
      <c r="E848" t="s">
        <v>227</v>
      </c>
      <c r="F848" t="s">
        <v>133</v>
      </c>
      <c r="H848">
        <v>694805.05</v>
      </c>
      <c r="I848">
        <v>696073.87</v>
      </c>
      <c r="J848">
        <v>-24287.59</v>
      </c>
      <c r="L848" s="7"/>
    </row>
    <row r="849" spans="2:12" customFormat="1" x14ac:dyDescent="0.25">
      <c r="B849" t="s">
        <v>841</v>
      </c>
      <c r="C849" t="s">
        <v>83</v>
      </c>
      <c r="D849" t="s">
        <v>891</v>
      </c>
      <c r="E849" t="s">
        <v>228</v>
      </c>
      <c r="F849" t="s">
        <v>134</v>
      </c>
      <c r="H849">
        <v>7560.94</v>
      </c>
      <c r="I849">
        <v>3937.83</v>
      </c>
      <c r="J849">
        <v>-5597.45</v>
      </c>
      <c r="L849" s="7"/>
    </row>
    <row r="850" spans="2:12" customFormat="1" x14ac:dyDescent="0.25">
      <c r="B850" t="s">
        <v>841</v>
      </c>
      <c r="C850" t="s">
        <v>113</v>
      </c>
      <c r="D850" t="s">
        <v>891</v>
      </c>
      <c r="E850" t="s">
        <v>229</v>
      </c>
      <c r="F850" t="s">
        <v>135</v>
      </c>
      <c r="H850">
        <v>653710.51</v>
      </c>
      <c r="I850">
        <v>572518.5</v>
      </c>
      <c r="J850">
        <v>-135409.51</v>
      </c>
      <c r="L850" s="7"/>
    </row>
    <row r="851" spans="2:12" customFormat="1" x14ac:dyDescent="0.25">
      <c r="B851" t="s">
        <v>841</v>
      </c>
      <c r="C851" t="s">
        <v>84</v>
      </c>
      <c r="D851" t="s">
        <v>891</v>
      </c>
      <c r="E851" t="s">
        <v>230</v>
      </c>
      <c r="F851" t="s">
        <v>136</v>
      </c>
      <c r="H851">
        <v>15320.47</v>
      </c>
      <c r="I851">
        <v>27043.63</v>
      </c>
      <c r="J851">
        <v>-1278.94</v>
      </c>
      <c r="L851" s="7"/>
    </row>
    <row r="852" spans="2:12" customFormat="1" x14ac:dyDescent="0.25">
      <c r="B852" t="s">
        <v>841</v>
      </c>
      <c r="C852" t="s">
        <v>310</v>
      </c>
      <c r="D852" t="s">
        <v>891</v>
      </c>
      <c r="E852" t="s">
        <v>311</v>
      </c>
      <c r="F852" t="s">
        <v>312</v>
      </c>
      <c r="H852">
        <v>59487.44</v>
      </c>
      <c r="I852">
        <v>59487.44</v>
      </c>
      <c r="J852">
        <v>0</v>
      </c>
      <c r="L852" s="7"/>
    </row>
    <row r="853" spans="2:12" customFormat="1" x14ac:dyDescent="0.25">
      <c r="B853" t="s">
        <v>841</v>
      </c>
      <c r="C853" t="s">
        <v>316</v>
      </c>
      <c r="D853" t="s">
        <v>891</v>
      </c>
      <c r="E853" t="s">
        <v>317</v>
      </c>
      <c r="F853" t="s">
        <v>318</v>
      </c>
      <c r="H853">
        <v>3067.54</v>
      </c>
      <c r="I853">
        <v>120.51</v>
      </c>
      <c r="J853">
        <v>-27399.32</v>
      </c>
      <c r="L853" s="7"/>
    </row>
    <row r="854" spans="2:12" customFormat="1" x14ac:dyDescent="0.25">
      <c r="B854" t="s">
        <v>841</v>
      </c>
      <c r="C854" t="s">
        <v>319</v>
      </c>
      <c r="D854" t="s">
        <v>891</v>
      </c>
      <c r="E854" t="s">
        <v>320</v>
      </c>
      <c r="F854" t="s">
        <v>321</v>
      </c>
      <c r="H854">
        <v>2168.2600000000002</v>
      </c>
      <c r="I854">
        <v>0</v>
      </c>
      <c r="J854">
        <v>-11736.02</v>
      </c>
      <c r="L854" s="7"/>
    </row>
    <row r="855" spans="2:12" customFormat="1" x14ac:dyDescent="0.25">
      <c r="B855" t="s">
        <v>841</v>
      </c>
      <c r="C855" t="s">
        <v>322</v>
      </c>
      <c r="D855" t="s">
        <v>891</v>
      </c>
      <c r="E855" t="s">
        <v>323</v>
      </c>
      <c r="F855" t="s">
        <v>324</v>
      </c>
      <c r="H855">
        <v>16739.12</v>
      </c>
      <c r="I855">
        <v>16211.5</v>
      </c>
      <c r="J855">
        <v>-9393.58</v>
      </c>
      <c r="L855" s="7"/>
    </row>
    <row r="856" spans="2:12" customFormat="1" x14ac:dyDescent="0.25">
      <c r="B856" t="s">
        <v>841</v>
      </c>
      <c r="C856" t="s">
        <v>325</v>
      </c>
      <c r="D856" t="s">
        <v>891</v>
      </c>
      <c r="E856" t="s">
        <v>326</v>
      </c>
      <c r="F856" t="s">
        <v>327</v>
      </c>
      <c r="H856">
        <v>4304.2</v>
      </c>
      <c r="I856">
        <v>4193.4399999999996</v>
      </c>
      <c r="J856">
        <v>-2207.48</v>
      </c>
      <c r="L856" s="7"/>
    </row>
    <row r="857" spans="2:12" customFormat="1" x14ac:dyDescent="0.25">
      <c r="B857" t="s">
        <v>841</v>
      </c>
      <c r="C857" t="s">
        <v>328</v>
      </c>
      <c r="D857" t="s">
        <v>891</v>
      </c>
      <c r="E857" t="s">
        <v>329</v>
      </c>
      <c r="F857" t="s">
        <v>171</v>
      </c>
      <c r="H857">
        <v>837.46</v>
      </c>
      <c r="I857">
        <v>32.909999999999997</v>
      </c>
      <c r="J857">
        <v>-7480.01</v>
      </c>
      <c r="L857" s="7"/>
    </row>
    <row r="858" spans="2:12" customFormat="1" x14ac:dyDescent="0.25">
      <c r="B858" t="s">
        <v>841</v>
      </c>
      <c r="C858" t="s">
        <v>330</v>
      </c>
      <c r="D858" t="s">
        <v>891</v>
      </c>
      <c r="E858" t="s">
        <v>331</v>
      </c>
      <c r="F858" t="s">
        <v>332</v>
      </c>
      <c r="H858">
        <v>591.92999999999995</v>
      </c>
      <c r="I858">
        <v>0.01</v>
      </c>
      <c r="J858">
        <v>-3203.91</v>
      </c>
      <c r="L858" s="7"/>
    </row>
    <row r="859" spans="2:12" customFormat="1" x14ac:dyDescent="0.25">
      <c r="B859" t="s">
        <v>841</v>
      </c>
      <c r="C859" t="s">
        <v>333</v>
      </c>
      <c r="D859" t="s">
        <v>891</v>
      </c>
      <c r="E859" t="s">
        <v>334</v>
      </c>
      <c r="F859" t="s">
        <v>172</v>
      </c>
      <c r="H859">
        <v>245.41</v>
      </c>
      <c r="I859">
        <v>9.64</v>
      </c>
      <c r="J859">
        <v>-2191.9499999999998</v>
      </c>
      <c r="L859" s="7"/>
    </row>
    <row r="860" spans="2:12" customFormat="1" x14ac:dyDescent="0.25">
      <c r="B860" t="s">
        <v>841</v>
      </c>
      <c r="C860" t="s">
        <v>335</v>
      </c>
      <c r="D860" t="s">
        <v>891</v>
      </c>
      <c r="E860" t="s">
        <v>336</v>
      </c>
      <c r="F860" t="s">
        <v>337</v>
      </c>
      <c r="H860">
        <v>173.47</v>
      </c>
      <c r="I860">
        <v>0</v>
      </c>
      <c r="J860">
        <v>-938.87</v>
      </c>
      <c r="L860" s="7"/>
    </row>
    <row r="861" spans="2:12" customFormat="1" x14ac:dyDescent="0.25">
      <c r="B861" t="s">
        <v>841</v>
      </c>
      <c r="C861" t="s">
        <v>41</v>
      </c>
      <c r="D861" t="s">
        <v>891</v>
      </c>
      <c r="E861" t="s">
        <v>231</v>
      </c>
      <c r="F861" t="s">
        <v>137</v>
      </c>
      <c r="H861">
        <v>1004.97</v>
      </c>
      <c r="I861">
        <v>862.72</v>
      </c>
      <c r="J861">
        <v>-620.17999999999995</v>
      </c>
      <c r="L861" s="7"/>
    </row>
    <row r="862" spans="2:12" customFormat="1" x14ac:dyDescent="0.25">
      <c r="B862" t="s">
        <v>841</v>
      </c>
      <c r="C862" t="s">
        <v>42</v>
      </c>
      <c r="D862" t="s">
        <v>891</v>
      </c>
      <c r="E862" t="s">
        <v>232</v>
      </c>
      <c r="F862" t="s">
        <v>138</v>
      </c>
      <c r="H862">
        <v>150.41999999999999</v>
      </c>
      <c r="I862">
        <v>150.41999999999999</v>
      </c>
      <c r="J862">
        <v>0</v>
      </c>
      <c r="L862" s="7"/>
    </row>
    <row r="863" spans="2:12" customFormat="1" x14ac:dyDescent="0.25">
      <c r="B863" t="s">
        <v>841</v>
      </c>
      <c r="C863" t="s">
        <v>43</v>
      </c>
      <c r="D863" t="s">
        <v>891</v>
      </c>
      <c r="E863" t="s">
        <v>233</v>
      </c>
      <c r="F863" t="s">
        <v>139</v>
      </c>
      <c r="H863">
        <v>692.83</v>
      </c>
      <c r="I863">
        <v>692.83</v>
      </c>
      <c r="J863">
        <v>0</v>
      </c>
      <c r="L863" s="7"/>
    </row>
    <row r="864" spans="2:12" customFormat="1" x14ac:dyDescent="0.25">
      <c r="B864" t="s">
        <v>841</v>
      </c>
      <c r="C864" t="s">
        <v>365</v>
      </c>
      <c r="D864" t="s">
        <v>891</v>
      </c>
      <c r="E864" t="s">
        <v>366</v>
      </c>
      <c r="F864" t="s">
        <v>367</v>
      </c>
      <c r="H864">
        <v>2433.1999999999998</v>
      </c>
      <c r="I864">
        <v>0</v>
      </c>
      <c r="J864">
        <v>-2433.1999999999998</v>
      </c>
      <c r="L864" s="7"/>
    </row>
    <row r="865" spans="2:13" customFormat="1" x14ac:dyDescent="0.25">
      <c r="B865" t="s">
        <v>841</v>
      </c>
      <c r="C865" t="s">
        <v>368</v>
      </c>
      <c r="D865" t="s">
        <v>891</v>
      </c>
      <c r="E865" t="s">
        <v>369</v>
      </c>
      <c r="F865" t="s">
        <v>370</v>
      </c>
      <c r="H865">
        <v>1459.92</v>
      </c>
      <c r="I865">
        <v>0</v>
      </c>
      <c r="J865">
        <v>-1459.92</v>
      </c>
      <c r="L865" s="7"/>
    </row>
    <row r="866" spans="2:13" customFormat="1" x14ac:dyDescent="0.25">
      <c r="B866" t="s">
        <v>841</v>
      </c>
      <c r="C866" t="s">
        <v>491</v>
      </c>
      <c r="D866" t="s">
        <v>891</v>
      </c>
      <c r="E866" t="s">
        <v>492</v>
      </c>
      <c r="F866" t="s">
        <v>493</v>
      </c>
      <c r="H866">
        <v>0</v>
      </c>
      <c r="I866">
        <v>52</v>
      </c>
      <c r="J866">
        <v>-1.57</v>
      </c>
      <c r="L866" s="7"/>
    </row>
    <row r="867" spans="2:13" customFormat="1" x14ac:dyDescent="0.25">
      <c r="B867" t="s">
        <v>841</v>
      </c>
      <c r="C867" t="s">
        <v>79</v>
      </c>
      <c r="D867" t="s">
        <v>891</v>
      </c>
      <c r="E867" t="s">
        <v>234</v>
      </c>
      <c r="F867" t="s">
        <v>140</v>
      </c>
      <c r="H867">
        <v>0</v>
      </c>
      <c r="I867">
        <v>0</v>
      </c>
      <c r="J867">
        <v>-253.99</v>
      </c>
      <c r="L867" s="7"/>
    </row>
    <row r="868" spans="2:13" customFormat="1" x14ac:dyDescent="0.25">
      <c r="B868" t="s">
        <v>841</v>
      </c>
      <c r="C868" t="s">
        <v>44</v>
      </c>
      <c r="D868" t="s">
        <v>891</v>
      </c>
      <c r="E868" t="s">
        <v>235</v>
      </c>
      <c r="F868" t="s">
        <v>141</v>
      </c>
      <c r="H868">
        <v>55.73</v>
      </c>
      <c r="I868">
        <v>6.56</v>
      </c>
      <c r="J868">
        <v>-55.74</v>
      </c>
      <c r="L868" s="7"/>
    </row>
    <row r="869" spans="2:13" customFormat="1" x14ac:dyDescent="0.25">
      <c r="B869" t="s">
        <v>841</v>
      </c>
      <c r="C869" t="s">
        <v>45</v>
      </c>
      <c r="D869" t="s">
        <v>891</v>
      </c>
      <c r="E869" t="s">
        <v>236</v>
      </c>
      <c r="F869" t="s">
        <v>142</v>
      </c>
      <c r="H869">
        <v>183.46</v>
      </c>
      <c r="I869">
        <v>30.49</v>
      </c>
      <c r="J869">
        <v>-773.12</v>
      </c>
      <c r="L869" s="7"/>
    </row>
    <row r="870" spans="2:13" customFormat="1" x14ac:dyDescent="0.25">
      <c r="B870" t="s">
        <v>841</v>
      </c>
      <c r="C870" t="s">
        <v>338</v>
      </c>
      <c r="D870" t="s">
        <v>891</v>
      </c>
      <c r="E870" t="s">
        <v>339</v>
      </c>
      <c r="F870" t="s">
        <v>340</v>
      </c>
      <c r="H870">
        <v>291.51</v>
      </c>
      <c r="I870">
        <v>302.18</v>
      </c>
      <c r="J870">
        <v>-291.51</v>
      </c>
      <c r="L870" s="7"/>
    </row>
    <row r="871" spans="2:13" customFormat="1" x14ac:dyDescent="0.25">
      <c r="B871" t="s">
        <v>841</v>
      </c>
      <c r="C871" t="s">
        <v>341</v>
      </c>
      <c r="D871" t="s">
        <v>891</v>
      </c>
      <c r="E871" t="s">
        <v>342</v>
      </c>
      <c r="F871" t="s">
        <v>343</v>
      </c>
      <c r="H871">
        <v>0</v>
      </c>
      <c r="I871">
        <v>0</v>
      </c>
      <c r="J871">
        <v>-60</v>
      </c>
      <c r="L871" s="7"/>
    </row>
    <row r="872" spans="2:13" customFormat="1" x14ac:dyDescent="0.25">
      <c r="B872" t="s">
        <v>841</v>
      </c>
      <c r="C872" t="s">
        <v>842</v>
      </c>
      <c r="D872" t="s">
        <v>891</v>
      </c>
      <c r="E872" t="s">
        <v>843</v>
      </c>
      <c r="F872" t="s">
        <v>844</v>
      </c>
      <c r="H872">
        <v>0</v>
      </c>
      <c r="I872">
        <v>0</v>
      </c>
      <c r="J872">
        <v>137.13</v>
      </c>
      <c r="L872" s="7"/>
    </row>
    <row r="873" spans="2:13" customFormat="1" x14ac:dyDescent="0.25">
      <c r="B873" t="s">
        <v>841</v>
      </c>
      <c r="C873" t="s">
        <v>494</v>
      </c>
      <c r="D873" t="s">
        <v>891</v>
      </c>
      <c r="E873" t="s">
        <v>495</v>
      </c>
      <c r="F873" t="s">
        <v>496</v>
      </c>
      <c r="H873">
        <v>0</v>
      </c>
      <c r="I873">
        <v>0</v>
      </c>
      <c r="J873">
        <v>-3984.11</v>
      </c>
      <c r="L873" s="7"/>
    </row>
    <row r="874" spans="2:13" customFormat="1" x14ac:dyDescent="0.25">
      <c r="B874" t="s">
        <v>841</v>
      </c>
      <c r="C874" t="s">
        <v>46</v>
      </c>
      <c r="D874" t="s">
        <v>891</v>
      </c>
      <c r="E874" t="s">
        <v>237</v>
      </c>
      <c r="F874" t="s">
        <v>143</v>
      </c>
      <c r="H874">
        <v>0</v>
      </c>
      <c r="I874">
        <v>0</v>
      </c>
      <c r="J874">
        <v>-1200000</v>
      </c>
      <c r="L874" s="7"/>
    </row>
    <row r="875" spans="2:13" customFormat="1" x14ac:dyDescent="0.25">
      <c r="B875" t="s">
        <v>841</v>
      </c>
      <c r="C875" t="s">
        <v>47</v>
      </c>
      <c r="D875" t="s">
        <v>891</v>
      </c>
      <c r="E875" t="s">
        <v>238</v>
      </c>
      <c r="F875" t="s">
        <v>144</v>
      </c>
      <c r="H875">
        <v>6000</v>
      </c>
      <c r="I875">
        <v>0</v>
      </c>
      <c r="J875">
        <v>-191000</v>
      </c>
      <c r="L875" s="7"/>
    </row>
    <row r="876" spans="2:13" customFormat="1" x14ac:dyDescent="0.25">
      <c r="B876" t="s">
        <v>841</v>
      </c>
      <c r="C876" t="s">
        <v>80</v>
      </c>
      <c r="D876" t="s">
        <v>891</v>
      </c>
      <c r="E876" t="s">
        <v>239</v>
      </c>
      <c r="F876" t="s">
        <v>145</v>
      </c>
      <c r="H876">
        <v>0</v>
      </c>
      <c r="I876">
        <v>0</v>
      </c>
      <c r="J876">
        <v>-434196.78</v>
      </c>
      <c r="L876" s="7"/>
    </row>
    <row r="877" spans="2:13" customFormat="1" x14ac:dyDescent="0.25">
      <c r="B877" t="s">
        <v>841</v>
      </c>
      <c r="C877" t="s">
        <v>588</v>
      </c>
      <c r="D877" t="s">
        <v>891</v>
      </c>
      <c r="E877" t="s">
        <v>589</v>
      </c>
      <c r="F877" t="s">
        <v>590</v>
      </c>
      <c r="H877">
        <v>0</v>
      </c>
      <c r="I877">
        <v>0</v>
      </c>
      <c r="J877">
        <v>-72153.039999999994</v>
      </c>
      <c r="L877" s="7"/>
    </row>
    <row r="878" spans="2:13" customFormat="1" x14ac:dyDescent="0.25">
      <c r="B878" t="s">
        <v>841</v>
      </c>
      <c r="C878" t="s">
        <v>85</v>
      </c>
      <c r="D878" t="s">
        <v>891</v>
      </c>
      <c r="E878" t="s">
        <v>240</v>
      </c>
      <c r="F878" t="s">
        <v>146</v>
      </c>
      <c r="H878">
        <v>0</v>
      </c>
      <c r="I878">
        <v>0</v>
      </c>
      <c r="J878">
        <v>985058.42</v>
      </c>
      <c r="L878" s="7"/>
    </row>
    <row r="879" spans="2:13" customFormat="1" x14ac:dyDescent="0.25">
      <c r="B879" t="s">
        <v>841</v>
      </c>
      <c r="C879" t="s">
        <v>371</v>
      </c>
      <c r="D879" t="s">
        <v>891</v>
      </c>
      <c r="E879" t="s">
        <v>372</v>
      </c>
      <c r="F879" t="s">
        <v>373</v>
      </c>
      <c r="H879">
        <v>784036.79</v>
      </c>
      <c r="I879">
        <v>0</v>
      </c>
      <c r="J879">
        <v>-5218800.6900000004</v>
      </c>
      <c r="L879" s="7"/>
    </row>
    <row r="880" spans="2:13" customFormat="1" x14ac:dyDescent="0.25">
      <c r="B880" t="s">
        <v>841</v>
      </c>
      <c r="C880" t="s">
        <v>374</v>
      </c>
      <c r="D880" t="s">
        <v>891</v>
      </c>
      <c r="E880" t="s">
        <v>375</v>
      </c>
      <c r="F880" t="s">
        <v>376</v>
      </c>
      <c r="H880">
        <v>20246.16</v>
      </c>
      <c r="I880">
        <v>374</v>
      </c>
      <c r="J880">
        <v>-121136.4</v>
      </c>
      <c r="M880" s="7"/>
    </row>
    <row r="881" spans="2:13" customFormat="1" x14ac:dyDescent="0.25">
      <c r="B881" t="s">
        <v>841</v>
      </c>
      <c r="C881" t="s">
        <v>48</v>
      </c>
      <c r="D881" t="s">
        <v>891</v>
      </c>
      <c r="E881" t="s">
        <v>241</v>
      </c>
      <c r="F881" t="s">
        <v>147</v>
      </c>
      <c r="H881">
        <v>4603.18</v>
      </c>
      <c r="I881">
        <v>0</v>
      </c>
      <c r="J881">
        <v>-25512.32</v>
      </c>
      <c r="M881" s="7"/>
    </row>
    <row r="882" spans="2:13" customFormat="1" x14ac:dyDescent="0.25">
      <c r="B882" t="s">
        <v>841</v>
      </c>
      <c r="C882" t="s">
        <v>86</v>
      </c>
      <c r="D882" t="s">
        <v>891</v>
      </c>
      <c r="E882" t="s">
        <v>242</v>
      </c>
      <c r="F882" t="s">
        <v>148</v>
      </c>
      <c r="H882">
        <v>20296.060000000001</v>
      </c>
      <c r="I882">
        <v>0</v>
      </c>
      <c r="J882">
        <v>-131882.23999999999</v>
      </c>
      <c r="M882" s="7"/>
    </row>
    <row r="883" spans="2:13" customFormat="1" x14ac:dyDescent="0.25">
      <c r="B883" t="s">
        <v>841</v>
      </c>
      <c r="C883" t="s">
        <v>49</v>
      </c>
      <c r="D883" t="s">
        <v>891</v>
      </c>
      <c r="E883" t="s">
        <v>243</v>
      </c>
      <c r="F883" t="s">
        <v>149</v>
      </c>
      <c r="H883">
        <v>0</v>
      </c>
      <c r="I883">
        <v>1004.97</v>
      </c>
      <c r="J883">
        <v>7205.86</v>
      </c>
      <c r="M883" s="7"/>
    </row>
    <row r="884" spans="2:13" customFormat="1" x14ac:dyDescent="0.25">
      <c r="B884" t="s">
        <v>841</v>
      </c>
      <c r="C884" t="s">
        <v>50</v>
      </c>
      <c r="D884" t="s">
        <v>891</v>
      </c>
      <c r="E884" t="s">
        <v>244</v>
      </c>
      <c r="F884" t="s">
        <v>150</v>
      </c>
      <c r="H884">
        <v>0</v>
      </c>
      <c r="I884">
        <v>150.41999999999999</v>
      </c>
      <c r="J884">
        <v>924.97</v>
      </c>
      <c r="M884" s="7"/>
    </row>
    <row r="885" spans="2:13" customFormat="1" x14ac:dyDescent="0.25">
      <c r="B885" t="s">
        <v>841</v>
      </c>
      <c r="C885" t="s">
        <v>51</v>
      </c>
      <c r="D885" t="s">
        <v>891</v>
      </c>
      <c r="E885" t="s">
        <v>245</v>
      </c>
      <c r="F885" t="s">
        <v>151</v>
      </c>
      <c r="H885">
        <v>0</v>
      </c>
      <c r="I885">
        <v>692.83</v>
      </c>
      <c r="J885">
        <v>4260.62</v>
      </c>
      <c r="M885" s="7"/>
    </row>
    <row r="886" spans="2:13" customFormat="1" x14ac:dyDescent="0.25">
      <c r="B886" t="s">
        <v>841</v>
      </c>
      <c r="C886" t="s">
        <v>87</v>
      </c>
      <c r="D886" t="s">
        <v>891</v>
      </c>
      <c r="E886" t="s">
        <v>246</v>
      </c>
      <c r="F886" t="s">
        <v>152</v>
      </c>
      <c r="H886">
        <v>188.82</v>
      </c>
      <c r="I886">
        <v>0</v>
      </c>
      <c r="J886">
        <v>-583.20000000000005</v>
      </c>
      <c r="M886" s="7"/>
    </row>
    <row r="887" spans="2:13" customFormat="1" x14ac:dyDescent="0.25">
      <c r="B887" t="s">
        <v>841</v>
      </c>
      <c r="C887" t="s">
        <v>88</v>
      </c>
      <c r="D887" t="s">
        <v>891</v>
      </c>
      <c r="E887" t="s">
        <v>248</v>
      </c>
      <c r="F887" t="s">
        <v>154</v>
      </c>
      <c r="H887">
        <v>101.04</v>
      </c>
      <c r="I887">
        <v>0</v>
      </c>
      <c r="J887">
        <v>-1384.31</v>
      </c>
      <c r="M887" s="7"/>
    </row>
    <row r="888" spans="2:13" customFormat="1" x14ac:dyDescent="0.25">
      <c r="B888" t="s">
        <v>841</v>
      </c>
      <c r="C888" t="s">
        <v>377</v>
      </c>
      <c r="D888" t="s">
        <v>891</v>
      </c>
      <c r="E888" t="s">
        <v>378</v>
      </c>
      <c r="F888" t="s">
        <v>379</v>
      </c>
      <c r="H888">
        <v>12000</v>
      </c>
      <c r="I888">
        <v>711607.7</v>
      </c>
      <c r="J888">
        <v>4703230.57</v>
      </c>
      <c r="M888" s="7"/>
    </row>
    <row r="889" spans="2:13" customFormat="1" x14ac:dyDescent="0.25">
      <c r="B889" t="s">
        <v>841</v>
      </c>
      <c r="C889" t="s">
        <v>53</v>
      </c>
      <c r="D889" t="s">
        <v>891</v>
      </c>
      <c r="E889" t="s">
        <v>249</v>
      </c>
      <c r="F889" t="s">
        <v>155</v>
      </c>
      <c r="H889">
        <v>964.23</v>
      </c>
      <c r="I889">
        <v>14917.82</v>
      </c>
      <c r="J889">
        <v>93388.75</v>
      </c>
      <c r="M889" s="7"/>
    </row>
    <row r="890" spans="2:13" customFormat="1" x14ac:dyDescent="0.25">
      <c r="B890" t="s">
        <v>841</v>
      </c>
      <c r="C890" t="s">
        <v>54</v>
      </c>
      <c r="D890" t="s">
        <v>891</v>
      </c>
      <c r="E890" t="s">
        <v>250</v>
      </c>
      <c r="F890" t="s">
        <v>156</v>
      </c>
      <c r="H890">
        <v>0</v>
      </c>
      <c r="I890">
        <v>2664.76</v>
      </c>
      <c r="J890">
        <v>11950.35</v>
      </c>
      <c r="M890" s="7"/>
    </row>
    <row r="891" spans="2:13" customFormat="1" x14ac:dyDescent="0.25">
      <c r="B891" t="s">
        <v>841</v>
      </c>
      <c r="C891" t="s">
        <v>651</v>
      </c>
      <c r="D891" t="s">
        <v>891</v>
      </c>
      <c r="E891" t="s">
        <v>652</v>
      </c>
      <c r="F891" t="s">
        <v>653</v>
      </c>
      <c r="H891">
        <v>0</v>
      </c>
      <c r="I891">
        <v>0</v>
      </c>
      <c r="J891">
        <v>-511.73</v>
      </c>
      <c r="M891" s="7"/>
    </row>
    <row r="892" spans="2:13" customFormat="1" x14ac:dyDescent="0.25">
      <c r="B892" t="s">
        <v>841</v>
      </c>
      <c r="C892" t="s">
        <v>89</v>
      </c>
      <c r="D892" t="s">
        <v>891</v>
      </c>
      <c r="E892" t="s">
        <v>251</v>
      </c>
      <c r="F892" t="s">
        <v>157</v>
      </c>
      <c r="H892">
        <v>0</v>
      </c>
      <c r="I892">
        <v>0</v>
      </c>
      <c r="J892">
        <v>6945</v>
      </c>
      <c r="M892" s="7"/>
    </row>
    <row r="893" spans="2:13" customFormat="1" x14ac:dyDescent="0.25">
      <c r="B893" t="s">
        <v>841</v>
      </c>
      <c r="C893" t="s">
        <v>55</v>
      </c>
      <c r="D893" t="s">
        <v>891</v>
      </c>
      <c r="E893" t="s">
        <v>252</v>
      </c>
      <c r="F893" t="s">
        <v>158</v>
      </c>
      <c r="H893">
        <v>0</v>
      </c>
      <c r="I893">
        <v>24410.99</v>
      </c>
      <c r="J893">
        <v>161231.45000000001</v>
      </c>
      <c r="M893" s="7"/>
    </row>
    <row r="894" spans="2:13" customFormat="1" x14ac:dyDescent="0.25">
      <c r="B894" t="s">
        <v>841</v>
      </c>
      <c r="C894" t="s">
        <v>56</v>
      </c>
      <c r="D894" t="s">
        <v>891</v>
      </c>
      <c r="E894" t="s">
        <v>253</v>
      </c>
      <c r="F894" t="s">
        <v>159</v>
      </c>
      <c r="H894">
        <v>0</v>
      </c>
      <c r="I894">
        <v>7073.25</v>
      </c>
      <c r="J894">
        <v>52034.42</v>
      </c>
      <c r="M894" s="7"/>
    </row>
    <row r="895" spans="2:13" customFormat="1" x14ac:dyDescent="0.25">
      <c r="B895" t="s">
        <v>841</v>
      </c>
      <c r="C895" t="s">
        <v>57</v>
      </c>
      <c r="D895" t="s">
        <v>891</v>
      </c>
      <c r="E895" t="s">
        <v>254</v>
      </c>
      <c r="F895" t="s">
        <v>160</v>
      </c>
      <c r="H895">
        <v>0</v>
      </c>
      <c r="I895">
        <v>2207.48</v>
      </c>
      <c r="J895">
        <v>13116.58</v>
      </c>
      <c r="M895" s="7"/>
    </row>
    <row r="896" spans="2:13" customFormat="1" x14ac:dyDescent="0.25">
      <c r="B896" t="s">
        <v>841</v>
      </c>
      <c r="C896" t="s">
        <v>58</v>
      </c>
      <c r="D896" t="s">
        <v>891</v>
      </c>
      <c r="E896" t="s">
        <v>255</v>
      </c>
      <c r="F896" t="s">
        <v>161</v>
      </c>
      <c r="H896">
        <v>120.51</v>
      </c>
      <c r="I896">
        <v>3067.54</v>
      </c>
      <c r="J896">
        <v>46195.78</v>
      </c>
      <c r="M896" s="7"/>
    </row>
    <row r="897" spans="2:13" customFormat="1" x14ac:dyDescent="0.25">
      <c r="B897" t="s">
        <v>841</v>
      </c>
      <c r="C897" t="s">
        <v>59</v>
      </c>
      <c r="D897" t="s">
        <v>891</v>
      </c>
      <c r="E897" t="s">
        <v>256</v>
      </c>
      <c r="F897" t="s">
        <v>162</v>
      </c>
      <c r="H897">
        <v>0</v>
      </c>
      <c r="I897">
        <v>2168.2600000000002</v>
      </c>
      <c r="J897">
        <v>14819.9</v>
      </c>
      <c r="M897" s="7"/>
    </row>
    <row r="898" spans="2:13" customFormat="1" x14ac:dyDescent="0.25">
      <c r="B898" t="s">
        <v>841</v>
      </c>
      <c r="C898" t="s">
        <v>90</v>
      </c>
      <c r="D898" t="s">
        <v>891</v>
      </c>
      <c r="E898" t="s">
        <v>257</v>
      </c>
      <c r="F898" t="s">
        <v>163</v>
      </c>
      <c r="H898">
        <v>0</v>
      </c>
      <c r="I898">
        <v>0</v>
      </c>
      <c r="J898">
        <v>14028.28</v>
      </c>
      <c r="M898" s="7"/>
    </row>
    <row r="899" spans="2:13" customFormat="1" x14ac:dyDescent="0.25">
      <c r="B899" t="s">
        <v>841</v>
      </c>
      <c r="C899" t="s">
        <v>60</v>
      </c>
      <c r="D899" t="s">
        <v>891</v>
      </c>
      <c r="E899" t="s">
        <v>258</v>
      </c>
      <c r="F899" t="s">
        <v>164</v>
      </c>
      <c r="H899">
        <v>0</v>
      </c>
      <c r="I899">
        <v>802.89</v>
      </c>
      <c r="J899">
        <v>15359.36</v>
      </c>
      <c r="M899" s="7"/>
    </row>
    <row r="900" spans="2:13" customFormat="1" x14ac:dyDescent="0.25">
      <c r="B900" t="s">
        <v>841</v>
      </c>
      <c r="C900" t="s">
        <v>61</v>
      </c>
      <c r="D900" t="s">
        <v>891</v>
      </c>
      <c r="E900" t="s">
        <v>259</v>
      </c>
      <c r="F900" t="s">
        <v>165</v>
      </c>
      <c r="H900">
        <v>0</v>
      </c>
      <c r="I900">
        <v>0</v>
      </c>
      <c r="J900">
        <v>11466.89</v>
      </c>
      <c r="M900" s="7"/>
    </row>
    <row r="901" spans="2:13" customFormat="1" x14ac:dyDescent="0.25">
      <c r="B901" t="s">
        <v>841</v>
      </c>
      <c r="C901" t="s">
        <v>344</v>
      </c>
      <c r="D901" t="s">
        <v>891</v>
      </c>
      <c r="E901" t="s">
        <v>345</v>
      </c>
      <c r="F901" t="s">
        <v>346</v>
      </c>
      <c r="H901">
        <v>60.79</v>
      </c>
      <c r="I901">
        <v>1498.22</v>
      </c>
      <c r="J901">
        <v>6181.88</v>
      </c>
      <c r="M901" s="7"/>
    </row>
    <row r="902" spans="2:13" customFormat="1" x14ac:dyDescent="0.25">
      <c r="B902" t="s">
        <v>841</v>
      </c>
      <c r="C902" t="s">
        <v>62</v>
      </c>
      <c r="D902" t="s">
        <v>891</v>
      </c>
      <c r="E902" t="s">
        <v>260</v>
      </c>
      <c r="F902" t="s">
        <v>166</v>
      </c>
      <c r="H902">
        <v>831.63</v>
      </c>
      <c r="I902">
        <v>883.32</v>
      </c>
      <c r="J902">
        <v>4263.13</v>
      </c>
      <c r="M902" s="7"/>
    </row>
    <row r="903" spans="2:13" customFormat="1" x14ac:dyDescent="0.25">
      <c r="B903" t="s">
        <v>841</v>
      </c>
      <c r="C903" t="s">
        <v>207</v>
      </c>
      <c r="D903" t="s">
        <v>891</v>
      </c>
      <c r="E903" t="s">
        <v>299</v>
      </c>
      <c r="F903" t="s">
        <v>208</v>
      </c>
      <c r="H903">
        <v>160</v>
      </c>
      <c r="I903">
        <v>1599.2</v>
      </c>
      <c r="J903">
        <v>5356.01</v>
      </c>
      <c r="M903" s="7"/>
    </row>
    <row r="904" spans="2:13" customFormat="1" x14ac:dyDescent="0.25">
      <c r="B904" t="s">
        <v>841</v>
      </c>
      <c r="C904" t="s">
        <v>63</v>
      </c>
      <c r="D904" t="s">
        <v>891</v>
      </c>
      <c r="E904" t="s">
        <v>261</v>
      </c>
      <c r="F904" t="s">
        <v>167</v>
      </c>
      <c r="H904">
        <v>515.62</v>
      </c>
      <c r="I904">
        <v>1250.31</v>
      </c>
      <c r="J904">
        <v>1029.06</v>
      </c>
      <c r="M904" s="7"/>
    </row>
    <row r="905" spans="2:13" customFormat="1" x14ac:dyDescent="0.25">
      <c r="B905" t="s">
        <v>841</v>
      </c>
      <c r="C905" t="s">
        <v>380</v>
      </c>
      <c r="D905" t="s">
        <v>891</v>
      </c>
      <c r="E905" t="s">
        <v>381</v>
      </c>
      <c r="F905" t="s">
        <v>382</v>
      </c>
      <c r="H905">
        <v>228.48</v>
      </c>
      <c r="I905">
        <v>149</v>
      </c>
      <c r="J905">
        <v>453.72</v>
      </c>
      <c r="M905" s="7"/>
    </row>
    <row r="906" spans="2:13" customFormat="1" x14ac:dyDescent="0.25">
      <c r="B906" t="s">
        <v>841</v>
      </c>
      <c r="C906" t="s">
        <v>91</v>
      </c>
      <c r="D906" t="s">
        <v>891</v>
      </c>
      <c r="E906" t="s">
        <v>262</v>
      </c>
      <c r="F906" t="s">
        <v>168</v>
      </c>
      <c r="H906">
        <v>0</v>
      </c>
      <c r="I906">
        <v>1335.8</v>
      </c>
      <c r="J906">
        <v>7204.1</v>
      </c>
      <c r="M906" s="7"/>
    </row>
    <row r="907" spans="2:13" customFormat="1" x14ac:dyDescent="0.25">
      <c r="B907" t="s">
        <v>841</v>
      </c>
      <c r="C907" t="s">
        <v>383</v>
      </c>
      <c r="D907" t="s">
        <v>891</v>
      </c>
      <c r="E907" t="s">
        <v>384</v>
      </c>
      <c r="F907" t="s">
        <v>385</v>
      </c>
      <c r="H907">
        <v>0</v>
      </c>
      <c r="I907">
        <v>0</v>
      </c>
      <c r="J907">
        <v>1070.1600000000001</v>
      </c>
      <c r="M907" s="7"/>
    </row>
    <row r="908" spans="2:13" customFormat="1" x14ac:dyDescent="0.25">
      <c r="B908" t="s">
        <v>841</v>
      </c>
      <c r="C908" t="s">
        <v>386</v>
      </c>
      <c r="D908" t="s">
        <v>891</v>
      </c>
      <c r="E908" t="s">
        <v>387</v>
      </c>
      <c r="F908" t="s">
        <v>388</v>
      </c>
      <c r="H908">
        <v>0</v>
      </c>
      <c r="I908">
        <v>1533.54</v>
      </c>
      <c r="J908">
        <v>11183.96</v>
      </c>
      <c r="M908" s="7"/>
    </row>
    <row r="909" spans="2:13" customFormat="1" x14ac:dyDescent="0.25">
      <c r="B909" t="s">
        <v>841</v>
      </c>
      <c r="C909" t="s">
        <v>92</v>
      </c>
      <c r="D909" t="s">
        <v>891</v>
      </c>
      <c r="E909" t="s">
        <v>263</v>
      </c>
      <c r="F909" t="s">
        <v>169</v>
      </c>
      <c r="H909">
        <v>32.9</v>
      </c>
      <c r="I909">
        <v>0</v>
      </c>
      <c r="J909">
        <v>-573.54</v>
      </c>
      <c r="M909" s="7"/>
    </row>
    <row r="910" spans="2:13" customFormat="1" x14ac:dyDescent="0.25">
      <c r="B910" t="s">
        <v>841</v>
      </c>
      <c r="C910" t="s">
        <v>93</v>
      </c>
      <c r="D910" t="s">
        <v>891</v>
      </c>
      <c r="E910" t="s">
        <v>264</v>
      </c>
      <c r="F910" t="s">
        <v>170</v>
      </c>
      <c r="H910">
        <v>0</v>
      </c>
      <c r="I910">
        <v>1309</v>
      </c>
      <c r="J910">
        <v>1604</v>
      </c>
      <c r="M910" s="7"/>
    </row>
    <row r="911" spans="2:13" customFormat="1" x14ac:dyDescent="0.25">
      <c r="B911" t="s">
        <v>841</v>
      </c>
      <c r="C911" t="s">
        <v>350</v>
      </c>
      <c r="D911" t="s">
        <v>891</v>
      </c>
      <c r="E911" t="s">
        <v>351</v>
      </c>
      <c r="F911" t="s">
        <v>352</v>
      </c>
      <c r="H911">
        <v>0</v>
      </c>
      <c r="I911">
        <v>0</v>
      </c>
      <c r="J911">
        <v>-26948.93</v>
      </c>
      <c r="M911" s="7"/>
    </row>
    <row r="912" spans="2:13" customFormat="1" x14ac:dyDescent="0.25">
      <c r="B912" t="s">
        <v>841</v>
      </c>
      <c r="C912" t="s">
        <v>64</v>
      </c>
      <c r="D912" t="s">
        <v>891</v>
      </c>
      <c r="E912" t="s">
        <v>265</v>
      </c>
      <c r="F912" t="s">
        <v>171</v>
      </c>
      <c r="H912">
        <v>42.56</v>
      </c>
      <c r="I912">
        <v>1848.26</v>
      </c>
      <c r="J912">
        <v>26156.7</v>
      </c>
      <c r="M912" s="7"/>
    </row>
    <row r="913" spans="2:13" customFormat="1" x14ac:dyDescent="0.25">
      <c r="B913" t="s">
        <v>841</v>
      </c>
      <c r="C913" t="s">
        <v>94</v>
      </c>
      <c r="D913" t="s">
        <v>891</v>
      </c>
      <c r="E913" t="s">
        <v>266</v>
      </c>
      <c r="F913" t="s">
        <v>172</v>
      </c>
      <c r="H913">
        <v>0</v>
      </c>
      <c r="I913">
        <v>0</v>
      </c>
      <c r="J913">
        <v>918.47</v>
      </c>
      <c r="M913" s="7"/>
    </row>
    <row r="914" spans="2:13" customFormat="1" x14ac:dyDescent="0.25">
      <c r="B914" t="s">
        <v>841</v>
      </c>
      <c r="C914" t="s">
        <v>353</v>
      </c>
      <c r="D914" t="s">
        <v>891</v>
      </c>
      <c r="E914" t="s">
        <v>354</v>
      </c>
      <c r="F914" t="s">
        <v>355</v>
      </c>
      <c r="H914">
        <v>0</v>
      </c>
      <c r="I914">
        <v>0</v>
      </c>
      <c r="J914">
        <v>187.44</v>
      </c>
      <c r="M914" s="7"/>
    </row>
    <row r="915" spans="2:13" customFormat="1" x14ac:dyDescent="0.25">
      <c r="B915" t="s">
        <v>841</v>
      </c>
      <c r="C915" t="s">
        <v>95</v>
      </c>
      <c r="D915" t="s">
        <v>891</v>
      </c>
      <c r="E915" t="s">
        <v>267</v>
      </c>
      <c r="F915" t="s">
        <v>173</v>
      </c>
      <c r="H915">
        <v>0</v>
      </c>
      <c r="I915">
        <v>0</v>
      </c>
      <c r="J915">
        <v>674.8</v>
      </c>
      <c r="M915" s="7"/>
    </row>
    <row r="916" spans="2:13" customFormat="1" x14ac:dyDescent="0.25">
      <c r="B916" t="s">
        <v>841</v>
      </c>
      <c r="C916" t="s">
        <v>65</v>
      </c>
      <c r="D916" t="s">
        <v>891</v>
      </c>
      <c r="E916" t="s">
        <v>269</v>
      </c>
      <c r="F916" t="s">
        <v>175</v>
      </c>
      <c r="H916">
        <v>0</v>
      </c>
      <c r="I916">
        <v>10558</v>
      </c>
      <c r="J916">
        <v>49700.28</v>
      </c>
      <c r="M916" s="7"/>
    </row>
    <row r="917" spans="2:13" customFormat="1" x14ac:dyDescent="0.25">
      <c r="B917" t="s">
        <v>841</v>
      </c>
      <c r="C917" t="s">
        <v>97</v>
      </c>
      <c r="D917" t="s">
        <v>891</v>
      </c>
      <c r="E917" t="s">
        <v>270</v>
      </c>
      <c r="F917" t="s">
        <v>176</v>
      </c>
      <c r="H917">
        <v>0</v>
      </c>
      <c r="I917">
        <v>163.44</v>
      </c>
      <c r="J917">
        <v>688.61</v>
      </c>
      <c r="M917" s="7"/>
    </row>
    <row r="918" spans="2:13" customFormat="1" x14ac:dyDescent="0.25">
      <c r="B918" t="s">
        <v>841</v>
      </c>
      <c r="C918" t="s">
        <v>548</v>
      </c>
      <c r="D918" t="s">
        <v>891</v>
      </c>
      <c r="E918" t="s">
        <v>549</v>
      </c>
      <c r="F918" t="s">
        <v>550</v>
      </c>
      <c r="H918">
        <v>0</v>
      </c>
      <c r="I918">
        <v>1808.6</v>
      </c>
      <c r="J918">
        <v>13479.2</v>
      </c>
      <c r="M918" s="7"/>
    </row>
    <row r="919" spans="2:13" customFormat="1" x14ac:dyDescent="0.25">
      <c r="B919" t="s">
        <v>841</v>
      </c>
      <c r="C919" t="s">
        <v>66</v>
      </c>
      <c r="D919" t="s">
        <v>891</v>
      </c>
      <c r="E919" t="s">
        <v>272</v>
      </c>
      <c r="F919" t="s">
        <v>178</v>
      </c>
      <c r="H919">
        <v>0</v>
      </c>
      <c r="I919">
        <v>106.33</v>
      </c>
      <c r="J919">
        <v>737.98</v>
      </c>
      <c r="M919" s="7"/>
    </row>
    <row r="920" spans="2:13" customFormat="1" x14ac:dyDescent="0.25">
      <c r="B920" t="s">
        <v>841</v>
      </c>
      <c r="C920" t="s">
        <v>99</v>
      </c>
      <c r="D920" t="s">
        <v>891</v>
      </c>
      <c r="E920" t="s">
        <v>273</v>
      </c>
      <c r="F920" t="s">
        <v>179</v>
      </c>
      <c r="H920">
        <v>2277</v>
      </c>
      <c r="I920">
        <v>0</v>
      </c>
      <c r="J920">
        <v>0</v>
      </c>
      <c r="M920" s="7"/>
    </row>
    <row r="921" spans="2:13" customFormat="1" x14ac:dyDescent="0.25">
      <c r="B921" t="s">
        <v>841</v>
      </c>
      <c r="C921" t="s">
        <v>392</v>
      </c>
      <c r="D921" t="s">
        <v>891</v>
      </c>
      <c r="E921" t="s">
        <v>393</v>
      </c>
      <c r="F921" t="s">
        <v>394</v>
      </c>
      <c r="H921">
        <v>0</v>
      </c>
      <c r="I921">
        <v>1220.3599999999999</v>
      </c>
      <c r="J921">
        <v>8356.52</v>
      </c>
      <c r="M921" s="7"/>
    </row>
    <row r="922" spans="2:13" customFormat="1" x14ac:dyDescent="0.25">
      <c r="B922" t="s">
        <v>841</v>
      </c>
      <c r="C922" t="s">
        <v>100</v>
      </c>
      <c r="D922" t="s">
        <v>891</v>
      </c>
      <c r="E922" t="s">
        <v>274</v>
      </c>
      <c r="F922" t="s">
        <v>180</v>
      </c>
      <c r="H922">
        <v>517</v>
      </c>
      <c r="I922">
        <v>934.53</v>
      </c>
      <c r="J922">
        <v>7801.09</v>
      </c>
      <c r="M922" s="7"/>
    </row>
    <row r="923" spans="2:13" customFormat="1" x14ac:dyDescent="0.25">
      <c r="B923" t="s">
        <v>841</v>
      </c>
      <c r="C923" t="s">
        <v>101</v>
      </c>
      <c r="D923" t="s">
        <v>891</v>
      </c>
      <c r="E923" t="s">
        <v>275</v>
      </c>
      <c r="F923" t="s">
        <v>181</v>
      </c>
      <c r="H923">
        <v>0</v>
      </c>
      <c r="I923">
        <v>290</v>
      </c>
      <c r="J923">
        <v>290</v>
      </c>
      <c r="M923" s="7"/>
    </row>
    <row r="924" spans="2:13" customFormat="1" x14ac:dyDescent="0.25">
      <c r="B924" t="s">
        <v>841</v>
      </c>
      <c r="C924" t="s">
        <v>67</v>
      </c>
      <c r="D924" t="s">
        <v>891</v>
      </c>
      <c r="E924" t="s">
        <v>276</v>
      </c>
      <c r="F924" t="s">
        <v>182</v>
      </c>
      <c r="H924">
        <v>0</v>
      </c>
      <c r="I924">
        <v>1675.44</v>
      </c>
      <c r="J924">
        <v>12210.9</v>
      </c>
      <c r="M924" s="7"/>
    </row>
    <row r="925" spans="2:13" customFormat="1" x14ac:dyDescent="0.25">
      <c r="B925" t="s">
        <v>841</v>
      </c>
      <c r="C925" t="s">
        <v>497</v>
      </c>
      <c r="D925" t="s">
        <v>891</v>
      </c>
      <c r="E925" t="s">
        <v>498</v>
      </c>
      <c r="F925" t="s">
        <v>499</v>
      </c>
      <c r="H925">
        <v>0</v>
      </c>
      <c r="I925">
        <v>0</v>
      </c>
      <c r="J925">
        <v>1500</v>
      </c>
      <c r="M925" s="7"/>
    </row>
    <row r="926" spans="2:13" customFormat="1" x14ac:dyDescent="0.25">
      <c r="B926" t="s">
        <v>841</v>
      </c>
      <c r="C926" t="s">
        <v>102</v>
      </c>
      <c r="D926" t="s">
        <v>891</v>
      </c>
      <c r="E926" t="s">
        <v>277</v>
      </c>
      <c r="F926" t="s">
        <v>183</v>
      </c>
      <c r="H926">
        <v>0</v>
      </c>
      <c r="I926">
        <v>0</v>
      </c>
      <c r="J926">
        <v>9460.44</v>
      </c>
      <c r="M926" s="7"/>
    </row>
    <row r="927" spans="2:13" customFormat="1" x14ac:dyDescent="0.25">
      <c r="B927" t="s">
        <v>841</v>
      </c>
      <c r="C927" t="s">
        <v>103</v>
      </c>
      <c r="D927" t="s">
        <v>891</v>
      </c>
      <c r="E927" t="s">
        <v>278</v>
      </c>
      <c r="F927" t="s">
        <v>184</v>
      </c>
      <c r="H927">
        <v>0</v>
      </c>
      <c r="I927">
        <v>0</v>
      </c>
      <c r="J927">
        <v>1015.5</v>
      </c>
      <c r="M927" s="7"/>
    </row>
    <row r="928" spans="2:13" customFormat="1" x14ac:dyDescent="0.25">
      <c r="B928" t="s">
        <v>841</v>
      </c>
      <c r="C928" t="s">
        <v>68</v>
      </c>
      <c r="D928" t="s">
        <v>891</v>
      </c>
      <c r="E928" t="s">
        <v>279</v>
      </c>
      <c r="F928" t="s">
        <v>185</v>
      </c>
      <c r="H928">
        <v>0</v>
      </c>
      <c r="I928">
        <v>971.4</v>
      </c>
      <c r="J928">
        <v>6336.48</v>
      </c>
      <c r="M928" s="7"/>
    </row>
    <row r="929" spans="2:13" customFormat="1" x14ac:dyDescent="0.25">
      <c r="B929" t="s">
        <v>841</v>
      </c>
      <c r="C929" t="s">
        <v>395</v>
      </c>
      <c r="D929" t="s">
        <v>891</v>
      </c>
      <c r="E929" t="s">
        <v>396</v>
      </c>
      <c r="F929" t="s">
        <v>397</v>
      </c>
      <c r="H929">
        <v>0</v>
      </c>
      <c r="I929">
        <v>302.5</v>
      </c>
      <c r="J929">
        <v>2117.5</v>
      </c>
      <c r="M929" s="7"/>
    </row>
    <row r="930" spans="2:13" customFormat="1" x14ac:dyDescent="0.25">
      <c r="B930" t="s">
        <v>841</v>
      </c>
      <c r="C930" t="s">
        <v>104</v>
      </c>
      <c r="D930" t="s">
        <v>891</v>
      </c>
      <c r="E930" t="s">
        <v>280</v>
      </c>
      <c r="F930" t="s">
        <v>186</v>
      </c>
      <c r="H930">
        <v>0</v>
      </c>
      <c r="I930">
        <v>313.45</v>
      </c>
      <c r="J930">
        <v>8595.33</v>
      </c>
      <c r="M930" s="7"/>
    </row>
    <row r="931" spans="2:13" customFormat="1" x14ac:dyDescent="0.25">
      <c r="B931" t="s">
        <v>841</v>
      </c>
      <c r="C931" t="s">
        <v>356</v>
      </c>
      <c r="D931" t="s">
        <v>891</v>
      </c>
      <c r="E931" t="s">
        <v>357</v>
      </c>
      <c r="F931" t="s">
        <v>358</v>
      </c>
      <c r="H931">
        <v>0</v>
      </c>
      <c r="I931">
        <v>660</v>
      </c>
      <c r="J931">
        <v>10382.629999999999</v>
      </c>
      <c r="M931" s="7"/>
    </row>
    <row r="932" spans="2:13" customFormat="1" x14ac:dyDescent="0.25">
      <c r="B932" t="s">
        <v>841</v>
      </c>
      <c r="C932" t="s">
        <v>105</v>
      </c>
      <c r="D932" t="s">
        <v>891</v>
      </c>
      <c r="E932" t="s">
        <v>281</v>
      </c>
      <c r="F932" t="s">
        <v>187</v>
      </c>
      <c r="H932">
        <v>0</v>
      </c>
      <c r="I932">
        <v>333.65</v>
      </c>
      <c r="J932">
        <v>2576.6999999999998</v>
      </c>
      <c r="M932" s="7"/>
    </row>
    <row r="933" spans="2:13" customFormat="1" x14ac:dyDescent="0.25">
      <c r="B933" t="s">
        <v>841</v>
      </c>
      <c r="C933" t="s">
        <v>106</v>
      </c>
      <c r="D933" t="s">
        <v>891</v>
      </c>
      <c r="E933" t="s">
        <v>282</v>
      </c>
      <c r="F933" t="s">
        <v>188</v>
      </c>
      <c r="H933">
        <v>0</v>
      </c>
      <c r="I933">
        <v>294.02999999999997</v>
      </c>
      <c r="J933">
        <v>2279.17</v>
      </c>
      <c r="M933" s="7"/>
    </row>
    <row r="934" spans="2:13" customFormat="1" x14ac:dyDescent="0.25">
      <c r="B934" t="s">
        <v>841</v>
      </c>
      <c r="C934" t="s">
        <v>107</v>
      </c>
      <c r="D934" t="s">
        <v>891</v>
      </c>
      <c r="E934" t="s">
        <v>283</v>
      </c>
      <c r="F934" t="s">
        <v>189</v>
      </c>
      <c r="H934">
        <v>408.81</v>
      </c>
      <c r="I934">
        <v>4419.6400000000003</v>
      </c>
      <c r="J934">
        <v>27586</v>
      </c>
      <c r="M934" s="7"/>
    </row>
    <row r="935" spans="2:13" customFormat="1" x14ac:dyDescent="0.25">
      <c r="B935" t="s">
        <v>841</v>
      </c>
      <c r="C935" t="s">
        <v>359</v>
      </c>
      <c r="D935" t="s">
        <v>891</v>
      </c>
      <c r="E935" t="s">
        <v>360</v>
      </c>
      <c r="F935" t="s">
        <v>361</v>
      </c>
      <c r="H935">
        <v>22.29</v>
      </c>
      <c r="I935">
        <v>131.1</v>
      </c>
      <c r="J935">
        <v>741.81</v>
      </c>
      <c r="M935" s="7"/>
    </row>
    <row r="936" spans="2:13" customFormat="1" x14ac:dyDescent="0.25">
      <c r="B936" t="s">
        <v>841</v>
      </c>
      <c r="C936" t="s">
        <v>69</v>
      </c>
      <c r="D936" t="s">
        <v>891</v>
      </c>
      <c r="E936" t="s">
        <v>284</v>
      </c>
      <c r="F936" t="s">
        <v>190</v>
      </c>
      <c r="H936">
        <v>0</v>
      </c>
      <c r="I936">
        <v>0</v>
      </c>
      <c r="J936">
        <v>188.71</v>
      </c>
      <c r="M936" s="7"/>
    </row>
    <row r="937" spans="2:13" customFormat="1" x14ac:dyDescent="0.25">
      <c r="B937" t="s">
        <v>841</v>
      </c>
      <c r="C937" t="s">
        <v>70</v>
      </c>
      <c r="D937" t="s">
        <v>891</v>
      </c>
      <c r="E937" t="s">
        <v>286</v>
      </c>
      <c r="F937" t="s">
        <v>192</v>
      </c>
      <c r="H937">
        <v>0</v>
      </c>
      <c r="I937">
        <v>322.39999999999998</v>
      </c>
      <c r="J937">
        <v>5672.75</v>
      </c>
      <c r="M937" s="7"/>
    </row>
    <row r="938" spans="2:13" customFormat="1" x14ac:dyDescent="0.25">
      <c r="B938" t="s">
        <v>841</v>
      </c>
      <c r="C938" t="s">
        <v>109</v>
      </c>
      <c r="D938" t="s">
        <v>891</v>
      </c>
      <c r="E938" t="s">
        <v>287</v>
      </c>
      <c r="F938" t="s">
        <v>193</v>
      </c>
      <c r="H938">
        <v>0</v>
      </c>
      <c r="I938">
        <v>4365.05</v>
      </c>
      <c r="J938">
        <v>16116.35</v>
      </c>
      <c r="M938" s="7"/>
    </row>
    <row r="939" spans="2:13" customFormat="1" x14ac:dyDescent="0.25">
      <c r="B939" t="s">
        <v>841</v>
      </c>
      <c r="C939" t="s">
        <v>560</v>
      </c>
      <c r="D939" t="s">
        <v>891</v>
      </c>
      <c r="E939" t="s">
        <v>561</v>
      </c>
      <c r="F939" t="s">
        <v>562</v>
      </c>
      <c r="H939">
        <v>0</v>
      </c>
      <c r="I939">
        <v>0</v>
      </c>
      <c r="J939">
        <v>4499.71</v>
      </c>
      <c r="M939" s="7"/>
    </row>
    <row r="940" spans="2:13" customFormat="1" x14ac:dyDescent="0.25">
      <c r="B940" t="s">
        <v>841</v>
      </c>
      <c r="C940" t="s">
        <v>110</v>
      </c>
      <c r="D940" t="s">
        <v>891</v>
      </c>
      <c r="E940" t="s">
        <v>288</v>
      </c>
      <c r="F940" t="s">
        <v>194</v>
      </c>
      <c r="H940">
        <v>0</v>
      </c>
      <c r="I940">
        <v>2263.5</v>
      </c>
      <c r="J940">
        <v>2663.5</v>
      </c>
      <c r="M940" s="7"/>
    </row>
    <row r="941" spans="2:13" customFormat="1" x14ac:dyDescent="0.25">
      <c r="B941" t="s">
        <v>841</v>
      </c>
      <c r="C941" t="s">
        <v>440</v>
      </c>
      <c r="D941" t="s">
        <v>891</v>
      </c>
      <c r="E941" t="s">
        <v>441</v>
      </c>
      <c r="F941" t="s">
        <v>442</v>
      </c>
      <c r="H941">
        <v>0</v>
      </c>
      <c r="I941">
        <v>0</v>
      </c>
      <c r="J941">
        <v>2814.79</v>
      </c>
      <c r="M941" s="7"/>
    </row>
    <row r="942" spans="2:13" customFormat="1" x14ac:dyDescent="0.25">
      <c r="B942" t="s">
        <v>841</v>
      </c>
      <c r="C942" t="s">
        <v>111</v>
      </c>
      <c r="D942" t="s">
        <v>891</v>
      </c>
      <c r="E942" t="s">
        <v>289</v>
      </c>
      <c r="F942" t="s">
        <v>195</v>
      </c>
      <c r="H942">
        <v>0</v>
      </c>
      <c r="I942">
        <v>374.73</v>
      </c>
      <c r="J942">
        <v>-444.26</v>
      </c>
      <c r="M942" s="7"/>
    </row>
    <row r="943" spans="2:13" customFormat="1" x14ac:dyDescent="0.25">
      <c r="B943" t="s">
        <v>841</v>
      </c>
      <c r="C943" t="s">
        <v>203</v>
      </c>
      <c r="D943" t="s">
        <v>891</v>
      </c>
      <c r="E943" t="s">
        <v>297</v>
      </c>
      <c r="F943" t="s">
        <v>204</v>
      </c>
      <c r="H943">
        <v>0</v>
      </c>
      <c r="I943">
        <v>100</v>
      </c>
      <c r="J943">
        <v>10954.07</v>
      </c>
      <c r="M943" s="7"/>
    </row>
    <row r="944" spans="2:13" customFormat="1" x14ac:dyDescent="0.25">
      <c r="B944" t="s">
        <v>841</v>
      </c>
      <c r="C944" t="s">
        <v>398</v>
      </c>
      <c r="D944" t="s">
        <v>891</v>
      </c>
      <c r="E944" t="s">
        <v>399</v>
      </c>
      <c r="F944" t="s">
        <v>400</v>
      </c>
      <c r="H944">
        <v>0</v>
      </c>
      <c r="I944">
        <v>637.66</v>
      </c>
      <c r="J944">
        <v>3039.57</v>
      </c>
      <c r="M944" s="7"/>
    </row>
    <row r="945" spans="2:13" customFormat="1" x14ac:dyDescent="0.25">
      <c r="B945" t="s">
        <v>841</v>
      </c>
      <c r="C945" t="s">
        <v>401</v>
      </c>
      <c r="D945" t="s">
        <v>891</v>
      </c>
      <c r="E945" t="s">
        <v>402</v>
      </c>
      <c r="F945" t="s">
        <v>403</v>
      </c>
      <c r="H945">
        <v>0</v>
      </c>
      <c r="I945">
        <v>0</v>
      </c>
      <c r="J945">
        <v>1266.52</v>
      </c>
      <c r="M945" s="7"/>
    </row>
    <row r="946" spans="2:13" customFormat="1" x14ac:dyDescent="0.25">
      <c r="B946" t="s">
        <v>841</v>
      </c>
      <c r="C946" t="s">
        <v>566</v>
      </c>
      <c r="D946" t="s">
        <v>891</v>
      </c>
      <c r="E946" t="s">
        <v>567</v>
      </c>
      <c r="F946" t="s">
        <v>568</v>
      </c>
      <c r="H946">
        <v>0</v>
      </c>
      <c r="I946">
        <v>1200</v>
      </c>
      <c r="J946">
        <v>3271.3</v>
      </c>
      <c r="M946" s="7"/>
    </row>
    <row r="947" spans="2:13" customFormat="1" x14ac:dyDescent="0.25">
      <c r="B947" t="s">
        <v>841</v>
      </c>
      <c r="C947" t="s">
        <v>446</v>
      </c>
      <c r="D947" t="s">
        <v>891</v>
      </c>
      <c r="E947" t="s">
        <v>447</v>
      </c>
      <c r="F947" t="s">
        <v>448</v>
      </c>
      <c r="H947">
        <v>0</v>
      </c>
      <c r="I947">
        <v>0</v>
      </c>
      <c r="J947">
        <v>812</v>
      </c>
      <c r="M947" s="7"/>
    </row>
    <row r="948" spans="2:13" customFormat="1" x14ac:dyDescent="0.25">
      <c r="B948" t="s">
        <v>841</v>
      </c>
      <c r="C948" t="s">
        <v>404</v>
      </c>
      <c r="D948" t="s">
        <v>891</v>
      </c>
      <c r="E948" t="s">
        <v>405</v>
      </c>
      <c r="F948" t="s">
        <v>406</v>
      </c>
      <c r="H948">
        <v>0</v>
      </c>
      <c r="I948">
        <v>0</v>
      </c>
      <c r="J948">
        <v>0.02</v>
      </c>
      <c r="M948" s="7"/>
    </row>
    <row r="949" spans="2:13" customFormat="1" x14ac:dyDescent="0.25">
      <c r="B949" t="s">
        <v>841</v>
      </c>
      <c r="C949" t="s">
        <v>112</v>
      </c>
      <c r="D949" t="s">
        <v>891</v>
      </c>
      <c r="E949" t="s">
        <v>290</v>
      </c>
      <c r="F949" t="s">
        <v>196</v>
      </c>
      <c r="H949">
        <v>0</v>
      </c>
      <c r="I949">
        <v>627.26</v>
      </c>
      <c r="J949">
        <v>3136.3</v>
      </c>
      <c r="M949" s="7"/>
    </row>
    <row r="950" spans="2:13" customFormat="1" x14ac:dyDescent="0.25">
      <c r="B950" t="s">
        <v>841</v>
      </c>
      <c r="C950" t="s">
        <v>71</v>
      </c>
      <c r="D950" t="s">
        <v>891</v>
      </c>
      <c r="E950" t="s">
        <v>291</v>
      </c>
      <c r="F950" t="s">
        <v>197</v>
      </c>
      <c r="H950">
        <v>0</v>
      </c>
      <c r="I950">
        <v>395.91</v>
      </c>
      <c r="J950">
        <v>3352.31</v>
      </c>
      <c r="M950" s="7"/>
    </row>
    <row r="951" spans="2:13" customFormat="1" x14ac:dyDescent="0.25">
      <c r="B951" t="s">
        <v>841</v>
      </c>
      <c r="C951" t="s">
        <v>72</v>
      </c>
      <c r="D951" t="s">
        <v>891</v>
      </c>
      <c r="E951" t="s">
        <v>292</v>
      </c>
      <c r="F951" t="s">
        <v>198</v>
      </c>
      <c r="H951">
        <v>3.86</v>
      </c>
      <c r="I951">
        <v>17.399999999999999</v>
      </c>
      <c r="J951">
        <v>2698.38</v>
      </c>
      <c r="M951" s="7"/>
    </row>
    <row r="952" spans="2:13" customFormat="1" x14ac:dyDescent="0.25">
      <c r="B952" t="s">
        <v>841</v>
      </c>
      <c r="C952" t="s">
        <v>73</v>
      </c>
      <c r="D952" t="s">
        <v>891</v>
      </c>
      <c r="E952" t="s">
        <v>293</v>
      </c>
      <c r="F952" t="s">
        <v>199</v>
      </c>
      <c r="H952">
        <v>0</v>
      </c>
      <c r="I952">
        <v>192.35</v>
      </c>
      <c r="J952">
        <v>25190.31</v>
      </c>
      <c r="M952" s="7"/>
    </row>
    <row r="953" spans="2:13" customFormat="1" x14ac:dyDescent="0.25">
      <c r="B953" t="s">
        <v>841</v>
      </c>
      <c r="C953" t="s">
        <v>74</v>
      </c>
      <c r="D953" t="s">
        <v>891</v>
      </c>
      <c r="E953" t="s">
        <v>294</v>
      </c>
      <c r="F953" t="s">
        <v>200</v>
      </c>
      <c r="H953">
        <v>0</v>
      </c>
      <c r="I953">
        <v>7730.87</v>
      </c>
      <c r="J953">
        <v>68062.16</v>
      </c>
      <c r="M953" s="7"/>
    </row>
    <row r="954" spans="2:13" customFormat="1" x14ac:dyDescent="0.25">
      <c r="B954" t="s">
        <v>841</v>
      </c>
      <c r="C954" t="s">
        <v>75</v>
      </c>
      <c r="D954" t="s">
        <v>891</v>
      </c>
      <c r="E954" t="s">
        <v>295</v>
      </c>
      <c r="F954" t="s">
        <v>201</v>
      </c>
      <c r="H954">
        <v>0</v>
      </c>
      <c r="I954">
        <v>2433.1999999999998</v>
      </c>
      <c r="J954">
        <v>30637.9</v>
      </c>
      <c r="M954" s="7"/>
    </row>
    <row r="955" spans="2:13" customFormat="1" x14ac:dyDescent="0.25">
      <c r="B955" t="s">
        <v>841</v>
      </c>
      <c r="C955" t="s">
        <v>76</v>
      </c>
      <c r="D955" t="s">
        <v>891</v>
      </c>
      <c r="E955" t="s">
        <v>296</v>
      </c>
      <c r="F955" t="s">
        <v>202</v>
      </c>
      <c r="H955">
        <v>0</v>
      </c>
      <c r="I955">
        <v>1459.92</v>
      </c>
      <c r="J955">
        <v>13773.61</v>
      </c>
      <c r="M955" s="7"/>
    </row>
    <row r="956" spans="2:13" customFormat="1" x14ac:dyDescent="0.25">
      <c r="B956" t="s">
        <v>572</v>
      </c>
      <c r="C956" t="s">
        <v>26</v>
      </c>
      <c r="D956" t="s">
        <v>891</v>
      </c>
      <c r="E956" t="s">
        <v>211</v>
      </c>
      <c r="F956" t="s">
        <v>116</v>
      </c>
      <c r="H956">
        <v>143548.1</v>
      </c>
      <c r="I956">
        <v>143548.1</v>
      </c>
      <c r="J956">
        <v>0</v>
      </c>
      <c r="M956" s="7"/>
    </row>
    <row r="957" spans="2:13" customFormat="1" x14ac:dyDescent="0.25">
      <c r="B957" t="s">
        <v>572</v>
      </c>
      <c r="C957" t="s">
        <v>27</v>
      </c>
      <c r="D957" t="s">
        <v>891</v>
      </c>
      <c r="E957" t="s">
        <v>212</v>
      </c>
      <c r="F957" t="s">
        <v>117</v>
      </c>
      <c r="H957">
        <v>529.72</v>
      </c>
      <c r="I957">
        <v>12776.36</v>
      </c>
      <c r="J957">
        <v>13834.02</v>
      </c>
      <c r="M957" s="7"/>
    </row>
    <row r="958" spans="2:13" customFormat="1" x14ac:dyDescent="0.25">
      <c r="B958" t="s">
        <v>572</v>
      </c>
      <c r="C958" t="s">
        <v>28</v>
      </c>
      <c r="D958" t="s">
        <v>891</v>
      </c>
      <c r="E958" t="s">
        <v>213</v>
      </c>
      <c r="F958" t="s">
        <v>118</v>
      </c>
      <c r="H958">
        <v>78661.75</v>
      </c>
      <c r="I958">
        <v>78193.929999999993</v>
      </c>
      <c r="J958">
        <v>1566.22</v>
      </c>
      <c r="M958" s="7"/>
    </row>
    <row r="959" spans="2:13" customFormat="1" x14ac:dyDescent="0.25">
      <c r="B959" t="s">
        <v>572</v>
      </c>
      <c r="C959" t="s">
        <v>29</v>
      </c>
      <c r="D959" t="s">
        <v>891</v>
      </c>
      <c r="E959" t="s">
        <v>214</v>
      </c>
      <c r="F959" t="s">
        <v>119</v>
      </c>
      <c r="H959">
        <v>158300.04</v>
      </c>
      <c r="I959">
        <v>143548.1</v>
      </c>
      <c r="J959">
        <v>15842.32</v>
      </c>
      <c r="M959" s="7"/>
    </row>
    <row r="960" spans="2:13" customFormat="1" x14ac:dyDescent="0.25">
      <c r="B960" t="s">
        <v>572</v>
      </c>
      <c r="C960" t="s">
        <v>30</v>
      </c>
      <c r="D960" t="s">
        <v>891</v>
      </c>
      <c r="E960" t="s">
        <v>215</v>
      </c>
      <c r="F960" t="s">
        <v>120</v>
      </c>
      <c r="H960">
        <v>1517147.83</v>
      </c>
      <c r="I960">
        <v>1463278.8</v>
      </c>
      <c r="J960">
        <v>248280.97</v>
      </c>
      <c r="M960" s="7"/>
    </row>
    <row r="961" spans="2:13" customFormat="1" x14ac:dyDescent="0.25">
      <c r="B961" t="s">
        <v>572</v>
      </c>
      <c r="C961" t="s">
        <v>500</v>
      </c>
      <c r="D961" t="s">
        <v>891</v>
      </c>
      <c r="E961" t="s">
        <v>501</v>
      </c>
      <c r="F961" t="s">
        <v>502</v>
      </c>
      <c r="H961">
        <v>27949.02</v>
      </c>
      <c r="I961">
        <v>45045.43</v>
      </c>
      <c r="J961">
        <v>21321.360000000001</v>
      </c>
      <c r="M961" s="7"/>
    </row>
    <row r="962" spans="2:13" customFormat="1" x14ac:dyDescent="0.25">
      <c r="B962" t="s">
        <v>572</v>
      </c>
      <c r="C962" t="s">
        <v>31</v>
      </c>
      <c r="D962" t="s">
        <v>891</v>
      </c>
      <c r="E962" t="s">
        <v>217</v>
      </c>
      <c r="F962" t="s">
        <v>122</v>
      </c>
      <c r="H962">
        <v>1609784.29</v>
      </c>
      <c r="I962">
        <v>1609784.29</v>
      </c>
      <c r="J962">
        <v>0</v>
      </c>
      <c r="M962" s="7"/>
    </row>
    <row r="963" spans="2:13" customFormat="1" x14ac:dyDescent="0.25">
      <c r="B963" t="s">
        <v>572</v>
      </c>
      <c r="C963" t="s">
        <v>32</v>
      </c>
      <c r="D963" t="s">
        <v>891</v>
      </c>
      <c r="E963" t="s">
        <v>218</v>
      </c>
      <c r="F963" t="s">
        <v>123</v>
      </c>
      <c r="H963">
        <v>0</v>
      </c>
      <c r="I963">
        <v>27375</v>
      </c>
      <c r="J963">
        <v>78000</v>
      </c>
      <c r="M963" s="7"/>
    </row>
    <row r="964" spans="2:13" customFormat="1" x14ac:dyDescent="0.25">
      <c r="B964" t="s">
        <v>572</v>
      </c>
      <c r="C964" t="s">
        <v>33</v>
      </c>
      <c r="D964" t="s">
        <v>891</v>
      </c>
      <c r="E964" t="s">
        <v>219</v>
      </c>
      <c r="F964" t="s">
        <v>124</v>
      </c>
      <c r="H964">
        <v>421260.23</v>
      </c>
      <c r="I964">
        <v>423600.69</v>
      </c>
      <c r="J964">
        <v>16900.75</v>
      </c>
      <c r="M964" s="7"/>
    </row>
    <row r="965" spans="2:13" customFormat="1" x14ac:dyDescent="0.25">
      <c r="B965" t="s">
        <v>572</v>
      </c>
      <c r="C965" t="s">
        <v>34</v>
      </c>
      <c r="D965" t="s">
        <v>891</v>
      </c>
      <c r="E965" t="s">
        <v>220</v>
      </c>
      <c r="F965" t="s">
        <v>125</v>
      </c>
      <c r="H965">
        <v>823270.35</v>
      </c>
      <c r="I965">
        <v>914594.89</v>
      </c>
      <c r="J965">
        <v>910497.5</v>
      </c>
      <c r="M965" s="7"/>
    </row>
    <row r="966" spans="2:13" customFormat="1" x14ac:dyDescent="0.25">
      <c r="B966" t="s">
        <v>572</v>
      </c>
      <c r="C966" t="s">
        <v>205</v>
      </c>
      <c r="D966" t="s">
        <v>891</v>
      </c>
      <c r="E966" t="s">
        <v>298</v>
      </c>
      <c r="F966" t="s">
        <v>206</v>
      </c>
      <c r="H966">
        <v>0</v>
      </c>
      <c r="I966">
        <v>26454.71</v>
      </c>
      <c r="J966">
        <v>41093.15</v>
      </c>
      <c r="M966" s="7"/>
    </row>
    <row r="967" spans="2:13" customFormat="1" x14ac:dyDescent="0.25">
      <c r="B967" t="s">
        <v>572</v>
      </c>
      <c r="C967" t="s">
        <v>301</v>
      </c>
      <c r="D967" t="s">
        <v>891</v>
      </c>
      <c r="E967" t="s">
        <v>302</v>
      </c>
      <c r="F967" t="s">
        <v>303</v>
      </c>
      <c r="H967">
        <v>20090.86</v>
      </c>
      <c r="I967">
        <v>20090.86</v>
      </c>
      <c r="J967">
        <v>0</v>
      </c>
      <c r="M967" s="7"/>
    </row>
    <row r="968" spans="2:13" customFormat="1" x14ac:dyDescent="0.25">
      <c r="B968" t="s">
        <v>572</v>
      </c>
      <c r="C968" t="s">
        <v>36</v>
      </c>
      <c r="D968" t="s">
        <v>891</v>
      </c>
      <c r="E968" t="s">
        <v>222</v>
      </c>
      <c r="F968" t="s">
        <v>128</v>
      </c>
      <c r="H968">
        <v>0</v>
      </c>
      <c r="I968">
        <v>256.81</v>
      </c>
      <c r="J968">
        <v>546.70000000000005</v>
      </c>
      <c r="M968" s="7"/>
    </row>
    <row r="969" spans="2:13" customFormat="1" x14ac:dyDescent="0.25">
      <c r="B969" t="s">
        <v>572</v>
      </c>
      <c r="C969" t="s">
        <v>37</v>
      </c>
      <c r="D969" t="s">
        <v>891</v>
      </c>
      <c r="E969" t="s">
        <v>223</v>
      </c>
      <c r="F969" t="s">
        <v>129</v>
      </c>
      <c r="H969">
        <v>0</v>
      </c>
      <c r="I969">
        <v>1182.9000000000001</v>
      </c>
      <c r="J969">
        <v>2518.14</v>
      </c>
      <c r="M969" s="7"/>
    </row>
    <row r="970" spans="2:13" customFormat="1" x14ac:dyDescent="0.25">
      <c r="B970" t="s">
        <v>572</v>
      </c>
      <c r="C970" t="s">
        <v>304</v>
      </c>
      <c r="D970" t="s">
        <v>891</v>
      </c>
      <c r="E970" t="s">
        <v>305</v>
      </c>
      <c r="F970" t="s">
        <v>306</v>
      </c>
      <c r="H970">
        <v>1507091.24</v>
      </c>
      <c r="I970">
        <v>1533220.82</v>
      </c>
      <c r="J970">
        <v>348830.95</v>
      </c>
      <c r="M970" s="7"/>
    </row>
    <row r="971" spans="2:13" customFormat="1" x14ac:dyDescent="0.25">
      <c r="B971" t="s">
        <v>572</v>
      </c>
      <c r="C971" t="s">
        <v>38</v>
      </c>
      <c r="D971" t="s">
        <v>891</v>
      </c>
      <c r="E971" t="s">
        <v>224</v>
      </c>
      <c r="F971" t="s">
        <v>130</v>
      </c>
      <c r="H971">
        <v>0</v>
      </c>
      <c r="I971">
        <v>580</v>
      </c>
      <c r="J971">
        <v>580</v>
      </c>
      <c r="M971" s="7"/>
    </row>
    <row r="972" spans="2:13" customFormat="1" x14ac:dyDescent="0.25">
      <c r="B972" t="s">
        <v>572</v>
      </c>
      <c r="C972" t="s">
        <v>455</v>
      </c>
      <c r="D972" t="s">
        <v>891</v>
      </c>
      <c r="E972" t="s">
        <v>456</v>
      </c>
      <c r="F972" t="s">
        <v>457</v>
      </c>
      <c r="H972">
        <v>0</v>
      </c>
      <c r="I972">
        <v>0</v>
      </c>
      <c r="J972">
        <v>13106.25</v>
      </c>
      <c r="M972" s="7"/>
    </row>
    <row r="973" spans="2:13" customFormat="1" x14ac:dyDescent="0.25">
      <c r="B973" t="s">
        <v>572</v>
      </c>
      <c r="C973" t="s">
        <v>416</v>
      </c>
      <c r="D973" t="s">
        <v>891</v>
      </c>
      <c r="E973" t="s">
        <v>417</v>
      </c>
      <c r="F973" t="s">
        <v>418</v>
      </c>
      <c r="H973">
        <v>0</v>
      </c>
      <c r="I973">
        <v>0</v>
      </c>
      <c r="J973">
        <v>11468.34</v>
      </c>
      <c r="M973" s="7"/>
    </row>
    <row r="974" spans="2:13" customFormat="1" x14ac:dyDescent="0.25">
      <c r="B974" t="s">
        <v>572</v>
      </c>
      <c r="C974" t="s">
        <v>458</v>
      </c>
      <c r="D974" t="s">
        <v>891</v>
      </c>
      <c r="E974" t="s">
        <v>459</v>
      </c>
      <c r="F974" t="s">
        <v>460</v>
      </c>
      <c r="H974">
        <v>0</v>
      </c>
      <c r="I974">
        <v>0</v>
      </c>
      <c r="J974">
        <v>5139.41</v>
      </c>
      <c r="M974" s="7"/>
    </row>
    <row r="975" spans="2:13" customFormat="1" x14ac:dyDescent="0.25">
      <c r="B975" t="s">
        <v>572</v>
      </c>
      <c r="C975" t="s">
        <v>464</v>
      </c>
      <c r="D975" t="s">
        <v>891</v>
      </c>
      <c r="E975" t="s">
        <v>465</v>
      </c>
      <c r="F975" t="s">
        <v>466</v>
      </c>
      <c r="H975">
        <v>0</v>
      </c>
      <c r="I975">
        <v>0</v>
      </c>
      <c r="J975">
        <v>593982.82999999996</v>
      </c>
      <c r="M975" s="7"/>
    </row>
    <row r="976" spans="2:13" customFormat="1" x14ac:dyDescent="0.25">
      <c r="B976" t="s">
        <v>572</v>
      </c>
      <c r="C976" t="s">
        <v>470</v>
      </c>
      <c r="D976" t="s">
        <v>891</v>
      </c>
      <c r="E976" t="s">
        <v>471</v>
      </c>
      <c r="F976" t="s">
        <v>472</v>
      </c>
      <c r="H976">
        <v>218.44</v>
      </c>
      <c r="I976">
        <v>0</v>
      </c>
      <c r="J976">
        <v>-218.44</v>
      </c>
      <c r="M976" s="7"/>
    </row>
    <row r="977" spans="2:13" customFormat="1" x14ac:dyDescent="0.25">
      <c r="B977" t="s">
        <v>572</v>
      </c>
      <c r="C977" t="s">
        <v>419</v>
      </c>
      <c r="D977" t="s">
        <v>891</v>
      </c>
      <c r="E977" t="s">
        <v>420</v>
      </c>
      <c r="F977" t="s">
        <v>421</v>
      </c>
      <c r="H977">
        <v>191.14</v>
      </c>
      <c r="I977">
        <v>0</v>
      </c>
      <c r="J977">
        <v>-191.14</v>
      </c>
      <c r="M977" s="7"/>
    </row>
    <row r="978" spans="2:13" customFormat="1" x14ac:dyDescent="0.25">
      <c r="B978" t="s">
        <v>572</v>
      </c>
      <c r="C978" t="s">
        <v>473</v>
      </c>
      <c r="D978" t="s">
        <v>891</v>
      </c>
      <c r="E978" t="s">
        <v>474</v>
      </c>
      <c r="F978" t="s">
        <v>475</v>
      </c>
      <c r="H978">
        <v>171.32</v>
      </c>
      <c r="I978">
        <v>0</v>
      </c>
      <c r="J978">
        <v>-171.32</v>
      </c>
      <c r="M978" s="7"/>
    </row>
    <row r="979" spans="2:13" customFormat="1" x14ac:dyDescent="0.25">
      <c r="B979" t="s">
        <v>572</v>
      </c>
      <c r="C979" t="s">
        <v>479</v>
      </c>
      <c r="D979" t="s">
        <v>891</v>
      </c>
      <c r="E979" t="s">
        <v>480</v>
      </c>
      <c r="F979" t="s">
        <v>481</v>
      </c>
      <c r="H979">
        <v>9899.7199999999993</v>
      </c>
      <c r="I979">
        <v>0</v>
      </c>
      <c r="J979">
        <v>-9899.7199999999993</v>
      </c>
      <c r="M979" s="7"/>
    </row>
    <row r="980" spans="2:13" customFormat="1" x14ac:dyDescent="0.25">
      <c r="B980" t="s">
        <v>572</v>
      </c>
      <c r="C980" t="s">
        <v>422</v>
      </c>
      <c r="D980" t="s">
        <v>891</v>
      </c>
      <c r="E980" t="s">
        <v>423</v>
      </c>
      <c r="F980" t="s">
        <v>424</v>
      </c>
      <c r="H980">
        <v>0</v>
      </c>
      <c r="I980">
        <v>0</v>
      </c>
      <c r="J980">
        <v>2003412.25</v>
      </c>
      <c r="M980" s="7"/>
    </row>
    <row r="981" spans="2:13" customFormat="1" x14ac:dyDescent="0.25">
      <c r="B981" t="s">
        <v>572</v>
      </c>
      <c r="C981" t="s">
        <v>425</v>
      </c>
      <c r="D981" t="s">
        <v>891</v>
      </c>
      <c r="E981" t="s">
        <v>426</v>
      </c>
      <c r="F981" t="s">
        <v>427</v>
      </c>
      <c r="H981">
        <v>0</v>
      </c>
      <c r="I981">
        <v>0</v>
      </c>
      <c r="J981">
        <v>3500</v>
      </c>
      <c r="M981" s="7"/>
    </row>
    <row r="982" spans="2:13" customFormat="1" x14ac:dyDescent="0.25">
      <c r="B982" t="s">
        <v>572</v>
      </c>
      <c r="C982" t="s">
        <v>428</v>
      </c>
      <c r="D982" t="s">
        <v>891</v>
      </c>
      <c r="E982" t="s">
        <v>429</v>
      </c>
      <c r="F982" t="s">
        <v>430</v>
      </c>
      <c r="H982">
        <v>58.33</v>
      </c>
      <c r="I982">
        <v>0</v>
      </c>
      <c r="J982">
        <v>-58.33</v>
      </c>
      <c r="M982" s="7"/>
    </row>
    <row r="983" spans="2:13" customFormat="1" x14ac:dyDescent="0.25">
      <c r="B983" t="s">
        <v>572</v>
      </c>
      <c r="C983" t="s">
        <v>40</v>
      </c>
      <c r="D983" t="s">
        <v>891</v>
      </c>
      <c r="E983" t="s">
        <v>227</v>
      </c>
      <c r="F983" t="s">
        <v>133</v>
      </c>
      <c r="H983">
        <v>1575218.41</v>
      </c>
      <c r="I983">
        <v>1451902.22</v>
      </c>
      <c r="J983">
        <v>-727318.65</v>
      </c>
      <c r="M983" s="7"/>
    </row>
    <row r="984" spans="2:13" customFormat="1" x14ac:dyDescent="0.25">
      <c r="B984" t="s">
        <v>572</v>
      </c>
      <c r="C984" t="s">
        <v>310</v>
      </c>
      <c r="D984" t="s">
        <v>891</v>
      </c>
      <c r="E984" t="s">
        <v>311</v>
      </c>
      <c r="F984" t="s">
        <v>312</v>
      </c>
      <c r="H984">
        <v>66691.92</v>
      </c>
      <c r="I984">
        <v>84595.51</v>
      </c>
      <c r="J984">
        <v>17903.59</v>
      </c>
      <c r="M984" s="7"/>
    </row>
    <row r="985" spans="2:13" customFormat="1" x14ac:dyDescent="0.25">
      <c r="B985" t="s">
        <v>572</v>
      </c>
      <c r="C985" t="s">
        <v>313</v>
      </c>
      <c r="D985" t="s">
        <v>891</v>
      </c>
      <c r="E985" t="s">
        <v>314</v>
      </c>
      <c r="F985" t="s">
        <v>315</v>
      </c>
      <c r="H985">
        <v>3044.12</v>
      </c>
      <c r="I985">
        <v>3044.12</v>
      </c>
      <c r="J985">
        <v>0</v>
      </c>
      <c r="M985" s="7"/>
    </row>
    <row r="986" spans="2:13" customFormat="1" x14ac:dyDescent="0.25">
      <c r="B986" t="s">
        <v>572</v>
      </c>
      <c r="C986" t="s">
        <v>316</v>
      </c>
      <c r="D986" t="s">
        <v>891</v>
      </c>
      <c r="E986" t="s">
        <v>317</v>
      </c>
      <c r="F986" t="s">
        <v>318</v>
      </c>
      <c r="H986">
        <v>3472.66</v>
      </c>
      <c r="I986">
        <v>3416.09</v>
      </c>
      <c r="J986">
        <v>-27619.21</v>
      </c>
      <c r="M986" s="7"/>
    </row>
    <row r="987" spans="2:13" customFormat="1" x14ac:dyDescent="0.25">
      <c r="B987" t="s">
        <v>572</v>
      </c>
      <c r="C987" t="s">
        <v>319</v>
      </c>
      <c r="D987" t="s">
        <v>891</v>
      </c>
      <c r="E987" t="s">
        <v>320</v>
      </c>
      <c r="F987" t="s">
        <v>321</v>
      </c>
      <c r="H987">
        <v>2177.96</v>
      </c>
      <c r="I987">
        <v>0</v>
      </c>
      <c r="J987">
        <v>-13540.47</v>
      </c>
      <c r="M987" s="7"/>
    </row>
    <row r="988" spans="2:13" customFormat="1" x14ac:dyDescent="0.25">
      <c r="B988" t="s">
        <v>572</v>
      </c>
      <c r="C988" t="s">
        <v>488</v>
      </c>
      <c r="D988" t="s">
        <v>891</v>
      </c>
      <c r="E988" t="s">
        <v>489</v>
      </c>
      <c r="F988" t="s">
        <v>490</v>
      </c>
      <c r="H988">
        <v>0</v>
      </c>
      <c r="I988">
        <v>157.63999999999999</v>
      </c>
      <c r="J988">
        <v>0</v>
      </c>
      <c r="M988" s="7"/>
    </row>
    <row r="989" spans="2:13" customFormat="1" x14ac:dyDescent="0.25">
      <c r="B989" t="s">
        <v>572</v>
      </c>
      <c r="C989" t="s">
        <v>322</v>
      </c>
      <c r="D989" t="s">
        <v>891</v>
      </c>
      <c r="E989" t="s">
        <v>323</v>
      </c>
      <c r="F989" t="s">
        <v>324</v>
      </c>
      <c r="H989">
        <v>14100.75</v>
      </c>
      <c r="I989">
        <v>12029.34</v>
      </c>
      <c r="J989">
        <v>-11488.47</v>
      </c>
      <c r="M989" s="7"/>
    </row>
    <row r="990" spans="2:13" customFormat="1" x14ac:dyDescent="0.25">
      <c r="B990" t="s">
        <v>572</v>
      </c>
      <c r="C990" t="s">
        <v>325</v>
      </c>
      <c r="D990" t="s">
        <v>891</v>
      </c>
      <c r="E990" t="s">
        <v>326</v>
      </c>
      <c r="F990" t="s">
        <v>327</v>
      </c>
      <c r="H990">
        <v>5538.24</v>
      </c>
      <c r="I990">
        <v>5564.62</v>
      </c>
      <c r="J990">
        <v>-2728.02</v>
      </c>
      <c r="M990" s="7"/>
    </row>
    <row r="991" spans="2:13" customFormat="1" x14ac:dyDescent="0.25">
      <c r="B991" t="s">
        <v>572</v>
      </c>
      <c r="C991" t="s">
        <v>328</v>
      </c>
      <c r="D991" t="s">
        <v>891</v>
      </c>
      <c r="E991" t="s">
        <v>329</v>
      </c>
      <c r="F991" t="s">
        <v>171</v>
      </c>
      <c r="H991">
        <v>948.05</v>
      </c>
      <c r="I991">
        <v>932.6</v>
      </c>
      <c r="J991">
        <v>-7540.04</v>
      </c>
      <c r="M991" s="7"/>
    </row>
    <row r="992" spans="2:13" customFormat="1" x14ac:dyDescent="0.25">
      <c r="B992" t="s">
        <v>572</v>
      </c>
      <c r="C992" t="s">
        <v>330</v>
      </c>
      <c r="D992" t="s">
        <v>891</v>
      </c>
      <c r="E992" t="s">
        <v>331</v>
      </c>
      <c r="F992" t="s">
        <v>332</v>
      </c>
      <c r="H992">
        <v>594.6</v>
      </c>
      <c r="I992">
        <v>0.01</v>
      </c>
      <c r="J992">
        <v>-3696.55</v>
      </c>
      <c r="M992" s="7"/>
    </row>
    <row r="993" spans="2:13" customFormat="1" x14ac:dyDescent="0.25">
      <c r="B993" t="s">
        <v>572</v>
      </c>
      <c r="C993" t="s">
        <v>333</v>
      </c>
      <c r="D993" t="s">
        <v>891</v>
      </c>
      <c r="E993" t="s">
        <v>334</v>
      </c>
      <c r="F993" t="s">
        <v>172</v>
      </c>
      <c r="H993">
        <v>277.8</v>
      </c>
      <c r="I993">
        <v>273.29000000000002</v>
      </c>
      <c r="J993">
        <v>-2209.54</v>
      </c>
      <c r="M993" s="7"/>
    </row>
    <row r="994" spans="2:13" customFormat="1" x14ac:dyDescent="0.25">
      <c r="B994" t="s">
        <v>572</v>
      </c>
      <c r="C994" t="s">
        <v>335</v>
      </c>
      <c r="D994" t="s">
        <v>891</v>
      </c>
      <c r="E994" t="s">
        <v>336</v>
      </c>
      <c r="F994" t="s">
        <v>337</v>
      </c>
      <c r="H994">
        <v>174.24</v>
      </c>
      <c r="I994">
        <v>0</v>
      </c>
      <c r="J994">
        <v>-1083.24</v>
      </c>
      <c r="M994" s="7"/>
    </row>
    <row r="995" spans="2:13" customFormat="1" x14ac:dyDescent="0.25">
      <c r="B995" t="s">
        <v>572</v>
      </c>
      <c r="C995" t="s">
        <v>503</v>
      </c>
      <c r="D995" t="s">
        <v>891</v>
      </c>
      <c r="E995" t="s">
        <v>504</v>
      </c>
      <c r="F995" t="s">
        <v>505</v>
      </c>
      <c r="H995">
        <v>914.44</v>
      </c>
      <c r="I995">
        <v>914.44</v>
      </c>
      <c r="J995">
        <v>0</v>
      </c>
      <c r="M995" s="7"/>
    </row>
    <row r="996" spans="2:13" customFormat="1" x14ac:dyDescent="0.25">
      <c r="B996" t="s">
        <v>572</v>
      </c>
      <c r="C996" t="s">
        <v>365</v>
      </c>
      <c r="D996" t="s">
        <v>891</v>
      </c>
      <c r="E996" t="s">
        <v>366</v>
      </c>
      <c r="F996" t="s">
        <v>367</v>
      </c>
      <c r="H996">
        <v>6304.48</v>
      </c>
      <c r="I996">
        <v>4509.22</v>
      </c>
      <c r="J996">
        <v>-6304.48</v>
      </c>
      <c r="M996" s="7"/>
    </row>
    <row r="997" spans="2:13" customFormat="1" x14ac:dyDescent="0.25">
      <c r="B997" t="s">
        <v>572</v>
      </c>
      <c r="C997" t="s">
        <v>368</v>
      </c>
      <c r="D997" t="s">
        <v>891</v>
      </c>
      <c r="E997" t="s">
        <v>369</v>
      </c>
      <c r="F997" t="s">
        <v>370</v>
      </c>
      <c r="H997">
        <v>2989.61</v>
      </c>
      <c r="I997">
        <v>2705.53</v>
      </c>
      <c r="J997">
        <v>-2989.61</v>
      </c>
      <c r="M997" s="7"/>
    </row>
    <row r="998" spans="2:13" customFormat="1" x14ac:dyDescent="0.25">
      <c r="B998" t="s">
        <v>572</v>
      </c>
      <c r="C998" t="s">
        <v>491</v>
      </c>
      <c r="D998" t="s">
        <v>891</v>
      </c>
      <c r="E998" t="s">
        <v>492</v>
      </c>
      <c r="F998" t="s">
        <v>493</v>
      </c>
      <c r="H998">
        <v>0</v>
      </c>
      <c r="I998">
        <v>9581.83</v>
      </c>
      <c r="J998">
        <v>9581.83</v>
      </c>
      <c r="M998" s="7"/>
    </row>
    <row r="999" spans="2:13" customFormat="1" x14ac:dyDescent="0.25">
      <c r="B999" t="s">
        <v>572</v>
      </c>
      <c r="C999" t="s">
        <v>79</v>
      </c>
      <c r="D999" t="s">
        <v>891</v>
      </c>
      <c r="E999" t="s">
        <v>234</v>
      </c>
      <c r="F999" t="s">
        <v>140</v>
      </c>
      <c r="H999">
        <v>75.87</v>
      </c>
      <c r="I999">
        <v>0</v>
      </c>
      <c r="J999">
        <v>-121.83</v>
      </c>
      <c r="M999" s="7"/>
    </row>
    <row r="1000" spans="2:13" customFormat="1" x14ac:dyDescent="0.25">
      <c r="B1000" t="s">
        <v>572</v>
      </c>
      <c r="C1000" t="s">
        <v>44</v>
      </c>
      <c r="D1000" t="s">
        <v>891</v>
      </c>
      <c r="E1000" t="s">
        <v>235</v>
      </c>
      <c r="F1000" t="s">
        <v>141</v>
      </c>
      <c r="H1000">
        <v>65.22</v>
      </c>
      <c r="I1000">
        <v>0</v>
      </c>
      <c r="J1000">
        <v>-65.22</v>
      </c>
      <c r="M1000" s="7"/>
    </row>
    <row r="1001" spans="2:13" customFormat="1" x14ac:dyDescent="0.25">
      <c r="B1001" t="s">
        <v>572</v>
      </c>
      <c r="C1001" t="s">
        <v>45</v>
      </c>
      <c r="D1001" t="s">
        <v>891</v>
      </c>
      <c r="E1001" t="s">
        <v>236</v>
      </c>
      <c r="F1001" t="s">
        <v>142</v>
      </c>
      <c r="H1001">
        <v>269.27999999999997</v>
      </c>
      <c r="I1001">
        <v>0</v>
      </c>
      <c r="J1001">
        <v>-269.27999999999997</v>
      </c>
      <c r="M1001" s="7"/>
    </row>
    <row r="1002" spans="2:13" customFormat="1" x14ac:dyDescent="0.25">
      <c r="B1002" t="s">
        <v>572</v>
      </c>
      <c r="C1002" t="s">
        <v>338</v>
      </c>
      <c r="D1002" t="s">
        <v>891</v>
      </c>
      <c r="E1002" t="s">
        <v>339</v>
      </c>
      <c r="F1002" t="s">
        <v>340</v>
      </c>
      <c r="H1002">
        <v>173.86</v>
      </c>
      <c r="I1002">
        <v>325.98</v>
      </c>
      <c r="J1002">
        <v>0</v>
      </c>
      <c r="M1002" s="7"/>
    </row>
    <row r="1003" spans="2:13" customFormat="1" x14ac:dyDescent="0.25">
      <c r="B1003" t="s">
        <v>572</v>
      </c>
      <c r="C1003" t="s">
        <v>341</v>
      </c>
      <c r="D1003" t="s">
        <v>891</v>
      </c>
      <c r="E1003" t="s">
        <v>342</v>
      </c>
      <c r="F1003" t="s">
        <v>343</v>
      </c>
      <c r="H1003">
        <v>216.24</v>
      </c>
      <c r="I1003">
        <v>0</v>
      </c>
      <c r="J1003">
        <v>-1879.05</v>
      </c>
      <c r="M1003" s="7"/>
    </row>
    <row r="1004" spans="2:13" customFormat="1" x14ac:dyDescent="0.25">
      <c r="B1004" t="s">
        <v>572</v>
      </c>
      <c r="C1004" t="s">
        <v>46</v>
      </c>
      <c r="D1004" t="s">
        <v>891</v>
      </c>
      <c r="E1004" t="s">
        <v>237</v>
      </c>
      <c r="F1004" t="s">
        <v>143</v>
      </c>
      <c r="H1004">
        <v>0</v>
      </c>
      <c r="I1004">
        <v>0</v>
      </c>
      <c r="J1004">
        <v>-1000</v>
      </c>
      <c r="M1004" s="7"/>
    </row>
    <row r="1005" spans="2:13" customFormat="1" x14ac:dyDescent="0.25">
      <c r="B1005" t="s">
        <v>572</v>
      </c>
      <c r="C1005" t="s">
        <v>47</v>
      </c>
      <c r="D1005" t="s">
        <v>891</v>
      </c>
      <c r="E1005" t="s">
        <v>238</v>
      </c>
      <c r="F1005" t="s">
        <v>144</v>
      </c>
      <c r="H1005">
        <v>0</v>
      </c>
      <c r="I1005">
        <v>0</v>
      </c>
      <c r="J1005">
        <v>-2981603.25</v>
      </c>
      <c r="M1005" s="7"/>
    </row>
    <row r="1006" spans="2:13" customFormat="1" x14ac:dyDescent="0.25">
      <c r="B1006" t="s">
        <v>572</v>
      </c>
      <c r="C1006" t="s">
        <v>80</v>
      </c>
      <c r="D1006" t="s">
        <v>891</v>
      </c>
      <c r="E1006" t="s">
        <v>239</v>
      </c>
      <c r="F1006" t="s">
        <v>145</v>
      </c>
      <c r="H1006">
        <v>0</v>
      </c>
      <c r="I1006">
        <v>0</v>
      </c>
      <c r="J1006">
        <v>-511000</v>
      </c>
      <c r="M1006" s="7"/>
    </row>
    <row r="1007" spans="2:13" customFormat="1" x14ac:dyDescent="0.25">
      <c r="B1007" t="s">
        <v>572</v>
      </c>
      <c r="C1007" t="s">
        <v>371</v>
      </c>
      <c r="D1007" t="s">
        <v>891</v>
      </c>
      <c r="E1007" t="s">
        <v>372</v>
      </c>
      <c r="F1007" t="s">
        <v>373</v>
      </c>
      <c r="H1007">
        <v>749712.63</v>
      </c>
      <c r="I1007">
        <v>0</v>
      </c>
      <c r="J1007">
        <v>-2225626.7599999998</v>
      </c>
      <c r="M1007" s="7"/>
    </row>
    <row r="1008" spans="2:13" customFormat="1" x14ac:dyDescent="0.25">
      <c r="B1008" t="s">
        <v>572</v>
      </c>
      <c r="C1008" t="s">
        <v>374</v>
      </c>
      <c r="D1008" t="s">
        <v>891</v>
      </c>
      <c r="E1008" t="s">
        <v>375</v>
      </c>
      <c r="F1008" t="s">
        <v>376</v>
      </c>
      <c r="H1008">
        <v>23685.15</v>
      </c>
      <c r="I1008">
        <v>0</v>
      </c>
      <c r="J1008">
        <v>-70339.81</v>
      </c>
      <c r="M1008" s="7"/>
    </row>
    <row r="1009" spans="2:13" customFormat="1" x14ac:dyDescent="0.25">
      <c r="B1009" t="s">
        <v>572</v>
      </c>
      <c r="C1009" t="s">
        <v>434</v>
      </c>
      <c r="D1009" t="s">
        <v>891</v>
      </c>
      <c r="E1009" t="s">
        <v>435</v>
      </c>
      <c r="F1009" t="s">
        <v>436</v>
      </c>
      <c r="H1009">
        <v>825586.26</v>
      </c>
      <c r="I1009">
        <v>0</v>
      </c>
      <c r="J1009">
        <v>-2434058.3199999998</v>
      </c>
      <c r="M1009" s="7"/>
    </row>
    <row r="1010" spans="2:13" customFormat="1" x14ac:dyDescent="0.25">
      <c r="B1010" t="s">
        <v>572</v>
      </c>
      <c r="C1010" t="s">
        <v>377</v>
      </c>
      <c r="D1010" t="s">
        <v>891</v>
      </c>
      <c r="E1010" t="s">
        <v>378</v>
      </c>
      <c r="F1010" t="s">
        <v>379</v>
      </c>
      <c r="H1010">
        <v>27375</v>
      </c>
      <c r="I1010">
        <v>1507091.24</v>
      </c>
      <c r="J1010">
        <v>4387153.57</v>
      </c>
      <c r="M1010" s="7"/>
    </row>
    <row r="1011" spans="2:13" customFormat="1" x14ac:dyDescent="0.25">
      <c r="B1011" t="s">
        <v>572</v>
      </c>
      <c r="C1011" t="s">
        <v>55</v>
      </c>
      <c r="D1011" t="s">
        <v>891</v>
      </c>
      <c r="E1011" t="s">
        <v>252</v>
      </c>
      <c r="F1011" t="s">
        <v>158</v>
      </c>
      <c r="H1011">
        <v>18203.54</v>
      </c>
      <c r="I1011">
        <v>19841.63</v>
      </c>
      <c r="J1011">
        <v>53075.24</v>
      </c>
      <c r="M1011" s="7"/>
    </row>
    <row r="1012" spans="2:13" customFormat="1" x14ac:dyDescent="0.25">
      <c r="B1012" t="s">
        <v>572</v>
      </c>
      <c r="C1012" t="s">
        <v>56</v>
      </c>
      <c r="D1012" t="s">
        <v>891</v>
      </c>
      <c r="E1012" t="s">
        <v>253</v>
      </c>
      <c r="F1012" t="s">
        <v>159</v>
      </c>
      <c r="H1012">
        <v>10500.81</v>
      </c>
      <c r="I1012">
        <v>8468.42</v>
      </c>
      <c r="J1012">
        <v>16601.23</v>
      </c>
      <c r="M1012" s="7"/>
    </row>
    <row r="1013" spans="2:13" customFormat="1" x14ac:dyDescent="0.25">
      <c r="B1013" t="s">
        <v>572</v>
      </c>
      <c r="C1013" t="s">
        <v>57</v>
      </c>
      <c r="D1013" t="s">
        <v>891</v>
      </c>
      <c r="E1013" t="s">
        <v>254</v>
      </c>
      <c r="F1013" t="s">
        <v>160</v>
      </c>
      <c r="H1013">
        <v>269.3</v>
      </c>
      <c r="I1013">
        <v>0</v>
      </c>
      <c r="J1013">
        <v>-351.34</v>
      </c>
      <c r="M1013" s="7"/>
    </row>
    <row r="1014" spans="2:13" customFormat="1" x14ac:dyDescent="0.25">
      <c r="B1014" t="s">
        <v>572</v>
      </c>
      <c r="C1014" t="s">
        <v>58</v>
      </c>
      <c r="D1014" t="s">
        <v>891</v>
      </c>
      <c r="E1014" t="s">
        <v>255</v>
      </c>
      <c r="F1014" t="s">
        <v>161</v>
      </c>
      <c r="H1014">
        <v>49.85</v>
      </c>
      <c r="I1014">
        <v>3472.66</v>
      </c>
      <c r="J1014">
        <v>31537.360000000001</v>
      </c>
      <c r="M1014" s="7"/>
    </row>
    <row r="1015" spans="2:13" customFormat="1" x14ac:dyDescent="0.25">
      <c r="B1015" t="s">
        <v>572</v>
      </c>
      <c r="C1015" t="s">
        <v>59</v>
      </c>
      <c r="D1015" t="s">
        <v>891</v>
      </c>
      <c r="E1015" t="s">
        <v>256</v>
      </c>
      <c r="F1015" t="s">
        <v>162</v>
      </c>
      <c r="H1015">
        <v>0</v>
      </c>
      <c r="I1015">
        <v>2177.96</v>
      </c>
      <c r="J1015">
        <v>-28017.56</v>
      </c>
      <c r="M1015" s="7"/>
    </row>
    <row r="1016" spans="2:13" customFormat="1" x14ac:dyDescent="0.25">
      <c r="B1016" t="s">
        <v>572</v>
      </c>
      <c r="C1016" t="s">
        <v>506</v>
      </c>
      <c r="D1016" t="s">
        <v>891</v>
      </c>
      <c r="E1016" t="s">
        <v>507</v>
      </c>
      <c r="F1016" t="s">
        <v>508</v>
      </c>
      <c r="H1016">
        <v>0</v>
      </c>
      <c r="I1016">
        <v>5444.35</v>
      </c>
      <c r="J1016">
        <v>17674.169999999998</v>
      </c>
      <c r="M1016" s="7"/>
    </row>
    <row r="1017" spans="2:13" customFormat="1" x14ac:dyDescent="0.25">
      <c r="B1017" t="s">
        <v>572</v>
      </c>
      <c r="C1017" t="s">
        <v>60</v>
      </c>
      <c r="D1017" t="s">
        <v>891</v>
      </c>
      <c r="E1017" t="s">
        <v>258</v>
      </c>
      <c r="F1017" t="s">
        <v>164</v>
      </c>
      <c r="H1017">
        <v>0</v>
      </c>
      <c r="I1017">
        <v>2499.4699999999998</v>
      </c>
      <c r="J1017">
        <v>7576.64</v>
      </c>
      <c r="M1017" s="7"/>
    </row>
    <row r="1018" spans="2:13" customFormat="1" x14ac:dyDescent="0.25">
      <c r="B1018" t="s">
        <v>572</v>
      </c>
      <c r="C1018" t="s">
        <v>509</v>
      </c>
      <c r="D1018" t="s">
        <v>891</v>
      </c>
      <c r="E1018" t="s">
        <v>510</v>
      </c>
      <c r="F1018" t="s">
        <v>511</v>
      </c>
      <c r="H1018">
        <v>0</v>
      </c>
      <c r="I1018">
        <v>114.81</v>
      </c>
      <c r="J1018">
        <v>184.89</v>
      </c>
      <c r="M1018" s="7"/>
    </row>
    <row r="1019" spans="2:13" customFormat="1" x14ac:dyDescent="0.25">
      <c r="B1019" t="s">
        <v>572</v>
      </c>
      <c r="C1019" t="s">
        <v>61</v>
      </c>
      <c r="D1019" t="s">
        <v>891</v>
      </c>
      <c r="E1019" t="s">
        <v>259</v>
      </c>
      <c r="F1019" t="s">
        <v>165</v>
      </c>
      <c r="H1019">
        <v>0</v>
      </c>
      <c r="I1019">
        <v>2728.02</v>
      </c>
      <c r="J1019">
        <v>8466.15</v>
      </c>
      <c r="M1019" s="7"/>
    </row>
    <row r="1020" spans="2:13" customFormat="1" x14ac:dyDescent="0.25">
      <c r="B1020" t="s">
        <v>572</v>
      </c>
      <c r="C1020" t="s">
        <v>62</v>
      </c>
      <c r="D1020" t="s">
        <v>891</v>
      </c>
      <c r="E1020" t="s">
        <v>260</v>
      </c>
      <c r="F1020" t="s">
        <v>166</v>
      </c>
      <c r="H1020">
        <v>10800.25</v>
      </c>
      <c r="I1020">
        <v>11045.33</v>
      </c>
      <c r="J1020">
        <v>-512.83000000000004</v>
      </c>
      <c r="M1020" s="7"/>
    </row>
    <row r="1021" spans="2:13" customFormat="1" x14ac:dyDescent="0.25">
      <c r="B1021" t="s">
        <v>572</v>
      </c>
      <c r="C1021" t="s">
        <v>512</v>
      </c>
      <c r="D1021" t="s">
        <v>891</v>
      </c>
      <c r="E1021" t="s">
        <v>513</v>
      </c>
      <c r="F1021" t="s">
        <v>514</v>
      </c>
      <c r="H1021">
        <v>0</v>
      </c>
      <c r="I1021">
        <v>2220</v>
      </c>
      <c r="J1021">
        <v>7618.07</v>
      </c>
      <c r="M1021" s="7"/>
    </row>
    <row r="1022" spans="2:13" customFormat="1" x14ac:dyDescent="0.25">
      <c r="B1022" t="s">
        <v>572</v>
      </c>
      <c r="C1022" t="s">
        <v>207</v>
      </c>
      <c r="D1022" t="s">
        <v>891</v>
      </c>
      <c r="E1022" t="s">
        <v>299</v>
      </c>
      <c r="F1022" t="s">
        <v>208</v>
      </c>
      <c r="H1022">
        <v>113.85</v>
      </c>
      <c r="I1022">
        <v>13048.96</v>
      </c>
      <c r="J1022">
        <v>32131.61</v>
      </c>
      <c r="M1022" s="7"/>
    </row>
    <row r="1023" spans="2:13" customFormat="1" x14ac:dyDescent="0.25">
      <c r="B1023" t="s">
        <v>572</v>
      </c>
      <c r="C1023" t="s">
        <v>63</v>
      </c>
      <c r="D1023" t="s">
        <v>891</v>
      </c>
      <c r="E1023" t="s">
        <v>261</v>
      </c>
      <c r="F1023" t="s">
        <v>167</v>
      </c>
      <c r="H1023">
        <v>1357</v>
      </c>
      <c r="I1023">
        <v>2530</v>
      </c>
      <c r="J1023">
        <v>6100.13</v>
      </c>
      <c r="M1023" s="7"/>
    </row>
    <row r="1024" spans="2:13" customFormat="1" x14ac:dyDescent="0.25">
      <c r="B1024" t="s">
        <v>572</v>
      </c>
      <c r="C1024" t="s">
        <v>380</v>
      </c>
      <c r="D1024" t="s">
        <v>891</v>
      </c>
      <c r="E1024" t="s">
        <v>381</v>
      </c>
      <c r="F1024" t="s">
        <v>382</v>
      </c>
      <c r="H1024">
        <v>175.59</v>
      </c>
      <c r="I1024">
        <v>0</v>
      </c>
      <c r="J1024">
        <v>-1053.54</v>
      </c>
      <c r="M1024" s="7"/>
    </row>
    <row r="1025" spans="2:13" customFormat="1" x14ac:dyDescent="0.25">
      <c r="B1025" t="s">
        <v>572</v>
      </c>
      <c r="C1025" t="s">
        <v>64</v>
      </c>
      <c r="D1025" t="s">
        <v>891</v>
      </c>
      <c r="E1025" t="s">
        <v>265</v>
      </c>
      <c r="F1025" t="s">
        <v>171</v>
      </c>
      <c r="H1025">
        <v>17.62</v>
      </c>
      <c r="I1025">
        <v>1994.69</v>
      </c>
      <c r="J1025">
        <v>16079.67</v>
      </c>
      <c r="M1025" s="7"/>
    </row>
    <row r="1026" spans="2:13" customFormat="1" x14ac:dyDescent="0.25">
      <c r="B1026" t="s">
        <v>572</v>
      </c>
      <c r="C1026" t="s">
        <v>65</v>
      </c>
      <c r="D1026" t="s">
        <v>891</v>
      </c>
      <c r="E1026" t="s">
        <v>269</v>
      </c>
      <c r="F1026" t="s">
        <v>175</v>
      </c>
      <c r="H1026">
        <v>1271.08</v>
      </c>
      <c r="I1026">
        <v>13741.48</v>
      </c>
      <c r="J1026">
        <v>28414.19</v>
      </c>
      <c r="M1026" s="7"/>
    </row>
    <row r="1027" spans="2:13" customFormat="1" x14ac:dyDescent="0.25">
      <c r="B1027" t="s">
        <v>572</v>
      </c>
      <c r="C1027" t="s">
        <v>67</v>
      </c>
      <c r="D1027" t="s">
        <v>891</v>
      </c>
      <c r="E1027" t="s">
        <v>276</v>
      </c>
      <c r="F1027" t="s">
        <v>182</v>
      </c>
      <c r="H1027">
        <v>0</v>
      </c>
      <c r="I1027">
        <v>1112</v>
      </c>
      <c r="J1027">
        <v>19296.3</v>
      </c>
      <c r="M1027" s="7"/>
    </row>
    <row r="1028" spans="2:13" customFormat="1" x14ac:dyDescent="0.25">
      <c r="B1028" t="s">
        <v>572</v>
      </c>
      <c r="C1028" t="s">
        <v>497</v>
      </c>
      <c r="D1028" t="s">
        <v>891</v>
      </c>
      <c r="E1028" t="s">
        <v>498</v>
      </c>
      <c r="F1028" t="s">
        <v>499</v>
      </c>
      <c r="H1028">
        <v>0</v>
      </c>
      <c r="I1028">
        <v>2624.43</v>
      </c>
      <c r="J1028">
        <v>2624.43</v>
      </c>
      <c r="M1028" s="7"/>
    </row>
    <row r="1029" spans="2:13" customFormat="1" x14ac:dyDescent="0.25">
      <c r="B1029" t="s">
        <v>572</v>
      </c>
      <c r="C1029" t="s">
        <v>68</v>
      </c>
      <c r="D1029" t="s">
        <v>891</v>
      </c>
      <c r="E1029" t="s">
        <v>279</v>
      </c>
      <c r="F1029" t="s">
        <v>185</v>
      </c>
      <c r="H1029">
        <v>0</v>
      </c>
      <c r="I1029">
        <v>3793.47</v>
      </c>
      <c r="J1029">
        <v>3793.47</v>
      </c>
      <c r="M1029" s="7"/>
    </row>
    <row r="1030" spans="2:13" customFormat="1" x14ac:dyDescent="0.25">
      <c r="B1030" t="s">
        <v>572</v>
      </c>
      <c r="C1030" t="s">
        <v>107</v>
      </c>
      <c r="D1030" t="s">
        <v>891</v>
      </c>
      <c r="E1030" t="s">
        <v>283</v>
      </c>
      <c r="F1030" t="s">
        <v>189</v>
      </c>
      <c r="H1030">
        <v>168.63</v>
      </c>
      <c r="I1030">
        <v>1823.07</v>
      </c>
      <c r="J1030">
        <v>1654.44</v>
      </c>
      <c r="M1030" s="7"/>
    </row>
    <row r="1031" spans="2:13" customFormat="1" x14ac:dyDescent="0.25">
      <c r="B1031" t="s">
        <v>572</v>
      </c>
      <c r="C1031" t="s">
        <v>70</v>
      </c>
      <c r="D1031" t="s">
        <v>891</v>
      </c>
      <c r="E1031" t="s">
        <v>286</v>
      </c>
      <c r="F1031" t="s">
        <v>192</v>
      </c>
      <c r="H1031">
        <v>0</v>
      </c>
      <c r="I1031">
        <v>1282.8</v>
      </c>
      <c r="J1031">
        <v>3879.8</v>
      </c>
      <c r="M1031" s="7"/>
    </row>
    <row r="1032" spans="2:13" customFormat="1" x14ac:dyDescent="0.25">
      <c r="B1032" t="s">
        <v>572</v>
      </c>
      <c r="C1032" t="s">
        <v>109</v>
      </c>
      <c r="D1032" t="s">
        <v>891</v>
      </c>
      <c r="E1032" t="s">
        <v>287</v>
      </c>
      <c r="F1032" t="s">
        <v>193</v>
      </c>
      <c r="H1032">
        <v>0</v>
      </c>
      <c r="I1032">
        <v>1300</v>
      </c>
      <c r="J1032">
        <v>1300</v>
      </c>
      <c r="M1032" s="7"/>
    </row>
    <row r="1033" spans="2:13" customFormat="1" x14ac:dyDescent="0.25">
      <c r="B1033" t="s">
        <v>572</v>
      </c>
      <c r="C1033" t="s">
        <v>111</v>
      </c>
      <c r="D1033" t="s">
        <v>891</v>
      </c>
      <c r="E1033" t="s">
        <v>289</v>
      </c>
      <c r="F1033" t="s">
        <v>195</v>
      </c>
      <c r="H1033">
        <v>0</v>
      </c>
      <c r="I1033">
        <v>1859.84</v>
      </c>
      <c r="J1033">
        <v>1859.84</v>
      </c>
      <c r="M1033" s="7"/>
    </row>
    <row r="1034" spans="2:13" customFormat="1" x14ac:dyDescent="0.25">
      <c r="B1034" t="s">
        <v>572</v>
      </c>
      <c r="C1034" t="s">
        <v>398</v>
      </c>
      <c r="D1034" t="s">
        <v>891</v>
      </c>
      <c r="E1034" t="s">
        <v>399</v>
      </c>
      <c r="F1034" t="s">
        <v>400</v>
      </c>
      <c r="H1034">
        <v>0</v>
      </c>
      <c r="I1034">
        <v>10480.620000000001</v>
      </c>
      <c r="J1034">
        <v>10480.620000000001</v>
      </c>
      <c r="M1034" s="7"/>
    </row>
    <row r="1035" spans="2:13" customFormat="1" x14ac:dyDescent="0.25">
      <c r="B1035" t="s">
        <v>572</v>
      </c>
      <c r="C1035" t="s">
        <v>443</v>
      </c>
      <c r="D1035" t="s">
        <v>891</v>
      </c>
      <c r="E1035" t="s">
        <v>444</v>
      </c>
      <c r="F1035" t="s">
        <v>445</v>
      </c>
      <c r="H1035">
        <v>0</v>
      </c>
      <c r="I1035">
        <v>58.33</v>
      </c>
      <c r="J1035">
        <v>58.33</v>
      </c>
      <c r="M1035" s="7"/>
    </row>
    <row r="1036" spans="2:13" customFormat="1" x14ac:dyDescent="0.25">
      <c r="B1036" t="s">
        <v>572</v>
      </c>
      <c r="C1036" t="s">
        <v>71</v>
      </c>
      <c r="D1036" t="s">
        <v>891</v>
      </c>
      <c r="E1036" t="s">
        <v>291</v>
      </c>
      <c r="F1036" t="s">
        <v>197</v>
      </c>
      <c r="H1036">
        <v>0</v>
      </c>
      <c r="I1036">
        <v>580.16999999999996</v>
      </c>
      <c r="J1036">
        <v>662.77</v>
      </c>
      <c r="M1036" s="7"/>
    </row>
    <row r="1037" spans="2:13" customFormat="1" x14ac:dyDescent="0.25">
      <c r="B1037" t="s">
        <v>572</v>
      </c>
      <c r="C1037" t="s">
        <v>72</v>
      </c>
      <c r="D1037" t="s">
        <v>891</v>
      </c>
      <c r="E1037" t="s">
        <v>292</v>
      </c>
      <c r="F1037" t="s">
        <v>198</v>
      </c>
      <c r="H1037">
        <v>0</v>
      </c>
      <c r="I1037">
        <v>140.99</v>
      </c>
      <c r="J1037">
        <v>646.64</v>
      </c>
      <c r="M1037" s="7"/>
    </row>
    <row r="1038" spans="2:13" customFormat="1" x14ac:dyDescent="0.25">
      <c r="B1038" t="s">
        <v>572</v>
      </c>
      <c r="C1038" t="s">
        <v>73</v>
      </c>
      <c r="D1038" t="s">
        <v>891</v>
      </c>
      <c r="E1038" t="s">
        <v>293</v>
      </c>
      <c r="F1038" t="s">
        <v>199</v>
      </c>
      <c r="H1038">
        <v>0</v>
      </c>
      <c r="I1038">
        <v>192.98</v>
      </c>
      <c r="J1038">
        <v>497.51</v>
      </c>
      <c r="M1038" s="7"/>
    </row>
    <row r="1039" spans="2:13" customFormat="1" x14ac:dyDescent="0.25">
      <c r="B1039" t="s">
        <v>572</v>
      </c>
      <c r="C1039" t="s">
        <v>74</v>
      </c>
      <c r="D1039" t="s">
        <v>891</v>
      </c>
      <c r="E1039" t="s">
        <v>294</v>
      </c>
      <c r="F1039" t="s">
        <v>200</v>
      </c>
      <c r="H1039">
        <v>0</v>
      </c>
      <c r="I1039">
        <v>16260.75</v>
      </c>
      <c r="J1039">
        <v>39173.53</v>
      </c>
      <c r="M1039" s="7"/>
    </row>
    <row r="1040" spans="2:13" customFormat="1" x14ac:dyDescent="0.25">
      <c r="B1040" t="s">
        <v>572</v>
      </c>
      <c r="C1040" t="s">
        <v>75</v>
      </c>
      <c r="D1040" t="s">
        <v>891</v>
      </c>
      <c r="E1040" t="s">
        <v>295</v>
      </c>
      <c r="F1040" t="s">
        <v>201</v>
      </c>
      <c r="H1040">
        <v>0</v>
      </c>
      <c r="I1040">
        <v>6304.48</v>
      </c>
      <c r="J1040">
        <v>10813.7</v>
      </c>
      <c r="M1040" s="7"/>
    </row>
    <row r="1041" spans="2:13" customFormat="1" x14ac:dyDescent="0.25">
      <c r="B1041" t="s">
        <v>572</v>
      </c>
      <c r="C1041" t="s">
        <v>76</v>
      </c>
      <c r="D1041" t="s">
        <v>891</v>
      </c>
      <c r="E1041" t="s">
        <v>296</v>
      </c>
      <c r="F1041" t="s">
        <v>202</v>
      </c>
      <c r="H1041">
        <v>0</v>
      </c>
      <c r="I1041">
        <v>2989.61</v>
      </c>
      <c r="J1041">
        <v>5695.14</v>
      </c>
      <c r="M1041" s="7"/>
    </row>
    <row r="1042" spans="2:13" customFormat="1" x14ac:dyDescent="0.25">
      <c r="B1042" t="s">
        <v>573</v>
      </c>
      <c r="C1042" t="s">
        <v>26</v>
      </c>
      <c r="D1042" t="s">
        <v>891</v>
      </c>
      <c r="E1042" t="s">
        <v>211</v>
      </c>
      <c r="F1042" t="s">
        <v>116</v>
      </c>
      <c r="H1042">
        <v>99875.1</v>
      </c>
      <c r="I1042">
        <v>99875.1</v>
      </c>
      <c r="J1042">
        <v>0</v>
      </c>
      <c r="M1042" s="7"/>
    </row>
    <row r="1043" spans="2:13" customFormat="1" x14ac:dyDescent="0.25">
      <c r="B1043" t="s">
        <v>573</v>
      </c>
      <c r="C1043" t="s">
        <v>27</v>
      </c>
      <c r="D1043" t="s">
        <v>891</v>
      </c>
      <c r="E1043" t="s">
        <v>212</v>
      </c>
      <c r="F1043" t="s">
        <v>117</v>
      </c>
      <c r="H1043">
        <v>17.97</v>
      </c>
      <c r="I1043">
        <v>847.82</v>
      </c>
      <c r="J1043">
        <v>829.85</v>
      </c>
      <c r="M1043" s="7"/>
    </row>
    <row r="1044" spans="2:13" customFormat="1" x14ac:dyDescent="0.25">
      <c r="B1044" t="s">
        <v>573</v>
      </c>
      <c r="C1044" t="s">
        <v>28</v>
      </c>
      <c r="D1044" t="s">
        <v>891</v>
      </c>
      <c r="E1044" t="s">
        <v>213</v>
      </c>
      <c r="F1044" t="s">
        <v>118</v>
      </c>
      <c r="H1044">
        <v>151781.49</v>
      </c>
      <c r="I1044">
        <v>69825.75</v>
      </c>
      <c r="J1044">
        <v>1935.5</v>
      </c>
      <c r="M1044" s="7"/>
    </row>
    <row r="1045" spans="2:13" customFormat="1" x14ac:dyDescent="0.25">
      <c r="B1045" t="s">
        <v>573</v>
      </c>
      <c r="C1045" t="s">
        <v>29</v>
      </c>
      <c r="D1045" t="s">
        <v>891</v>
      </c>
      <c r="E1045" t="s">
        <v>214</v>
      </c>
      <c r="F1045" t="s">
        <v>119</v>
      </c>
      <c r="H1045">
        <v>140048</v>
      </c>
      <c r="I1045">
        <v>99875.1</v>
      </c>
      <c r="J1045">
        <v>8225.5499999999993</v>
      </c>
      <c r="M1045" s="7"/>
    </row>
    <row r="1046" spans="2:13" customFormat="1" x14ac:dyDescent="0.25">
      <c r="B1046" t="s">
        <v>573</v>
      </c>
      <c r="C1046" t="s">
        <v>30</v>
      </c>
      <c r="D1046" t="s">
        <v>891</v>
      </c>
      <c r="E1046" t="s">
        <v>215</v>
      </c>
      <c r="F1046" t="s">
        <v>120</v>
      </c>
      <c r="H1046">
        <v>982908.22</v>
      </c>
      <c r="I1046">
        <v>1164180.07</v>
      </c>
      <c r="J1046">
        <v>277381.2</v>
      </c>
      <c r="M1046" s="7"/>
    </row>
    <row r="1047" spans="2:13" customFormat="1" x14ac:dyDescent="0.25">
      <c r="B1047" t="s">
        <v>573</v>
      </c>
      <c r="C1047" t="s">
        <v>500</v>
      </c>
      <c r="D1047" t="s">
        <v>891</v>
      </c>
      <c r="E1047" t="s">
        <v>501</v>
      </c>
      <c r="F1047" t="s">
        <v>502</v>
      </c>
      <c r="H1047">
        <v>24213.58</v>
      </c>
      <c r="I1047">
        <v>7973.68</v>
      </c>
      <c r="J1047">
        <v>-16239.9</v>
      </c>
      <c r="M1047" s="7"/>
    </row>
    <row r="1048" spans="2:13" customFormat="1" x14ac:dyDescent="0.25">
      <c r="B1048" t="s">
        <v>573</v>
      </c>
      <c r="C1048" t="s">
        <v>31</v>
      </c>
      <c r="D1048" t="s">
        <v>891</v>
      </c>
      <c r="E1048" t="s">
        <v>217</v>
      </c>
      <c r="F1048" t="s">
        <v>122</v>
      </c>
      <c r="H1048">
        <v>880375.91</v>
      </c>
      <c r="I1048">
        <v>880375.91</v>
      </c>
      <c r="J1048">
        <v>0</v>
      </c>
      <c r="M1048" s="7"/>
    </row>
    <row r="1049" spans="2:13" customFormat="1" x14ac:dyDescent="0.25">
      <c r="B1049" t="s">
        <v>573</v>
      </c>
      <c r="C1049" t="s">
        <v>32</v>
      </c>
      <c r="D1049" t="s">
        <v>891</v>
      </c>
      <c r="E1049" t="s">
        <v>218</v>
      </c>
      <c r="F1049" t="s">
        <v>123</v>
      </c>
      <c r="H1049">
        <v>0</v>
      </c>
      <c r="I1049">
        <v>13125</v>
      </c>
      <c r="J1049">
        <v>26625</v>
      </c>
      <c r="M1049" s="7"/>
    </row>
    <row r="1050" spans="2:13" customFormat="1" x14ac:dyDescent="0.25">
      <c r="B1050" t="s">
        <v>573</v>
      </c>
      <c r="C1050" t="s">
        <v>33</v>
      </c>
      <c r="D1050" t="s">
        <v>891</v>
      </c>
      <c r="E1050" t="s">
        <v>219</v>
      </c>
      <c r="F1050" t="s">
        <v>124</v>
      </c>
      <c r="H1050">
        <v>321665.99</v>
      </c>
      <c r="I1050">
        <v>332708.98</v>
      </c>
      <c r="J1050">
        <v>23237.35</v>
      </c>
      <c r="M1050" s="7"/>
    </row>
    <row r="1051" spans="2:13" customFormat="1" x14ac:dyDescent="0.25">
      <c r="B1051" t="s">
        <v>573</v>
      </c>
      <c r="C1051" t="s">
        <v>34</v>
      </c>
      <c r="D1051" t="s">
        <v>891</v>
      </c>
      <c r="E1051" t="s">
        <v>220</v>
      </c>
      <c r="F1051" t="s">
        <v>125</v>
      </c>
      <c r="H1051">
        <v>387208.92</v>
      </c>
      <c r="I1051">
        <v>368270.56</v>
      </c>
      <c r="J1051">
        <v>364968.08</v>
      </c>
      <c r="M1051" s="7"/>
    </row>
    <row r="1052" spans="2:13" customFormat="1" x14ac:dyDescent="0.25">
      <c r="B1052" t="s">
        <v>573</v>
      </c>
      <c r="C1052" t="s">
        <v>205</v>
      </c>
      <c r="D1052" t="s">
        <v>891</v>
      </c>
      <c r="E1052" t="s">
        <v>298</v>
      </c>
      <c r="F1052" t="s">
        <v>206</v>
      </c>
      <c r="H1052">
        <v>5130.43</v>
      </c>
      <c r="I1052">
        <v>8545.48</v>
      </c>
      <c r="J1052">
        <v>7011.71</v>
      </c>
      <c r="M1052" s="7"/>
    </row>
    <row r="1053" spans="2:13" customFormat="1" x14ac:dyDescent="0.25">
      <c r="B1053" t="s">
        <v>573</v>
      </c>
      <c r="C1053" t="s">
        <v>301</v>
      </c>
      <c r="D1053" t="s">
        <v>891</v>
      </c>
      <c r="E1053" t="s">
        <v>302</v>
      </c>
      <c r="F1053" t="s">
        <v>303</v>
      </c>
      <c r="H1053">
        <v>18498.400000000001</v>
      </c>
      <c r="I1053">
        <v>43498.400000000001</v>
      </c>
      <c r="J1053">
        <v>25000</v>
      </c>
      <c r="M1053" s="7"/>
    </row>
    <row r="1054" spans="2:13" customFormat="1" x14ac:dyDescent="0.25">
      <c r="B1054" t="s">
        <v>573</v>
      </c>
      <c r="C1054" t="s">
        <v>35</v>
      </c>
      <c r="D1054" t="s">
        <v>891</v>
      </c>
      <c r="E1054" t="s">
        <v>221</v>
      </c>
      <c r="F1054" t="s">
        <v>127</v>
      </c>
      <c r="H1054">
        <v>0</v>
      </c>
      <c r="I1054">
        <v>1435.26</v>
      </c>
      <c r="J1054">
        <v>1465.35</v>
      </c>
      <c r="M1054" s="7"/>
    </row>
    <row r="1055" spans="2:13" customFormat="1" x14ac:dyDescent="0.25">
      <c r="B1055" t="s">
        <v>573</v>
      </c>
      <c r="C1055" t="s">
        <v>36</v>
      </c>
      <c r="D1055" t="s">
        <v>891</v>
      </c>
      <c r="E1055" t="s">
        <v>222</v>
      </c>
      <c r="F1055" t="s">
        <v>128</v>
      </c>
      <c r="H1055">
        <v>0</v>
      </c>
      <c r="I1055">
        <v>162.80000000000001</v>
      </c>
      <c r="J1055">
        <v>162.80000000000001</v>
      </c>
      <c r="M1055" s="7"/>
    </row>
    <row r="1056" spans="2:13" customFormat="1" x14ac:dyDescent="0.25">
      <c r="B1056" t="s">
        <v>573</v>
      </c>
      <c r="C1056" t="s">
        <v>37</v>
      </c>
      <c r="D1056" t="s">
        <v>891</v>
      </c>
      <c r="E1056" t="s">
        <v>223</v>
      </c>
      <c r="F1056" t="s">
        <v>129</v>
      </c>
      <c r="H1056">
        <v>0</v>
      </c>
      <c r="I1056">
        <v>749.88</v>
      </c>
      <c r="J1056">
        <v>749.88</v>
      </c>
      <c r="M1056" s="7"/>
    </row>
    <row r="1057" spans="2:13" customFormat="1" x14ac:dyDescent="0.25">
      <c r="B1057" t="s">
        <v>573</v>
      </c>
      <c r="C1057" t="s">
        <v>304</v>
      </c>
      <c r="D1057" t="s">
        <v>891</v>
      </c>
      <c r="E1057" t="s">
        <v>305</v>
      </c>
      <c r="F1057" t="s">
        <v>306</v>
      </c>
      <c r="H1057">
        <v>791874.2</v>
      </c>
      <c r="I1057">
        <v>833979.34</v>
      </c>
      <c r="J1057">
        <v>485199.19</v>
      </c>
      <c r="M1057" s="7"/>
    </row>
    <row r="1058" spans="2:13" customFormat="1" x14ac:dyDescent="0.25">
      <c r="B1058" t="s">
        <v>573</v>
      </c>
      <c r="C1058" t="s">
        <v>38</v>
      </c>
      <c r="D1058" t="s">
        <v>891</v>
      </c>
      <c r="E1058" t="s">
        <v>224</v>
      </c>
      <c r="F1058" t="s">
        <v>130</v>
      </c>
      <c r="H1058">
        <v>0</v>
      </c>
      <c r="I1058">
        <v>602.1</v>
      </c>
      <c r="J1058">
        <v>602.1</v>
      </c>
      <c r="M1058" s="7"/>
    </row>
    <row r="1059" spans="2:13" customFormat="1" x14ac:dyDescent="0.25">
      <c r="B1059" t="s">
        <v>573</v>
      </c>
      <c r="C1059" t="s">
        <v>455</v>
      </c>
      <c r="D1059" t="s">
        <v>891</v>
      </c>
      <c r="E1059" t="s">
        <v>456</v>
      </c>
      <c r="F1059" t="s">
        <v>457</v>
      </c>
      <c r="H1059">
        <v>0</v>
      </c>
      <c r="I1059">
        <v>0</v>
      </c>
      <c r="J1059">
        <v>5880.2</v>
      </c>
      <c r="M1059" s="7"/>
    </row>
    <row r="1060" spans="2:13" customFormat="1" x14ac:dyDescent="0.25">
      <c r="B1060" t="s">
        <v>573</v>
      </c>
      <c r="C1060" t="s">
        <v>416</v>
      </c>
      <c r="D1060" t="s">
        <v>891</v>
      </c>
      <c r="E1060" t="s">
        <v>417</v>
      </c>
      <c r="F1060" t="s">
        <v>418</v>
      </c>
      <c r="H1060">
        <v>0</v>
      </c>
      <c r="I1060">
        <v>0</v>
      </c>
      <c r="J1060">
        <v>42729.36</v>
      </c>
      <c r="M1060" s="7"/>
    </row>
    <row r="1061" spans="2:13" customFormat="1" x14ac:dyDescent="0.25">
      <c r="B1061" t="s">
        <v>573</v>
      </c>
      <c r="C1061" t="s">
        <v>458</v>
      </c>
      <c r="D1061" t="s">
        <v>891</v>
      </c>
      <c r="E1061" t="s">
        <v>459</v>
      </c>
      <c r="F1061" t="s">
        <v>460</v>
      </c>
      <c r="H1061">
        <v>0</v>
      </c>
      <c r="I1061">
        <v>0</v>
      </c>
      <c r="J1061">
        <v>10073.9</v>
      </c>
      <c r="M1061" s="7"/>
    </row>
    <row r="1062" spans="2:13" customFormat="1" x14ac:dyDescent="0.25">
      <c r="B1062" t="s">
        <v>573</v>
      </c>
      <c r="C1062" t="s">
        <v>464</v>
      </c>
      <c r="D1062" t="s">
        <v>891</v>
      </c>
      <c r="E1062" t="s">
        <v>465</v>
      </c>
      <c r="F1062" t="s">
        <v>466</v>
      </c>
      <c r="H1062">
        <v>0</v>
      </c>
      <c r="I1062">
        <v>0</v>
      </c>
      <c r="J1062">
        <v>193382.46</v>
      </c>
      <c r="M1062" s="7"/>
    </row>
    <row r="1063" spans="2:13" customFormat="1" x14ac:dyDescent="0.25">
      <c r="B1063" t="s">
        <v>573</v>
      </c>
      <c r="C1063" t="s">
        <v>470</v>
      </c>
      <c r="D1063" t="s">
        <v>891</v>
      </c>
      <c r="E1063" t="s">
        <v>471</v>
      </c>
      <c r="F1063" t="s">
        <v>472</v>
      </c>
      <c r="H1063">
        <v>21.5</v>
      </c>
      <c r="I1063">
        <v>0</v>
      </c>
      <c r="J1063">
        <v>-3343</v>
      </c>
      <c r="M1063" s="7"/>
    </row>
    <row r="1064" spans="2:13" customFormat="1" x14ac:dyDescent="0.25">
      <c r="B1064" t="s">
        <v>573</v>
      </c>
      <c r="C1064" t="s">
        <v>419</v>
      </c>
      <c r="D1064" t="s">
        <v>891</v>
      </c>
      <c r="E1064" t="s">
        <v>420</v>
      </c>
      <c r="F1064" t="s">
        <v>421</v>
      </c>
      <c r="H1064">
        <v>19</v>
      </c>
      <c r="I1064">
        <v>0</v>
      </c>
      <c r="J1064">
        <v>-40487.07</v>
      </c>
      <c r="M1064" s="7"/>
    </row>
    <row r="1065" spans="2:13" customFormat="1" x14ac:dyDescent="0.25">
      <c r="B1065" t="s">
        <v>573</v>
      </c>
      <c r="C1065" t="s">
        <v>473</v>
      </c>
      <c r="D1065" t="s">
        <v>891</v>
      </c>
      <c r="E1065" t="s">
        <v>474</v>
      </c>
      <c r="F1065" t="s">
        <v>475</v>
      </c>
      <c r="H1065">
        <v>1.36</v>
      </c>
      <c r="I1065">
        <v>0</v>
      </c>
      <c r="J1065">
        <v>-9994.75</v>
      </c>
      <c r="M1065" s="7"/>
    </row>
    <row r="1066" spans="2:13" customFormat="1" x14ac:dyDescent="0.25">
      <c r="B1066" t="s">
        <v>573</v>
      </c>
      <c r="C1066" t="s">
        <v>479</v>
      </c>
      <c r="D1066" t="s">
        <v>891</v>
      </c>
      <c r="E1066" t="s">
        <v>480</v>
      </c>
      <c r="F1066" t="s">
        <v>481</v>
      </c>
      <c r="H1066">
        <v>3179</v>
      </c>
      <c r="I1066">
        <v>0</v>
      </c>
      <c r="J1066">
        <v>-5820.98</v>
      </c>
      <c r="M1066" s="7"/>
    </row>
    <row r="1067" spans="2:13" customFormat="1" x14ac:dyDescent="0.25">
      <c r="B1067" t="s">
        <v>573</v>
      </c>
      <c r="C1067" t="s">
        <v>422</v>
      </c>
      <c r="D1067" t="s">
        <v>891</v>
      </c>
      <c r="E1067" t="s">
        <v>423</v>
      </c>
      <c r="F1067" t="s">
        <v>424</v>
      </c>
      <c r="H1067">
        <v>0</v>
      </c>
      <c r="I1067">
        <v>0</v>
      </c>
      <c r="J1067">
        <v>1258521.8</v>
      </c>
      <c r="M1067" s="7"/>
    </row>
    <row r="1068" spans="2:13" customFormat="1" x14ac:dyDescent="0.25">
      <c r="B1068" t="s">
        <v>573</v>
      </c>
      <c r="C1068" t="s">
        <v>425</v>
      </c>
      <c r="D1068" t="s">
        <v>891</v>
      </c>
      <c r="E1068" t="s">
        <v>426</v>
      </c>
      <c r="F1068" t="s">
        <v>427</v>
      </c>
      <c r="H1068">
        <v>0</v>
      </c>
      <c r="I1068">
        <v>3500</v>
      </c>
      <c r="J1068">
        <v>3500</v>
      </c>
      <c r="M1068" s="7"/>
    </row>
    <row r="1069" spans="2:13" customFormat="1" x14ac:dyDescent="0.25">
      <c r="B1069" t="s">
        <v>573</v>
      </c>
      <c r="C1069" t="s">
        <v>40</v>
      </c>
      <c r="D1069" t="s">
        <v>891</v>
      </c>
      <c r="E1069" t="s">
        <v>227</v>
      </c>
      <c r="F1069" t="s">
        <v>133</v>
      </c>
      <c r="H1069">
        <v>863303.77</v>
      </c>
      <c r="I1069">
        <v>936028.5</v>
      </c>
      <c r="J1069">
        <v>-478441.99</v>
      </c>
      <c r="M1069" s="7"/>
    </row>
    <row r="1070" spans="2:13" customFormat="1" x14ac:dyDescent="0.25">
      <c r="B1070" t="s">
        <v>573</v>
      </c>
      <c r="C1070" t="s">
        <v>310</v>
      </c>
      <c r="D1070" t="s">
        <v>891</v>
      </c>
      <c r="E1070" t="s">
        <v>311</v>
      </c>
      <c r="F1070" t="s">
        <v>312</v>
      </c>
      <c r="H1070">
        <v>49006.34</v>
      </c>
      <c r="I1070">
        <v>49006.34</v>
      </c>
      <c r="J1070">
        <v>0</v>
      </c>
      <c r="M1070" s="7"/>
    </row>
    <row r="1071" spans="2:13" customFormat="1" x14ac:dyDescent="0.25">
      <c r="B1071" t="s">
        <v>573</v>
      </c>
      <c r="C1071" t="s">
        <v>313</v>
      </c>
      <c r="D1071" t="s">
        <v>891</v>
      </c>
      <c r="E1071" t="s">
        <v>314</v>
      </c>
      <c r="F1071" t="s">
        <v>315</v>
      </c>
      <c r="H1071">
        <v>3646.54</v>
      </c>
      <c r="I1071">
        <v>3646.54</v>
      </c>
      <c r="J1071">
        <v>0</v>
      </c>
      <c r="M1071" s="7"/>
    </row>
    <row r="1072" spans="2:13" customFormat="1" x14ac:dyDescent="0.25">
      <c r="B1072" t="s">
        <v>573</v>
      </c>
      <c r="C1072" t="s">
        <v>431</v>
      </c>
      <c r="D1072" t="s">
        <v>891</v>
      </c>
      <c r="E1072" t="s">
        <v>432</v>
      </c>
      <c r="F1072" t="s">
        <v>433</v>
      </c>
      <c r="H1072">
        <v>6017.48</v>
      </c>
      <c r="I1072">
        <v>6017.48</v>
      </c>
      <c r="J1072">
        <v>0</v>
      </c>
      <c r="M1072" s="7"/>
    </row>
    <row r="1073" spans="2:13" customFormat="1" x14ac:dyDescent="0.25">
      <c r="B1073" t="s">
        <v>573</v>
      </c>
      <c r="C1073" t="s">
        <v>316</v>
      </c>
      <c r="D1073" t="s">
        <v>891</v>
      </c>
      <c r="E1073" t="s">
        <v>317</v>
      </c>
      <c r="F1073" t="s">
        <v>318</v>
      </c>
      <c r="H1073">
        <v>3270.1</v>
      </c>
      <c r="I1073">
        <v>10023.23</v>
      </c>
      <c r="J1073">
        <v>-21508.58</v>
      </c>
      <c r="M1073" s="7"/>
    </row>
    <row r="1074" spans="2:13" customFormat="1" x14ac:dyDescent="0.25">
      <c r="B1074" t="s">
        <v>573</v>
      </c>
      <c r="C1074" t="s">
        <v>319</v>
      </c>
      <c r="D1074" t="s">
        <v>891</v>
      </c>
      <c r="E1074" t="s">
        <v>320</v>
      </c>
      <c r="F1074" t="s">
        <v>321</v>
      </c>
      <c r="H1074">
        <v>2038.98</v>
      </c>
      <c r="I1074">
        <v>426.29</v>
      </c>
      <c r="J1074">
        <v>-12795.81</v>
      </c>
      <c r="M1074" s="7"/>
    </row>
    <row r="1075" spans="2:13" customFormat="1" x14ac:dyDescent="0.25">
      <c r="B1075" t="s">
        <v>573</v>
      </c>
      <c r="C1075" t="s">
        <v>322</v>
      </c>
      <c r="D1075" t="s">
        <v>891</v>
      </c>
      <c r="E1075" t="s">
        <v>323</v>
      </c>
      <c r="F1075" t="s">
        <v>324</v>
      </c>
      <c r="H1075">
        <v>12459.28</v>
      </c>
      <c r="I1075">
        <v>8310.2800000000007</v>
      </c>
      <c r="J1075">
        <v>-11849.67</v>
      </c>
      <c r="M1075" s="7"/>
    </row>
    <row r="1076" spans="2:13" customFormat="1" x14ac:dyDescent="0.25">
      <c r="B1076" t="s">
        <v>573</v>
      </c>
      <c r="C1076" t="s">
        <v>325</v>
      </c>
      <c r="D1076" t="s">
        <v>891</v>
      </c>
      <c r="E1076" t="s">
        <v>326</v>
      </c>
      <c r="F1076" t="s">
        <v>327</v>
      </c>
      <c r="H1076">
        <v>4641.8900000000003</v>
      </c>
      <c r="I1076">
        <v>4286.3999999999996</v>
      </c>
      <c r="J1076">
        <v>-2498.69</v>
      </c>
      <c r="M1076" s="7"/>
    </row>
    <row r="1077" spans="2:13" customFormat="1" x14ac:dyDescent="0.25">
      <c r="B1077" t="s">
        <v>573</v>
      </c>
      <c r="C1077" t="s">
        <v>328</v>
      </c>
      <c r="D1077" t="s">
        <v>891</v>
      </c>
      <c r="E1077" t="s">
        <v>329</v>
      </c>
      <c r="F1077" t="s">
        <v>171</v>
      </c>
      <c r="H1077">
        <v>843.71</v>
      </c>
      <c r="I1077">
        <v>2586.0100000000002</v>
      </c>
      <c r="J1077">
        <v>-5549.22</v>
      </c>
      <c r="M1077" s="7"/>
    </row>
    <row r="1078" spans="2:13" customFormat="1" x14ac:dyDescent="0.25">
      <c r="B1078" t="s">
        <v>573</v>
      </c>
      <c r="C1078" t="s">
        <v>330</v>
      </c>
      <c r="D1078" t="s">
        <v>891</v>
      </c>
      <c r="E1078" t="s">
        <v>331</v>
      </c>
      <c r="F1078" t="s">
        <v>332</v>
      </c>
      <c r="H1078">
        <v>526.04999999999995</v>
      </c>
      <c r="I1078">
        <v>110.01</v>
      </c>
      <c r="J1078">
        <v>-3301.3</v>
      </c>
      <c r="M1078" s="7"/>
    </row>
    <row r="1079" spans="2:13" customFormat="1" x14ac:dyDescent="0.25">
      <c r="B1079" t="s">
        <v>573</v>
      </c>
      <c r="C1079" t="s">
        <v>333</v>
      </c>
      <c r="D1079" t="s">
        <v>891</v>
      </c>
      <c r="E1079" t="s">
        <v>334</v>
      </c>
      <c r="F1079" t="s">
        <v>172</v>
      </c>
      <c r="H1079">
        <v>261.60000000000002</v>
      </c>
      <c r="I1079">
        <v>801.86</v>
      </c>
      <c r="J1079">
        <v>-1720.68</v>
      </c>
      <c r="M1079" s="7"/>
    </row>
    <row r="1080" spans="2:13" customFormat="1" x14ac:dyDescent="0.25">
      <c r="B1080" t="s">
        <v>573</v>
      </c>
      <c r="C1080" t="s">
        <v>335</v>
      </c>
      <c r="D1080" t="s">
        <v>891</v>
      </c>
      <c r="E1080" t="s">
        <v>336</v>
      </c>
      <c r="F1080" t="s">
        <v>337</v>
      </c>
      <c r="H1080">
        <v>179.38</v>
      </c>
      <c r="I1080">
        <v>34.090000000000003</v>
      </c>
      <c r="J1080">
        <v>-1088.75</v>
      </c>
      <c r="M1080" s="7"/>
    </row>
    <row r="1081" spans="2:13" customFormat="1" x14ac:dyDescent="0.25">
      <c r="B1081" t="s">
        <v>573</v>
      </c>
      <c r="C1081" t="s">
        <v>365</v>
      </c>
      <c r="D1081" t="s">
        <v>891</v>
      </c>
      <c r="E1081" t="s">
        <v>366</v>
      </c>
      <c r="F1081" t="s">
        <v>367</v>
      </c>
      <c r="H1081">
        <v>2321.4</v>
      </c>
      <c r="I1081">
        <v>0</v>
      </c>
      <c r="J1081">
        <v>-2321.4</v>
      </c>
      <c r="M1081" s="7"/>
    </row>
    <row r="1082" spans="2:13" customFormat="1" x14ac:dyDescent="0.25">
      <c r="B1082" t="s">
        <v>573</v>
      </c>
      <c r="C1082" t="s">
        <v>368</v>
      </c>
      <c r="D1082" t="s">
        <v>891</v>
      </c>
      <c r="E1082" t="s">
        <v>369</v>
      </c>
      <c r="F1082" t="s">
        <v>370</v>
      </c>
      <c r="H1082">
        <v>1392.84</v>
      </c>
      <c r="I1082">
        <v>0</v>
      </c>
      <c r="J1082">
        <v>-1392.84</v>
      </c>
      <c r="M1082" s="7"/>
    </row>
    <row r="1083" spans="2:13" customFormat="1" x14ac:dyDescent="0.25">
      <c r="B1083" t="s">
        <v>573</v>
      </c>
      <c r="C1083" t="s">
        <v>491</v>
      </c>
      <c r="D1083" t="s">
        <v>891</v>
      </c>
      <c r="E1083" t="s">
        <v>492</v>
      </c>
      <c r="F1083" t="s">
        <v>493</v>
      </c>
      <c r="H1083">
        <v>0</v>
      </c>
      <c r="I1083">
        <v>5802.93</v>
      </c>
      <c r="J1083">
        <v>5802.93</v>
      </c>
      <c r="M1083" s="7"/>
    </row>
    <row r="1084" spans="2:13" customFormat="1" x14ac:dyDescent="0.25">
      <c r="B1084" t="s">
        <v>573</v>
      </c>
      <c r="C1084" t="s">
        <v>79</v>
      </c>
      <c r="D1084" t="s">
        <v>891</v>
      </c>
      <c r="E1084" t="s">
        <v>234</v>
      </c>
      <c r="F1084" t="s">
        <v>140</v>
      </c>
      <c r="H1084">
        <v>6.54</v>
      </c>
      <c r="I1084">
        <v>0</v>
      </c>
      <c r="J1084">
        <v>-6.54</v>
      </c>
      <c r="M1084" s="7"/>
    </row>
    <row r="1085" spans="2:13" customFormat="1" x14ac:dyDescent="0.25">
      <c r="B1085" t="s">
        <v>573</v>
      </c>
      <c r="C1085" t="s">
        <v>44</v>
      </c>
      <c r="D1085" t="s">
        <v>891</v>
      </c>
      <c r="E1085" t="s">
        <v>235</v>
      </c>
      <c r="F1085" t="s">
        <v>141</v>
      </c>
      <c r="H1085">
        <v>47.61</v>
      </c>
      <c r="I1085">
        <v>0</v>
      </c>
      <c r="J1085">
        <v>-47.61</v>
      </c>
      <c r="M1085" s="7"/>
    </row>
    <row r="1086" spans="2:13" customFormat="1" x14ac:dyDescent="0.25">
      <c r="B1086" t="s">
        <v>573</v>
      </c>
      <c r="C1086" t="s">
        <v>45</v>
      </c>
      <c r="D1086" t="s">
        <v>891</v>
      </c>
      <c r="E1086" t="s">
        <v>236</v>
      </c>
      <c r="F1086" t="s">
        <v>142</v>
      </c>
      <c r="H1086">
        <v>113.32</v>
      </c>
      <c r="I1086">
        <v>0</v>
      </c>
      <c r="J1086">
        <v>-113.32</v>
      </c>
      <c r="M1086" s="7"/>
    </row>
    <row r="1087" spans="2:13" customFormat="1" x14ac:dyDescent="0.25">
      <c r="B1087" t="s">
        <v>573</v>
      </c>
      <c r="C1087" t="s">
        <v>338</v>
      </c>
      <c r="D1087" t="s">
        <v>891</v>
      </c>
      <c r="E1087" t="s">
        <v>339</v>
      </c>
      <c r="F1087" t="s">
        <v>340</v>
      </c>
      <c r="H1087">
        <v>168.97</v>
      </c>
      <c r="I1087">
        <v>168.3</v>
      </c>
      <c r="J1087">
        <v>-168.97</v>
      </c>
      <c r="M1087" s="7"/>
    </row>
    <row r="1088" spans="2:13" customFormat="1" x14ac:dyDescent="0.25">
      <c r="B1088" t="s">
        <v>573</v>
      </c>
      <c r="C1088" t="s">
        <v>341</v>
      </c>
      <c r="D1088" t="s">
        <v>891</v>
      </c>
      <c r="E1088" t="s">
        <v>342</v>
      </c>
      <c r="F1088" t="s">
        <v>343</v>
      </c>
      <c r="H1088">
        <v>489.57</v>
      </c>
      <c r="I1088">
        <v>218.79</v>
      </c>
      <c r="J1088">
        <v>-927.15</v>
      </c>
      <c r="M1088" s="7"/>
    </row>
    <row r="1089" spans="2:13" customFormat="1" x14ac:dyDescent="0.25">
      <c r="B1089" t="s">
        <v>573</v>
      </c>
      <c r="C1089" t="s">
        <v>46</v>
      </c>
      <c r="D1089" t="s">
        <v>891</v>
      </c>
      <c r="E1089" t="s">
        <v>237</v>
      </c>
      <c r="F1089" t="s">
        <v>143</v>
      </c>
      <c r="H1089">
        <v>0</v>
      </c>
      <c r="I1089">
        <v>0</v>
      </c>
      <c r="J1089">
        <v>-1000</v>
      </c>
      <c r="M1089" s="7"/>
    </row>
    <row r="1090" spans="2:13" customFormat="1" x14ac:dyDescent="0.25">
      <c r="B1090" t="s">
        <v>573</v>
      </c>
      <c r="C1090" t="s">
        <v>47</v>
      </c>
      <c r="D1090" t="s">
        <v>891</v>
      </c>
      <c r="E1090" t="s">
        <v>238</v>
      </c>
      <c r="F1090" t="s">
        <v>144</v>
      </c>
      <c r="H1090">
        <v>182000</v>
      </c>
      <c r="I1090">
        <v>0</v>
      </c>
      <c r="J1090">
        <v>-2122667.65</v>
      </c>
      <c r="M1090" s="7"/>
    </row>
    <row r="1091" spans="2:13" customFormat="1" x14ac:dyDescent="0.25">
      <c r="B1091" t="s">
        <v>573</v>
      </c>
      <c r="C1091" t="s">
        <v>371</v>
      </c>
      <c r="D1091" t="s">
        <v>891</v>
      </c>
      <c r="E1091" t="s">
        <v>372</v>
      </c>
      <c r="F1091" t="s">
        <v>373</v>
      </c>
      <c r="H1091">
        <v>649608.09</v>
      </c>
      <c r="I1091">
        <v>0</v>
      </c>
      <c r="J1091">
        <v>-1386255.25</v>
      </c>
      <c r="M1091" s="7"/>
    </row>
    <row r="1092" spans="2:13" customFormat="1" x14ac:dyDescent="0.25">
      <c r="B1092" t="s">
        <v>573</v>
      </c>
      <c r="C1092" t="s">
        <v>374</v>
      </c>
      <c r="D1092" t="s">
        <v>891</v>
      </c>
      <c r="E1092" t="s">
        <v>375</v>
      </c>
      <c r="F1092" t="s">
        <v>376</v>
      </c>
      <c r="H1092">
        <v>11531.97</v>
      </c>
      <c r="I1092">
        <v>0</v>
      </c>
      <c r="J1092">
        <v>-26912.58</v>
      </c>
      <c r="M1092" s="7"/>
    </row>
    <row r="1093" spans="2:13" customFormat="1" x14ac:dyDescent="0.25">
      <c r="B1093" t="s">
        <v>573</v>
      </c>
      <c r="C1093" t="s">
        <v>434</v>
      </c>
      <c r="D1093" t="s">
        <v>891</v>
      </c>
      <c r="E1093" t="s">
        <v>435</v>
      </c>
      <c r="F1093" t="s">
        <v>436</v>
      </c>
      <c r="H1093">
        <v>219192.63</v>
      </c>
      <c r="I1093">
        <v>0</v>
      </c>
      <c r="J1093">
        <v>-453847.89</v>
      </c>
      <c r="M1093" s="7"/>
    </row>
    <row r="1094" spans="2:13" customFormat="1" x14ac:dyDescent="0.25">
      <c r="B1094" t="s">
        <v>573</v>
      </c>
      <c r="C1094" t="s">
        <v>377</v>
      </c>
      <c r="D1094" t="s">
        <v>891</v>
      </c>
      <c r="E1094" t="s">
        <v>378</v>
      </c>
      <c r="F1094" t="s">
        <v>379</v>
      </c>
      <c r="H1094">
        <v>13125</v>
      </c>
      <c r="I1094">
        <v>791874.2</v>
      </c>
      <c r="J1094">
        <v>1653315.22</v>
      </c>
      <c r="M1094" s="7"/>
    </row>
    <row r="1095" spans="2:13" customFormat="1" x14ac:dyDescent="0.25">
      <c r="B1095" t="s">
        <v>573</v>
      </c>
      <c r="C1095" t="s">
        <v>55</v>
      </c>
      <c r="D1095" t="s">
        <v>891</v>
      </c>
      <c r="E1095" t="s">
        <v>252</v>
      </c>
      <c r="F1095" t="s">
        <v>158</v>
      </c>
      <c r="H1095">
        <v>846.26</v>
      </c>
      <c r="I1095">
        <v>17693.439999999999</v>
      </c>
      <c r="J1095">
        <v>-9585.94</v>
      </c>
      <c r="M1095" s="7"/>
    </row>
    <row r="1096" spans="2:13" customFormat="1" x14ac:dyDescent="0.25">
      <c r="B1096" t="s">
        <v>573</v>
      </c>
      <c r="C1096" t="s">
        <v>56</v>
      </c>
      <c r="D1096" t="s">
        <v>891</v>
      </c>
      <c r="E1096" t="s">
        <v>253</v>
      </c>
      <c r="F1096" t="s">
        <v>159</v>
      </c>
      <c r="H1096">
        <v>4259.1400000000003</v>
      </c>
      <c r="I1096">
        <v>6893.45</v>
      </c>
      <c r="J1096">
        <v>8272.14</v>
      </c>
      <c r="M1096" s="7"/>
    </row>
    <row r="1097" spans="2:13" customFormat="1" x14ac:dyDescent="0.25">
      <c r="B1097" t="s">
        <v>573</v>
      </c>
      <c r="C1097" t="s">
        <v>57</v>
      </c>
      <c r="D1097" t="s">
        <v>891</v>
      </c>
      <c r="E1097" t="s">
        <v>254</v>
      </c>
      <c r="F1097" t="s">
        <v>160</v>
      </c>
      <c r="H1097">
        <v>298.77</v>
      </c>
      <c r="I1097">
        <v>0</v>
      </c>
      <c r="J1097">
        <v>-298.77</v>
      </c>
      <c r="M1097" s="7"/>
    </row>
    <row r="1098" spans="2:13" customFormat="1" x14ac:dyDescent="0.25">
      <c r="B1098" t="s">
        <v>573</v>
      </c>
      <c r="C1098" t="s">
        <v>58</v>
      </c>
      <c r="D1098" t="s">
        <v>891</v>
      </c>
      <c r="E1098" t="s">
        <v>255</v>
      </c>
      <c r="F1098" t="s">
        <v>161</v>
      </c>
      <c r="H1098">
        <v>6711.37</v>
      </c>
      <c r="I1098">
        <v>3270.1</v>
      </c>
      <c r="J1098">
        <v>24820.44</v>
      </c>
      <c r="M1098" s="7"/>
    </row>
    <row r="1099" spans="2:13" customFormat="1" x14ac:dyDescent="0.25">
      <c r="B1099" t="s">
        <v>573</v>
      </c>
      <c r="C1099" t="s">
        <v>59</v>
      </c>
      <c r="D1099" t="s">
        <v>891</v>
      </c>
      <c r="E1099" t="s">
        <v>256</v>
      </c>
      <c r="F1099" t="s">
        <v>162</v>
      </c>
      <c r="H1099">
        <v>35.15</v>
      </c>
      <c r="I1099">
        <v>2038.98</v>
      </c>
      <c r="J1099">
        <v>13186.95</v>
      </c>
      <c r="M1099" s="7"/>
    </row>
    <row r="1100" spans="2:13" customFormat="1" x14ac:dyDescent="0.25">
      <c r="B1100" t="s">
        <v>573</v>
      </c>
      <c r="C1100" t="s">
        <v>506</v>
      </c>
      <c r="D1100" t="s">
        <v>891</v>
      </c>
      <c r="E1100" t="s">
        <v>507</v>
      </c>
      <c r="F1100" t="s">
        <v>508</v>
      </c>
      <c r="H1100">
        <v>0</v>
      </c>
      <c r="I1100">
        <v>4880.7299999999996</v>
      </c>
      <c r="J1100">
        <v>9929.73</v>
      </c>
      <c r="M1100" s="7"/>
    </row>
    <row r="1101" spans="2:13" customFormat="1" x14ac:dyDescent="0.25">
      <c r="B1101" t="s">
        <v>573</v>
      </c>
      <c r="C1101" t="s">
        <v>60</v>
      </c>
      <c r="D1101" t="s">
        <v>891</v>
      </c>
      <c r="E1101" t="s">
        <v>258</v>
      </c>
      <c r="F1101" t="s">
        <v>164</v>
      </c>
      <c r="H1101">
        <v>0</v>
      </c>
      <c r="I1101">
        <v>2481.5300000000002</v>
      </c>
      <c r="J1101">
        <v>2557.59</v>
      </c>
      <c r="M1101" s="7"/>
    </row>
    <row r="1102" spans="2:13" customFormat="1" x14ac:dyDescent="0.25">
      <c r="B1102" t="s">
        <v>573</v>
      </c>
      <c r="C1102" t="s">
        <v>509</v>
      </c>
      <c r="D1102" t="s">
        <v>891</v>
      </c>
      <c r="E1102" t="s">
        <v>510</v>
      </c>
      <c r="F1102" t="s">
        <v>511</v>
      </c>
      <c r="H1102">
        <v>0</v>
      </c>
      <c r="I1102">
        <v>20.420000000000002</v>
      </c>
      <c r="J1102">
        <v>30.48</v>
      </c>
      <c r="M1102" s="7"/>
    </row>
    <row r="1103" spans="2:13" customFormat="1" x14ac:dyDescent="0.25">
      <c r="B1103" t="s">
        <v>573</v>
      </c>
      <c r="C1103" t="s">
        <v>61</v>
      </c>
      <c r="D1103" t="s">
        <v>891</v>
      </c>
      <c r="E1103" t="s">
        <v>259</v>
      </c>
      <c r="F1103" t="s">
        <v>165</v>
      </c>
      <c r="H1103">
        <v>0</v>
      </c>
      <c r="I1103">
        <v>2532.5100000000002</v>
      </c>
      <c r="J1103">
        <v>4675.71</v>
      </c>
      <c r="M1103" s="7"/>
    </row>
    <row r="1104" spans="2:13" customFormat="1" x14ac:dyDescent="0.25">
      <c r="B1104" t="s">
        <v>573</v>
      </c>
      <c r="C1104" t="s">
        <v>62</v>
      </c>
      <c r="D1104" t="s">
        <v>891</v>
      </c>
      <c r="E1104" t="s">
        <v>260</v>
      </c>
      <c r="F1104" t="s">
        <v>166</v>
      </c>
      <c r="H1104">
        <v>43.22</v>
      </c>
      <c r="I1104">
        <v>320.19</v>
      </c>
      <c r="J1104">
        <v>588.13</v>
      </c>
      <c r="M1104" s="7"/>
    </row>
    <row r="1105" spans="2:13" customFormat="1" x14ac:dyDescent="0.25">
      <c r="B1105" t="s">
        <v>573</v>
      </c>
      <c r="C1105" t="s">
        <v>207</v>
      </c>
      <c r="D1105" t="s">
        <v>891</v>
      </c>
      <c r="E1105" t="s">
        <v>299</v>
      </c>
      <c r="F1105" t="s">
        <v>208</v>
      </c>
      <c r="H1105">
        <v>134.55000000000001</v>
      </c>
      <c r="I1105">
        <v>9912</v>
      </c>
      <c r="J1105">
        <v>15789.25</v>
      </c>
      <c r="M1105" s="7"/>
    </row>
    <row r="1106" spans="2:13" customFormat="1" x14ac:dyDescent="0.25">
      <c r="B1106" t="s">
        <v>573</v>
      </c>
      <c r="C1106" t="s">
        <v>63</v>
      </c>
      <c r="D1106" t="s">
        <v>891</v>
      </c>
      <c r="E1106" t="s">
        <v>261</v>
      </c>
      <c r="F1106" t="s">
        <v>167</v>
      </c>
      <c r="H1106">
        <v>1661.2</v>
      </c>
      <c r="I1106">
        <v>4222.88</v>
      </c>
      <c r="J1106">
        <v>5548.44</v>
      </c>
      <c r="M1106" s="7"/>
    </row>
    <row r="1107" spans="2:13" customFormat="1" x14ac:dyDescent="0.25">
      <c r="B1107" t="s">
        <v>573</v>
      </c>
      <c r="C1107" t="s">
        <v>380</v>
      </c>
      <c r="D1107" t="s">
        <v>891</v>
      </c>
      <c r="E1107" t="s">
        <v>381</v>
      </c>
      <c r="F1107" t="s">
        <v>382</v>
      </c>
      <c r="H1107">
        <v>117.06</v>
      </c>
      <c r="I1107">
        <v>0</v>
      </c>
      <c r="J1107">
        <v>-234.12</v>
      </c>
      <c r="M1107" s="7"/>
    </row>
    <row r="1108" spans="2:13" customFormat="1" x14ac:dyDescent="0.25">
      <c r="B1108" t="s">
        <v>573</v>
      </c>
      <c r="C1108" t="s">
        <v>64</v>
      </c>
      <c r="D1108" t="s">
        <v>891</v>
      </c>
      <c r="E1108" t="s">
        <v>265</v>
      </c>
      <c r="F1108" t="s">
        <v>171</v>
      </c>
      <c r="H1108">
        <v>2269.64</v>
      </c>
      <c r="I1108">
        <v>1810.74</v>
      </c>
      <c r="J1108">
        <v>12922.28</v>
      </c>
      <c r="M1108" s="7"/>
    </row>
    <row r="1109" spans="2:13" customFormat="1" x14ac:dyDescent="0.25">
      <c r="B1109" t="s">
        <v>573</v>
      </c>
      <c r="C1109" t="s">
        <v>65</v>
      </c>
      <c r="D1109" t="s">
        <v>891</v>
      </c>
      <c r="E1109" t="s">
        <v>269</v>
      </c>
      <c r="F1109" t="s">
        <v>175</v>
      </c>
      <c r="H1109">
        <v>912.68</v>
      </c>
      <c r="I1109">
        <v>9866.83</v>
      </c>
      <c r="J1109">
        <v>8954.15</v>
      </c>
      <c r="M1109" s="7"/>
    </row>
    <row r="1110" spans="2:13" customFormat="1" x14ac:dyDescent="0.25">
      <c r="B1110" t="s">
        <v>573</v>
      </c>
      <c r="C1110" t="s">
        <v>66</v>
      </c>
      <c r="D1110" t="s">
        <v>891</v>
      </c>
      <c r="E1110" t="s">
        <v>272</v>
      </c>
      <c r="F1110" t="s">
        <v>178</v>
      </c>
      <c r="H1110">
        <v>0</v>
      </c>
      <c r="I1110">
        <v>0</v>
      </c>
      <c r="J1110">
        <v>199</v>
      </c>
      <c r="M1110" s="7"/>
    </row>
    <row r="1111" spans="2:13" customFormat="1" x14ac:dyDescent="0.25">
      <c r="B1111" t="s">
        <v>573</v>
      </c>
      <c r="C1111" t="s">
        <v>67</v>
      </c>
      <c r="D1111" t="s">
        <v>891</v>
      </c>
      <c r="E1111" t="s">
        <v>276</v>
      </c>
      <c r="F1111" t="s">
        <v>182</v>
      </c>
      <c r="H1111">
        <v>0</v>
      </c>
      <c r="I1111">
        <v>525</v>
      </c>
      <c r="J1111">
        <v>13985.28</v>
      </c>
      <c r="M1111" s="7"/>
    </row>
    <row r="1112" spans="2:13" customFormat="1" x14ac:dyDescent="0.25">
      <c r="B1112" t="s">
        <v>573</v>
      </c>
      <c r="C1112" t="s">
        <v>497</v>
      </c>
      <c r="D1112" t="s">
        <v>891</v>
      </c>
      <c r="E1112" t="s">
        <v>498</v>
      </c>
      <c r="F1112" t="s">
        <v>499</v>
      </c>
      <c r="H1112">
        <v>0</v>
      </c>
      <c r="I1112">
        <v>1749.62</v>
      </c>
      <c r="J1112">
        <v>1749.62</v>
      </c>
      <c r="M1112" s="7"/>
    </row>
    <row r="1113" spans="2:13" customFormat="1" x14ac:dyDescent="0.25">
      <c r="B1113" t="s">
        <v>573</v>
      </c>
      <c r="C1113" t="s">
        <v>70</v>
      </c>
      <c r="D1113" t="s">
        <v>891</v>
      </c>
      <c r="E1113" t="s">
        <v>286</v>
      </c>
      <c r="F1113" t="s">
        <v>192</v>
      </c>
      <c r="H1113">
        <v>0</v>
      </c>
      <c r="I1113">
        <v>0</v>
      </c>
      <c r="J1113">
        <v>783.68</v>
      </c>
      <c r="M1113" s="7"/>
    </row>
    <row r="1114" spans="2:13" customFormat="1" x14ac:dyDescent="0.25">
      <c r="B1114" t="s">
        <v>573</v>
      </c>
      <c r="C1114" t="s">
        <v>109</v>
      </c>
      <c r="D1114" t="s">
        <v>891</v>
      </c>
      <c r="E1114" t="s">
        <v>287</v>
      </c>
      <c r="F1114" t="s">
        <v>193</v>
      </c>
      <c r="H1114">
        <v>0</v>
      </c>
      <c r="I1114">
        <v>1300</v>
      </c>
      <c r="J1114">
        <v>1300</v>
      </c>
      <c r="M1114" s="7"/>
    </row>
    <row r="1115" spans="2:13" customFormat="1" x14ac:dyDescent="0.25">
      <c r="B1115" t="s">
        <v>573</v>
      </c>
      <c r="C1115" t="s">
        <v>203</v>
      </c>
      <c r="D1115" t="s">
        <v>891</v>
      </c>
      <c r="E1115" t="s">
        <v>297</v>
      </c>
      <c r="F1115" t="s">
        <v>204</v>
      </c>
      <c r="H1115">
        <v>0</v>
      </c>
      <c r="I1115">
        <v>950.5</v>
      </c>
      <c r="J1115">
        <v>950.5</v>
      </c>
      <c r="M1115" s="7"/>
    </row>
    <row r="1116" spans="2:13" customFormat="1" x14ac:dyDescent="0.25">
      <c r="B1116" t="s">
        <v>573</v>
      </c>
      <c r="C1116" t="s">
        <v>398</v>
      </c>
      <c r="D1116" t="s">
        <v>891</v>
      </c>
      <c r="E1116" t="s">
        <v>399</v>
      </c>
      <c r="F1116" t="s">
        <v>400</v>
      </c>
      <c r="H1116">
        <v>0</v>
      </c>
      <c r="I1116">
        <v>3220.86</v>
      </c>
      <c r="J1116">
        <v>59645.8</v>
      </c>
      <c r="M1116" s="7"/>
    </row>
    <row r="1117" spans="2:13" customFormat="1" x14ac:dyDescent="0.25">
      <c r="B1117" t="s">
        <v>573</v>
      </c>
      <c r="C1117" t="s">
        <v>71</v>
      </c>
      <c r="D1117" t="s">
        <v>891</v>
      </c>
      <c r="E1117" t="s">
        <v>291</v>
      </c>
      <c r="F1117" t="s">
        <v>197</v>
      </c>
      <c r="H1117">
        <v>0</v>
      </c>
      <c r="I1117">
        <v>141.51</v>
      </c>
      <c r="J1117">
        <v>141.51</v>
      </c>
      <c r="M1117" s="7"/>
    </row>
    <row r="1118" spans="2:13" customFormat="1" x14ac:dyDescent="0.25">
      <c r="B1118" t="s">
        <v>573</v>
      </c>
      <c r="C1118" t="s">
        <v>72</v>
      </c>
      <c r="D1118" t="s">
        <v>891</v>
      </c>
      <c r="E1118" t="s">
        <v>292</v>
      </c>
      <c r="F1118" t="s">
        <v>198</v>
      </c>
      <c r="H1118">
        <v>0</v>
      </c>
      <c r="I1118">
        <v>1178.9000000000001</v>
      </c>
      <c r="J1118">
        <v>1178.9000000000001</v>
      </c>
      <c r="M1118" s="7"/>
    </row>
    <row r="1119" spans="2:13" customFormat="1" x14ac:dyDescent="0.25">
      <c r="B1119" t="s">
        <v>573</v>
      </c>
      <c r="C1119" t="s">
        <v>73</v>
      </c>
      <c r="D1119" t="s">
        <v>891</v>
      </c>
      <c r="E1119" t="s">
        <v>293</v>
      </c>
      <c r="F1119" t="s">
        <v>199</v>
      </c>
      <c r="H1119">
        <v>0</v>
      </c>
      <c r="I1119">
        <v>230.23</v>
      </c>
      <c r="J1119">
        <v>1300.95</v>
      </c>
      <c r="M1119" s="7"/>
    </row>
    <row r="1120" spans="2:13" customFormat="1" x14ac:dyDescent="0.25">
      <c r="B1120" t="s">
        <v>573</v>
      </c>
      <c r="C1120" t="s">
        <v>74</v>
      </c>
      <c r="D1120" t="s">
        <v>891</v>
      </c>
      <c r="E1120" t="s">
        <v>294</v>
      </c>
      <c r="F1120" t="s">
        <v>200</v>
      </c>
      <c r="H1120">
        <v>0</v>
      </c>
      <c r="I1120">
        <v>22474.03</v>
      </c>
      <c r="J1120">
        <v>31596.22</v>
      </c>
      <c r="M1120" s="7"/>
    </row>
    <row r="1121" spans="2:13" customFormat="1" x14ac:dyDescent="0.25">
      <c r="B1121" t="s">
        <v>573</v>
      </c>
      <c r="C1121" t="s">
        <v>75</v>
      </c>
      <c r="D1121" t="s">
        <v>891</v>
      </c>
      <c r="E1121" t="s">
        <v>295</v>
      </c>
      <c r="F1121" t="s">
        <v>201</v>
      </c>
      <c r="H1121">
        <v>0</v>
      </c>
      <c r="I1121">
        <v>2321.4</v>
      </c>
      <c r="J1121">
        <v>2321.4</v>
      </c>
      <c r="M1121" s="7"/>
    </row>
    <row r="1122" spans="2:13" customFormat="1" x14ac:dyDescent="0.25">
      <c r="B1122" t="s">
        <v>573</v>
      </c>
      <c r="C1122" t="s">
        <v>76</v>
      </c>
      <c r="D1122" t="s">
        <v>891</v>
      </c>
      <c r="E1122" t="s">
        <v>296</v>
      </c>
      <c r="F1122" t="s">
        <v>202</v>
      </c>
      <c r="H1122">
        <v>0</v>
      </c>
      <c r="I1122">
        <v>1392.84</v>
      </c>
      <c r="J1122">
        <v>1392.84</v>
      </c>
      <c r="M1122" s="7"/>
    </row>
    <row r="1123" spans="2:13" customFormat="1" x14ac:dyDescent="0.25">
      <c r="B1123" t="s">
        <v>533</v>
      </c>
      <c r="C1123" t="s">
        <v>26</v>
      </c>
      <c r="D1123" t="s">
        <v>891</v>
      </c>
      <c r="E1123" t="s">
        <v>211</v>
      </c>
      <c r="F1123" t="s">
        <v>116</v>
      </c>
      <c r="H1123">
        <v>136507.39000000001</v>
      </c>
      <c r="I1123">
        <v>136507.39000000001</v>
      </c>
      <c r="J1123">
        <v>0</v>
      </c>
      <c r="M1123" s="7"/>
    </row>
    <row r="1124" spans="2:13" customFormat="1" x14ac:dyDescent="0.25">
      <c r="B1124" t="s">
        <v>533</v>
      </c>
      <c r="C1124" t="s">
        <v>27</v>
      </c>
      <c r="D1124" t="s">
        <v>891</v>
      </c>
      <c r="E1124" t="s">
        <v>212</v>
      </c>
      <c r="F1124" t="s">
        <v>117</v>
      </c>
      <c r="H1124">
        <v>11705.32</v>
      </c>
      <c r="I1124">
        <v>12223.34</v>
      </c>
      <c r="J1124">
        <v>518.02</v>
      </c>
      <c r="M1124" s="7"/>
    </row>
    <row r="1125" spans="2:13" customFormat="1" x14ac:dyDescent="0.25">
      <c r="B1125" t="s">
        <v>533</v>
      </c>
      <c r="C1125" t="s">
        <v>28</v>
      </c>
      <c r="D1125" t="s">
        <v>891</v>
      </c>
      <c r="E1125" t="s">
        <v>213</v>
      </c>
      <c r="F1125" t="s">
        <v>118</v>
      </c>
      <c r="H1125">
        <v>239.11</v>
      </c>
      <c r="I1125">
        <v>67574.259999999995</v>
      </c>
      <c r="J1125">
        <v>67335.149999999994</v>
      </c>
      <c r="M1125" s="7"/>
    </row>
    <row r="1126" spans="2:13" customFormat="1" x14ac:dyDescent="0.25">
      <c r="B1126" t="s">
        <v>533</v>
      </c>
      <c r="C1126" t="s">
        <v>29</v>
      </c>
      <c r="D1126" t="s">
        <v>891</v>
      </c>
      <c r="E1126" t="s">
        <v>214</v>
      </c>
      <c r="F1126" t="s">
        <v>119</v>
      </c>
      <c r="H1126">
        <v>0.13</v>
      </c>
      <c r="I1126">
        <v>136507.39000000001</v>
      </c>
      <c r="J1126">
        <v>136507.26</v>
      </c>
      <c r="M1126" s="7"/>
    </row>
    <row r="1127" spans="2:13" customFormat="1" x14ac:dyDescent="0.25">
      <c r="B1127" t="s">
        <v>533</v>
      </c>
      <c r="C1127" t="s">
        <v>30</v>
      </c>
      <c r="D1127" t="s">
        <v>891</v>
      </c>
      <c r="E1127" t="s">
        <v>215</v>
      </c>
      <c r="F1127" t="s">
        <v>120</v>
      </c>
      <c r="H1127">
        <v>295017.27</v>
      </c>
      <c r="I1127">
        <v>553874.68999999994</v>
      </c>
      <c r="J1127">
        <v>258857.42</v>
      </c>
      <c r="M1127" s="7"/>
    </row>
    <row r="1128" spans="2:13" customFormat="1" x14ac:dyDescent="0.25">
      <c r="B1128" t="s">
        <v>533</v>
      </c>
      <c r="C1128" t="s">
        <v>500</v>
      </c>
      <c r="D1128" t="s">
        <v>891</v>
      </c>
      <c r="E1128" t="s">
        <v>501</v>
      </c>
      <c r="F1128" t="s">
        <v>502</v>
      </c>
      <c r="H1128">
        <v>0</v>
      </c>
      <c r="I1128">
        <v>20000</v>
      </c>
      <c r="J1128">
        <v>20000</v>
      </c>
      <c r="M1128" s="7"/>
    </row>
    <row r="1129" spans="2:13" customFormat="1" x14ac:dyDescent="0.25">
      <c r="B1129" t="s">
        <v>533</v>
      </c>
      <c r="C1129" t="s">
        <v>31</v>
      </c>
      <c r="D1129" t="s">
        <v>891</v>
      </c>
      <c r="E1129" t="s">
        <v>217</v>
      </c>
      <c r="F1129" t="s">
        <v>122</v>
      </c>
      <c r="H1129">
        <v>821835.1</v>
      </c>
      <c r="I1129">
        <v>821835.1</v>
      </c>
      <c r="J1129">
        <v>0</v>
      </c>
      <c r="M1129" s="7"/>
    </row>
    <row r="1130" spans="2:13" customFormat="1" x14ac:dyDescent="0.25">
      <c r="B1130" t="s">
        <v>533</v>
      </c>
      <c r="C1130" t="s">
        <v>32</v>
      </c>
      <c r="D1130" t="s">
        <v>891</v>
      </c>
      <c r="E1130" t="s">
        <v>218</v>
      </c>
      <c r="F1130" t="s">
        <v>123</v>
      </c>
      <c r="H1130">
        <v>0</v>
      </c>
      <c r="I1130">
        <v>12750</v>
      </c>
      <c r="J1130">
        <v>12750</v>
      </c>
      <c r="M1130" s="7"/>
    </row>
    <row r="1131" spans="2:13" customFormat="1" x14ac:dyDescent="0.25">
      <c r="B1131" t="s">
        <v>533</v>
      </c>
      <c r="C1131" t="s">
        <v>33</v>
      </c>
      <c r="D1131" t="s">
        <v>891</v>
      </c>
      <c r="E1131" t="s">
        <v>219</v>
      </c>
      <c r="F1131" t="s">
        <v>124</v>
      </c>
      <c r="H1131">
        <v>294348.95</v>
      </c>
      <c r="I1131">
        <v>309745.8</v>
      </c>
      <c r="J1131">
        <v>15396.85</v>
      </c>
      <c r="M1131" s="7"/>
    </row>
    <row r="1132" spans="2:13" customFormat="1" x14ac:dyDescent="0.25">
      <c r="B1132" t="s">
        <v>533</v>
      </c>
      <c r="C1132" t="s">
        <v>34</v>
      </c>
      <c r="D1132" t="s">
        <v>891</v>
      </c>
      <c r="E1132" t="s">
        <v>220</v>
      </c>
      <c r="F1132" t="s">
        <v>125</v>
      </c>
      <c r="H1132">
        <v>7436.42</v>
      </c>
      <c r="I1132">
        <v>284972</v>
      </c>
      <c r="J1132">
        <v>277535.58</v>
      </c>
      <c r="M1132" s="7"/>
    </row>
    <row r="1133" spans="2:13" customFormat="1" x14ac:dyDescent="0.25">
      <c r="B1133" t="s">
        <v>533</v>
      </c>
      <c r="C1133" t="s">
        <v>205</v>
      </c>
      <c r="D1133" t="s">
        <v>891</v>
      </c>
      <c r="E1133" t="s">
        <v>298</v>
      </c>
      <c r="F1133" t="s">
        <v>206</v>
      </c>
      <c r="H1133">
        <v>0</v>
      </c>
      <c r="I1133">
        <v>9790.0300000000007</v>
      </c>
      <c r="J1133">
        <v>9790.0300000000007</v>
      </c>
      <c r="M1133" s="7"/>
    </row>
    <row r="1134" spans="2:13" customFormat="1" x14ac:dyDescent="0.25">
      <c r="B1134" t="s">
        <v>533</v>
      </c>
      <c r="C1134" t="s">
        <v>35</v>
      </c>
      <c r="D1134" t="s">
        <v>891</v>
      </c>
      <c r="E1134" t="s">
        <v>221</v>
      </c>
      <c r="F1134" t="s">
        <v>127</v>
      </c>
      <c r="H1134">
        <v>0</v>
      </c>
      <c r="I1134">
        <v>16.32</v>
      </c>
      <c r="J1134">
        <v>16.32</v>
      </c>
      <c r="M1134" s="7"/>
    </row>
    <row r="1135" spans="2:13" customFormat="1" x14ac:dyDescent="0.25">
      <c r="B1135" t="s">
        <v>533</v>
      </c>
      <c r="C1135" t="s">
        <v>304</v>
      </c>
      <c r="D1135" t="s">
        <v>891</v>
      </c>
      <c r="E1135" t="s">
        <v>305</v>
      </c>
      <c r="F1135" t="s">
        <v>306</v>
      </c>
      <c r="H1135">
        <v>731650.14</v>
      </c>
      <c r="I1135">
        <v>905700.86</v>
      </c>
      <c r="J1135">
        <v>174050.72</v>
      </c>
      <c r="M1135" s="7"/>
    </row>
    <row r="1136" spans="2:13" customFormat="1" x14ac:dyDescent="0.25">
      <c r="B1136" t="s">
        <v>533</v>
      </c>
      <c r="C1136" t="s">
        <v>38</v>
      </c>
      <c r="D1136" t="s">
        <v>891</v>
      </c>
      <c r="E1136" t="s">
        <v>224</v>
      </c>
      <c r="F1136" t="s">
        <v>130</v>
      </c>
      <c r="H1136">
        <v>0</v>
      </c>
      <c r="I1136">
        <v>274.89999999999998</v>
      </c>
      <c r="J1136">
        <v>274.89999999999998</v>
      </c>
      <c r="M1136" s="7"/>
    </row>
    <row r="1137" spans="2:13" customFormat="1" x14ac:dyDescent="0.25">
      <c r="B1137" t="s">
        <v>533</v>
      </c>
      <c r="C1137" t="s">
        <v>39</v>
      </c>
      <c r="D1137" t="s">
        <v>891</v>
      </c>
      <c r="E1137" t="s">
        <v>225</v>
      </c>
      <c r="F1137" t="s">
        <v>131</v>
      </c>
      <c r="H1137">
        <v>124.45</v>
      </c>
      <c r="I1137">
        <v>0</v>
      </c>
      <c r="J1137">
        <v>-124.45</v>
      </c>
      <c r="M1137" s="7"/>
    </row>
    <row r="1138" spans="2:13" customFormat="1" x14ac:dyDescent="0.25">
      <c r="B1138" t="s">
        <v>533</v>
      </c>
      <c r="C1138" t="s">
        <v>455</v>
      </c>
      <c r="D1138" t="s">
        <v>891</v>
      </c>
      <c r="E1138" t="s">
        <v>456</v>
      </c>
      <c r="F1138" t="s">
        <v>457</v>
      </c>
      <c r="H1138">
        <v>0</v>
      </c>
      <c r="I1138">
        <v>19043.5</v>
      </c>
      <c r="J1138">
        <v>19043.5</v>
      </c>
      <c r="M1138" s="7"/>
    </row>
    <row r="1139" spans="2:13" customFormat="1" x14ac:dyDescent="0.25">
      <c r="B1139" t="s">
        <v>533</v>
      </c>
      <c r="C1139" t="s">
        <v>416</v>
      </c>
      <c r="D1139" t="s">
        <v>891</v>
      </c>
      <c r="E1139" t="s">
        <v>417</v>
      </c>
      <c r="F1139" t="s">
        <v>418</v>
      </c>
      <c r="H1139">
        <v>0</v>
      </c>
      <c r="I1139">
        <v>171097.15</v>
      </c>
      <c r="J1139">
        <v>171097.15</v>
      </c>
      <c r="M1139" s="7"/>
    </row>
    <row r="1140" spans="2:13" customFormat="1" x14ac:dyDescent="0.25">
      <c r="B1140" t="s">
        <v>533</v>
      </c>
      <c r="C1140" t="s">
        <v>458</v>
      </c>
      <c r="D1140" t="s">
        <v>891</v>
      </c>
      <c r="E1140" t="s">
        <v>459</v>
      </c>
      <c r="F1140" t="s">
        <v>460</v>
      </c>
      <c r="H1140">
        <v>0</v>
      </c>
      <c r="I1140">
        <v>13264.48</v>
      </c>
      <c r="J1140">
        <v>13264.48</v>
      </c>
      <c r="M1140" s="7"/>
    </row>
    <row r="1141" spans="2:13" customFormat="1" x14ac:dyDescent="0.25">
      <c r="B1141" t="s">
        <v>533</v>
      </c>
      <c r="C1141" t="s">
        <v>464</v>
      </c>
      <c r="D1141" t="s">
        <v>891</v>
      </c>
      <c r="E1141" t="s">
        <v>465</v>
      </c>
      <c r="F1141" t="s">
        <v>466</v>
      </c>
      <c r="H1141">
        <v>0</v>
      </c>
      <c r="I1141">
        <v>1089544.6200000001</v>
      </c>
      <c r="J1141">
        <v>1089544.6200000001</v>
      </c>
      <c r="M1141" s="7"/>
    </row>
    <row r="1142" spans="2:13" customFormat="1" x14ac:dyDescent="0.25">
      <c r="B1142" t="s">
        <v>533</v>
      </c>
      <c r="C1142" t="s">
        <v>425</v>
      </c>
      <c r="D1142" t="s">
        <v>891</v>
      </c>
      <c r="E1142" t="s">
        <v>426</v>
      </c>
      <c r="F1142" t="s">
        <v>427</v>
      </c>
      <c r="H1142">
        <v>0</v>
      </c>
      <c r="I1142">
        <v>5396.81</v>
      </c>
      <c r="J1142">
        <v>5396.81</v>
      </c>
      <c r="M1142" s="7"/>
    </row>
    <row r="1143" spans="2:13" customFormat="1" x14ac:dyDescent="0.25">
      <c r="B1143" t="s">
        <v>533</v>
      </c>
      <c r="C1143" t="s">
        <v>40</v>
      </c>
      <c r="D1143" t="s">
        <v>891</v>
      </c>
      <c r="E1143" t="s">
        <v>227</v>
      </c>
      <c r="F1143" t="s">
        <v>133</v>
      </c>
      <c r="H1143">
        <v>754518.31</v>
      </c>
      <c r="I1143">
        <v>274675.19</v>
      </c>
      <c r="J1143">
        <v>-479843.12</v>
      </c>
      <c r="M1143" s="7"/>
    </row>
    <row r="1144" spans="2:13" customFormat="1" x14ac:dyDescent="0.25">
      <c r="B1144" t="s">
        <v>533</v>
      </c>
      <c r="C1144" t="s">
        <v>307</v>
      </c>
      <c r="D1144" t="s">
        <v>891</v>
      </c>
      <c r="E1144" t="s">
        <v>308</v>
      </c>
      <c r="F1144" t="s">
        <v>309</v>
      </c>
      <c r="H1144">
        <v>1550202.21</v>
      </c>
      <c r="I1144">
        <v>0</v>
      </c>
      <c r="J1144">
        <v>-1550202.21</v>
      </c>
      <c r="M1144" s="7"/>
    </row>
    <row r="1145" spans="2:13" customFormat="1" x14ac:dyDescent="0.25">
      <c r="B1145" t="s">
        <v>533</v>
      </c>
      <c r="C1145" t="s">
        <v>319</v>
      </c>
      <c r="D1145" t="s">
        <v>891</v>
      </c>
      <c r="E1145" t="s">
        <v>320</v>
      </c>
      <c r="F1145" t="s">
        <v>321</v>
      </c>
      <c r="H1145">
        <v>0</v>
      </c>
      <c r="I1145">
        <v>98399.2</v>
      </c>
      <c r="J1145">
        <v>98399.2</v>
      </c>
      <c r="M1145" s="7"/>
    </row>
    <row r="1146" spans="2:13" customFormat="1" x14ac:dyDescent="0.25">
      <c r="B1146" t="s">
        <v>533</v>
      </c>
      <c r="C1146" t="s">
        <v>41</v>
      </c>
      <c r="D1146" t="s">
        <v>891</v>
      </c>
      <c r="E1146" t="s">
        <v>231</v>
      </c>
      <c r="F1146" t="s">
        <v>137</v>
      </c>
      <c r="H1146">
        <v>30.96</v>
      </c>
      <c r="I1146">
        <v>0</v>
      </c>
      <c r="J1146">
        <v>-30.96</v>
      </c>
      <c r="M1146" s="7"/>
    </row>
    <row r="1147" spans="2:13" customFormat="1" x14ac:dyDescent="0.25">
      <c r="B1147" t="s">
        <v>533</v>
      </c>
      <c r="C1147" t="s">
        <v>42</v>
      </c>
      <c r="D1147" t="s">
        <v>891</v>
      </c>
      <c r="E1147" t="s">
        <v>232</v>
      </c>
      <c r="F1147" t="s">
        <v>138</v>
      </c>
      <c r="H1147">
        <v>4.55</v>
      </c>
      <c r="I1147">
        <v>0.4</v>
      </c>
      <c r="J1147">
        <v>-4.1500000000000004</v>
      </c>
      <c r="M1147" s="7"/>
    </row>
    <row r="1148" spans="2:13" customFormat="1" x14ac:dyDescent="0.25">
      <c r="B1148" t="s">
        <v>533</v>
      </c>
      <c r="C1148" t="s">
        <v>43</v>
      </c>
      <c r="D1148" t="s">
        <v>891</v>
      </c>
      <c r="E1148" t="s">
        <v>233</v>
      </c>
      <c r="F1148" t="s">
        <v>139</v>
      </c>
      <c r="H1148">
        <v>20.89</v>
      </c>
      <c r="I1148">
        <v>1.75</v>
      </c>
      <c r="J1148">
        <v>-19.14</v>
      </c>
      <c r="M1148" s="7"/>
    </row>
    <row r="1149" spans="2:13" customFormat="1" x14ac:dyDescent="0.25">
      <c r="B1149" t="s">
        <v>533</v>
      </c>
      <c r="C1149" t="s">
        <v>365</v>
      </c>
      <c r="D1149" t="s">
        <v>891</v>
      </c>
      <c r="E1149" t="s">
        <v>366</v>
      </c>
      <c r="F1149" t="s">
        <v>367</v>
      </c>
      <c r="H1149">
        <v>22388.5</v>
      </c>
      <c r="I1149">
        <v>0</v>
      </c>
      <c r="J1149">
        <v>-22388.5</v>
      </c>
      <c r="M1149" s="7"/>
    </row>
    <row r="1150" spans="2:13" customFormat="1" x14ac:dyDescent="0.25">
      <c r="B1150" t="s">
        <v>533</v>
      </c>
      <c r="C1150" t="s">
        <v>368</v>
      </c>
      <c r="D1150" t="s">
        <v>891</v>
      </c>
      <c r="E1150" t="s">
        <v>369</v>
      </c>
      <c r="F1150" t="s">
        <v>370</v>
      </c>
      <c r="H1150">
        <v>8779.86</v>
      </c>
      <c r="I1150">
        <v>0</v>
      </c>
      <c r="J1150">
        <v>-8779.86</v>
      </c>
      <c r="M1150" s="7"/>
    </row>
    <row r="1151" spans="2:13" customFormat="1" x14ac:dyDescent="0.25">
      <c r="B1151" t="s">
        <v>533</v>
      </c>
      <c r="C1151" t="s">
        <v>47</v>
      </c>
      <c r="D1151" t="s">
        <v>891</v>
      </c>
      <c r="E1151" t="s">
        <v>238</v>
      </c>
      <c r="F1151" t="s">
        <v>144</v>
      </c>
      <c r="H1151">
        <v>243000</v>
      </c>
      <c r="I1151">
        <v>1000</v>
      </c>
      <c r="J1151">
        <v>-242000</v>
      </c>
      <c r="M1151" s="7"/>
    </row>
    <row r="1152" spans="2:13" customFormat="1" x14ac:dyDescent="0.25">
      <c r="B1152" t="s">
        <v>533</v>
      </c>
      <c r="C1152" t="s">
        <v>371</v>
      </c>
      <c r="D1152" t="s">
        <v>891</v>
      </c>
      <c r="E1152" t="s">
        <v>372</v>
      </c>
      <c r="F1152" t="s">
        <v>373</v>
      </c>
      <c r="H1152">
        <v>583378.88</v>
      </c>
      <c r="I1152">
        <v>0</v>
      </c>
      <c r="J1152">
        <v>-583378.88</v>
      </c>
      <c r="M1152" s="7"/>
    </row>
    <row r="1153" spans="2:13" customFormat="1" x14ac:dyDescent="0.25">
      <c r="B1153" t="s">
        <v>533</v>
      </c>
      <c r="C1153" t="s">
        <v>434</v>
      </c>
      <c r="D1153" t="s">
        <v>891</v>
      </c>
      <c r="E1153" t="s">
        <v>435</v>
      </c>
      <c r="F1153" t="s">
        <v>436</v>
      </c>
      <c r="H1153">
        <v>237285.27</v>
      </c>
      <c r="I1153">
        <v>0</v>
      </c>
      <c r="J1153">
        <v>-237285.27</v>
      </c>
      <c r="M1153" s="7"/>
    </row>
    <row r="1154" spans="2:13" customFormat="1" x14ac:dyDescent="0.25">
      <c r="B1154" t="s">
        <v>533</v>
      </c>
      <c r="C1154" t="s">
        <v>48</v>
      </c>
      <c r="D1154" t="s">
        <v>891</v>
      </c>
      <c r="E1154" t="s">
        <v>241</v>
      </c>
      <c r="F1154" t="s">
        <v>147</v>
      </c>
      <c r="H1154">
        <v>304.89</v>
      </c>
      <c r="I1154">
        <v>0</v>
      </c>
      <c r="J1154">
        <v>-304.89</v>
      </c>
      <c r="M1154" s="7"/>
    </row>
    <row r="1155" spans="2:13" customFormat="1" x14ac:dyDescent="0.25">
      <c r="B1155" t="s">
        <v>533</v>
      </c>
      <c r="C1155" t="s">
        <v>49</v>
      </c>
      <c r="D1155" t="s">
        <v>891</v>
      </c>
      <c r="E1155" t="s">
        <v>243</v>
      </c>
      <c r="F1155" t="s">
        <v>149</v>
      </c>
      <c r="H1155">
        <v>0</v>
      </c>
      <c r="I1155">
        <v>30.96</v>
      </c>
      <c r="J1155">
        <v>30.96</v>
      </c>
      <c r="M1155" s="7"/>
    </row>
    <row r="1156" spans="2:13" customFormat="1" x14ac:dyDescent="0.25">
      <c r="B1156" t="s">
        <v>533</v>
      </c>
      <c r="C1156" t="s">
        <v>50</v>
      </c>
      <c r="D1156" t="s">
        <v>891</v>
      </c>
      <c r="E1156" t="s">
        <v>244</v>
      </c>
      <c r="F1156" t="s">
        <v>150</v>
      </c>
      <c r="H1156">
        <v>0.4</v>
      </c>
      <c r="I1156">
        <v>4.55</v>
      </c>
      <c r="J1156">
        <v>4.1500000000000004</v>
      </c>
      <c r="M1156" s="7"/>
    </row>
    <row r="1157" spans="2:13" customFormat="1" x14ac:dyDescent="0.25">
      <c r="B1157" t="s">
        <v>533</v>
      </c>
      <c r="C1157" t="s">
        <v>51</v>
      </c>
      <c r="D1157" t="s">
        <v>891</v>
      </c>
      <c r="E1157" t="s">
        <v>245</v>
      </c>
      <c r="F1157" t="s">
        <v>151</v>
      </c>
      <c r="H1157">
        <v>1.75</v>
      </c>
      <c r="I1157">
        <v>20.89</v>
      </c>
      <c r="J1157">
        <v>19.14</v>
      </c>
      <c r="M1157" s="7"/>
    </row>
    <row r="1158" spans="2:13" customFormat="1" x14ac:dyDescent="0.25">
      <c r="B1158" t="s">
        <v>533</v>
      </c>
      <c r="C1158" t="s">
        <v>377</v>
      </c>
      <c r="D1158" t="s">
        <v>891</v>
      </c>
      <c r="E1158" t="s">
        <v>378</v>
      </c>
      <c r="F1158" t="s">
        <v>379</v>
      </c>
      <c r="H1158">
        <v>12750</v>
      </c>
      <c r="I1158">
        <v>731583.34</v>
      </c>
      <c r="J1158">
        <v>718833.34</v>
      </c>
      <c r="M1158" s="7"/>
    </row>
    <row r="1159" spans="2:13" customFormat="1" x14ac:dyDescent="0.25">
      <c r="B1159" t="s">
        <v>533</v>
      </c>
      <c r="C1159" t="s">
        <v>54</v>
      </c>
      <c r="D1159" t="s">
        <v>891</v>
      </c>
      <c r="E1159" t="s">
        <v>250</v>
      </c>
      <c r="F1159" t="s">
        <v>156</v>
      </c>
      <c r="H1159">
        <v>0</v>
      </c>
      <c r="I1159">
        <v>191.25</v>
      </c>
      <c r="J1159">
        <v>191.25</v>
      </c>
      <c r="M1159" s="7"/>
    </row>
    <row r="1160" spans="2:13" customFormat="1" x14ac:dyDescent="0.25">
      <c r="B1160" t="s">
        <v>533</v>
      </c>
      <c r="C1160" t="s">
        <v>62</v>
      </c>
      <c r="D1160" t="s">
        <v>891</v>
      </c>
      <c r="E1160" t="s">
        <v>260</v>
      </c>
      <c r="F1160" t="s">
        <v>166</v>
      </c>
      <c r="H1160">
        <v>866.05</v>
      </c>
      <c r="I1160">
        <v>1022.4</v>
      </c>
      <c r="J1160">
        <v>156.35</v>
      </c>
      <c r="M1160" s="7"/>
    </row>
    <row r="1161" spans="2:13" customFormat="1" x14ac:dyDescent="0.25">
      <c r="B1161" t="s">
        <v>533</v>
      </c>
      <c r="C1161" t="s">
        <v>97</v>
      </c>
      <c r="D1161" t="s">
        <v>891</v>
      </c>
      <c r="E1161" t="s">
        <v>270</v>
      </c>
      <c r="F1161" t="s">
        <v>176</v>
      </c>
      <c r="H1161">
        <v>0</v>
      </c>
      <c r="I1161">
        <v>290.61</v>
      </c>
      <c r="J1161">
        <v>290.61</v>
      </c>
      <c r="M1161" s="7"/>
    </row>
    <row r="1162" spans="2:13" customFormat="1" x14ac:dyDescent="0.25">
      <c r="B1162" t="s">
        <v>533</v>
      </c>
      <c r="C1162" t="s">
        <v>66</v>
      </c>
      <c r="D1162" t="s">
        <v>891</v>
      </c>
      <c r="E1162" t="s">
        <v>272</v>
      </c>
      <c r="F1162" t="s">
        <v>178</v>
      </c>
      <c r="H1162">
        <v>0</v>
      </c>
      <c r="I1162">
        <v>199</v>
      </c>
      <c r="J1162">
        <v>199</v>
      </c>
      <c r="M1162" s="7"/>
    </row>
    <row r="1163" spans="2:13" customFormat="1" x14ac:dyDescent="0.25">
      <c r="B1163" t="s">
        <v>533</v>
      </c>
      <c r="C1163" t="s">
        <v>70</v>
      </c>
      <c r="D1163" t="s">
        <v>891</v>
      </c>
      <c r="E1163" t="s">
        <v>286</v>
      </c>
      <c r="F1163" t="s">
        <v>192</v>
      </c>
      <c r="H1163">
        <v>16.32</v>
      </c>
      <c r="I1163">
        <v>800</v>
      </c>
      <c r="J1163">
        <v>783.68</v>
      </c>
      <c r="M1163" s="7"/>
    </row>
    <row r="1164" spans="2:13" customFormat="1" x14ac:dyDescent="0.25">
      <c r="B1164" t="s">
        <v>533</v>
      </c>
      <c r="C1164" t="s">
        <v>72</v>
      </c>
      <c r="D1164" t="s">
        <v>891</v>
      </c>
      <c r="E1164" t="s">
        <v>292</v>
      </c>
      <c r="F1164" t="s">
        <v>198</v>
      </c>
      <c r="H1164">
        <v>0</v>
      </c>
      <c r="I1164">
        <v>51.47</v>
      </c>
      <c r="J1164">
        <v>51.47</v>
      </c>
      <c r="M1164" s="7"/>
    </row>
    <row r="1165" spans="2:13" customFormat="1" x14ac:dyDescent="0.25">
      <c r="B1165" t="s">
        <v>533</v>
      </c>
      <c r="C1165" t="s">
        <v>73</v>
      </c>
      <c r="D1165" t="s">
        <v>891</v>
      </c>
      <c r="E1165" t="s">
        <v>293</v>
      </c>
      <c r="F1165" t="s">
        <v>199</v>
      </c>
      <c r="H1165">
        <v>0.01</v>
      </c>
      <c r="I1165">
        <v>239.11</v>
      </c>
      <c r="J1165">
        <v>239.1</v>
      </c>
      <c r="M1165" s="7"/>
    </row>
    <row r="1166" spans="2:13" customFormat="1" x14ac:dyDescent="0.25">
      <c r="B1166" t="s">
        <v>533</v>
      </c>
      <c r="C1166" t="s">
        <v>74</v>
      </c>
      <c r="D1166" t="s">
        <v>891</v>
      </c>
      <c r="E1166" t="s">
        <v>294</v>
      </c>
      <c r="F1166" t="s">
        <v>200</v>
      </c>
      <c r="H1166">
        <v>0</v>
      </c>
      <c r="I1166">
        <v>2616.0100000000002</v>
      </c>
      <c r="J1166">
        <v>2616.0100000000002</v>
      </c>
      <c r="M1166" s="7"/>
    </row>
    <row r="1167" spans="2:13" customFormat="1" x14ac:dyDescent="0.25">
      <c r="B1167" t="s">
        <v>533</v>
      </c>
      <c r="C1167" t="s">
        <v>75</v>
      </c>
      <c r="D1167" t="s">
        <v>891</v>
      </c>
      <c r="E1167" t="s">
        <v>295</v>
      </c>
      <c r="F1167" t="s">
        <v>201</v>
      </c>
      <c r="H1167">
        <v>0</v>
      </c>
      <c r="I1167">
        <v>22388.5</v>
      </c>
      <c r="J1167">
        <v>22388.5</v>
      </c>
      <c r="M1167" s="7"/>
    </row>
    <row r="1168" spans="2:13" customFormat="1" x14ac:dyDescent="0.25">
      <c r="B1168" t="s">
        <v>533</v>
      </c>
      <c r="C1168" t="s">
        <v>76</v>
      </c>
      <c r="D1168" t="s">
        <v>891</v>
      </c>
      <c r="E1168" t="s">
        <v>296</v>
      </c>
      <c r="F1168" t="s">
        <v>202</v>
      </c>
      <c r="H1168">
        <v>0</v>
      </c>
      <c r="I1168">
        <v>8779.86</v>
      </c>
      <c r="J1168">
        <v>8779.86</v>
      </c>
      <c r="M1168" s="7"/>
    </row>
    <row r="1169" spans="2:13" customFormat="1" x14ac:dyDescent="0.25">
      <c r="B1169" t="s">
        <v>577</v>
      </c>
      <c r="C1169" t="s">
        <v>26</v>
      </c>
      <c r="D1169" t="s">
        <v>891</v>
      </c>
      <c r="E1169" t="s">
        <v>211</v>
      </c>
      <c r="F1169" t="s">
        <v>116</v>
      </c>
      <c r="H1169">
        <v>220228.2</v>
      </c>
      <c r="I1169">
        <v>220228.2</v>
      </c>
      <c r="J1169">
        <v>0</v>
      </c>
      <c r="M1169" s="7"/>
    </row>
    <row r="1170" spans="2:13" customFormat="1" x14ac:dyDescent="0.25">
      <c r="B1170" t="s">
        <v>577</v>
      </c>
      <c r="C1170" t="s">
        <v>28</v>
      </c>
      <c r="D1170" t="s">
        <v>891</v>
      </c>
      <c r="E1170" t="s">
        <v>213</v>
      </c>
      <c r="F1170" t="s">
        <v>118</v>
      </c>
      <c r="H1170">
        <v>60655.67</v>
      </c>
      <c r="I1170">
        <v>61433.94</v>
      </c>
      <c r="J1170">
        <v>1707.26</v>
      </c>
      <c r="M1170" s="7"/>
    </row>
    <row r="1171" spans="2:13" customFormat="1" x14ac:dyDescent="0.25">
      <c r="B1171" t="s">
        <v>577</v>
      </c>
      <c r="C1171" t="s">
        <v>578</v>
      </c>
      <c r="D1171" t="s">
        <v>891</v>
      </c>
      <c r="E1171" t="s">
        <v>579</v>
      </c>
      <c r="F1171" t="s">
        <v>580</v>
      </c>
      <c r="H1171">
        <v>0</v>
      </c>
      <c r="I1171">
        <v>200</v>
      </c>
      <c r="J1171">
        <v>200</v>
      </c>
      <c r="M1171" s="7"/>
    </row>
    <row r="1172" spans="2:13" customFormat="1" x14ac:dyDescent="0.25">
      <c r="B1172" t="s">
        <v>577</v>
      </c>
      <c r="C1172" t="s">
        <v>29</v>
      </c>
      <c r="D1172" t="s">
        <v>891</v>
      </c>
      <c r="E1172" t="s">
        <v>214</v>
      </c>
      <c r="F1172" t="s">
        <v>119</v>
      </c>
      <c r="H1172">
        <v>198620.35</v>
      </c>
      <c r="I1172">
        <v>223051.75</v>
      </c>
      <c r="J1172">
        <v>55225.84</v>
      </c>
      <c r="M1172" s="7"/>
    </row>
    <row r="1173" spans="2:13" customFormat="1" x14ac:dyDescent="0.25">
      <c r="B1173" t="s">
        <v>577</v>
      </c>
      <c r="C1173" t="s">
        <v>30</v>
      </c>
      <c r="D1173" t="s">
        <v>891</v>
      </c>
      <c r="E1173" t="s">
        <v>215</v>
      </c>
      <c r="F1173" t="s">
        <v>120</v>
      </c>
      <c r="H1173">
        <v>2295604.4900000002</v>
      </c>
      <c r="I1173">
        <v>2167024.14</v>
      </c>
      <c r="J1173">
        <v>307823.65999999997</v>
      </c>
      <c r="M1173" s="7"/>
    </row>
    <row r="1174" spans="2:13" customFormat="1" x14ac:dyDescent="0.25">
      <c r="B1174" t="s">
        <v>577</v>
      </c>
      <c r="C1174" t="s">
        <v>500</v>
      </c>
      <c r="D1174" t="s">
        <v>891</v>
      </c>
      <c r="E1174" t="s">
        <v>501</v>
      </c>
      <c r="F1174" t="s">
        <v>502</v>
      </c>
      <c r="H1174">
        <v>20808.09</v>
      </c>
      <c r="I1174">
        <v>42644.74</v>
      </c>
      <c r="J1174">
        <v>21485.9</v>
      </c>
      <c r="M1174" s="7"/>
    </row>
    <row r="1175" spans="2:13" customFormat="1" x14ac:dyDescent="0.25">
      <c r="B1175" t="s">
        <v>577</v>
      </c>
      <c r="C1175" t="s">
        <v>449</v>
      </c>
      <c r="D1175" t="s">
        <v>891</v>
      </c>
      <c r="E1175" t="s">
        <v>450</v>
      </c>
      <c r="F1175" t="s">
        <v>451</v>
      </c>
      <c r="H1175">
        <v>0</v>
      </c>
      <c r="I1175">
        <v>0</v>
      </c>
      <c r="J1175">
        <v>50</v>
      </c>
      <c r="M1175" s="7"/>
    </row>
    <row r="1176" spans="2:13" customFormat="1" x14ac:dyDescent="0.25">
      <c r="B1176" t="s">
        <v>577</v>
      </c>
      <c r="C1176" t="s">
        <v>31</v>
      </c>
      <c r="D1176" t="s">
        <v>891</v>
      </c>
      <c r="E1176" t="s">
        <v>217</v>
      </c>
      <c r="F1176" t="s">
        <v>122</v>
      </c>
      <c r="H1176">
        <v>874848.38</v>
      </c>
      <c r="I1176">
        <v>874848.38</v>
      </c>
      <c r="J1176">
        <v>0</v>
      </c>
      <c r="M1176" s="7"/>
    </row>
    <row r="1177" spans="2:13" customFormat="1" x14ac:dyDescent="0.25">
      <c r="B1177" t="s">
        <v>577</v>
      </c>
      <c r="C1177" t="s">
        <v>32</v>
      </c>
      <c r="D1177" t="s">
        <v>891</v>
      </c>
      <c r="E1177" t="s">
        <v>218</v>
      </c>
      <c r="F1177" t="s">
        <v>123</v>
      </c>
      <c r="H1177">
        <v>0</v>
      </c>
      <c r="I1177">
        <v>14250</v>
      </c>
      <c r="J1177">
        <v>35250</v>
      </c>
      <c r="M1177" s="7"/>
    </row>
    <row r="1178" spans="2:13" customFormat="1" x14ac:dyDescent="0.25">
      <c r="B1178" t="s">
        <v>577</v>
      </c>
      <c r="C1178" t="s">
        <v>33</v>
      </c>
      <c r="D1178" t="s">
        <v>891</v>
      </c>
      <c r="E1178" t="s">
        <v>219</v>
      </c>
      <c r="F1178" t="s">
        <v>124</v>
      </c>
      <c r="H1178">
        <v>290109.62</v>
      </c>
      <c r="I1178">
        <v>291102.02</v>
      </c>
      <c r="J1178">
        <v>10351.35</v>
      </c>
      <c r="M1178" s="7"/>
    </row>
    <row r="1179" spans="2:13" customFormat="1" x14ac:dyDescent="0.25">
      <c r="B1179" t="s">
        <v>577</v>
      </c>
      <c r="C1179" t="s">
        <v>34</v>
      </c>
      <c r="D1179" t="s">
        <v>891</v>
      </c>
      <c r="E1179" t="s">
        <v>220</v>
      </c>
      <c r="F1179" t="s">
        <v>125</v>
      </c>
      <c r="H1179">
        <v>273610.03999999998</v>
      </c>
      <c r="I1179">
        <v>297146.32</v>
      </c>
      <c r="J1179">
        <v>296423.14</v>
      </c>
      <c r="M1179" s="7"/>
    </row>
    <row r="1180" spans="2:13" customFormat="1" x14ac:dyDescent="0.25">
      <c r="B1180" t="s">
        <v>577</v>
      </c>
      <c r="C1180" t="s">
        <v>205</v>
      </c>
      <c r="D1180" t="s">
        <v>891</v>
      </c>
      <c r="E1180" t="s">
        <v>298</v>
      </c>
      <c r="F1180" t="s">
        <v>206</v>
      </c>
      <c r="H1180">
        <v>3374.97</v>
      </c>
      <c r="I1180">
        <v>2043.6</v>
      </c>
      <c r="J1180">
        <v>2027.13</v>
      </c>
      <c r="M1180" s="7"/>
    </row>
    <row r="1181" spans="2:13" customFormat="1" x14ac:dyDescent="0.25">
      <c r="B1181" t="s">
        <v>577</v>
      </c>
      <c r="C1181" t="s">
        <v>301</v>
      </c>
      <c r="D1181" t="s">
        <v>891</v>
      </c>
      <c r="E1181" t="s">
        <v>302</v>
      </c>
      <c r="F1181" t="s">
        <v>303</v>
      </c>
      <c r="H1181">
        <v>14534.88</v>
      </c>
      <c r="I1181">
        <v>14534.88</v>
      </c>
      <c r="J1181">
        <v>0</v>
      </c>
      <c r="M1181" s="7"/>
    </row>
    <row r="1182" spans="2:13" customFormat="1" x14ac:dyDescent="0.25">
      <c r="B1182" t="s">
        <v>577</v>
      </c>
      <c r="C1182" t="s">
        <v>521</v>
      </c>
      <c r="D1182" t="s">
        <v>891</v>
      </c>
      <c r="E1182" t="s">
        <v>522</v>
      </c>
      <c r="F1182" t="s">
        <v>523</v>
      </c>
      <c r="H1182">
        <v>0</v>
      </c>
      <c r="I1182">
        <v>0</v>
      </c>
      <c r="J1182">
        <v>1344873.76</v>
      </c>
      <c r="M1182" s="7"/>
    </row>
    <row r="1183" spans="2:13" customFormat="1" x14ac:dyDescent="0.25">
      <c r="B1183" t="s">
        <v>577</v>
      </c>
      <c r="C1183" t="s">
        <v>35</v>
      </c>
      <c r="D1183" t="s">
        <v>891</v>
      </c>
      <c r="E1183" t="s">
        <v>221</v>
      </c>
      <c r="F1183" t="s">
        <v>127</v>
      </c>
      <c r="H1183">
        <v>52.66</v>
      </c>
      <c r="I1183">
        <v>1498.37</v>
      </c>
      <c r="J1183">
        <v>1547.15</v>
      </c>
      <c r="M1183" s="7"/>
    </row>
    <row r="1184" spans="2:13" customFormat="1" x14ac:dyDescent="0.25">
      <c r="B1184" t="s">
        <v>577</v>
      </c>
      <c r="C1184" t="s">
        <v>36</v>
      </c>
      <c r="D1184" t="s">
        <v>891</v>
      </c>
      <c r="E1184" t="s">
        <v>222</v>
      </c>
      <c r="F1184" t="s">
        <v>128</v>
      </c>
      <c r="H1184">
        <v>12.99</v>
      </c>
      <c r="I1184">
        <v>195.89</v>
      </c>
      <c r="J1184">
        <v>397.87</v>
      </c>
      <c r="M1184" s="7"/>
    </row>
    <row r="1185" spans="2:13" customFormat="1" x14ac:dyDescent="0.25">
      <c r="B1185" t="s">
        <v>577</v>
      </c>
      <c r="C1185" t="s">
        <v>37</v>
      </c>
      <c r="D1185" t="s">
        <v>891</v>
      </c>
      <c r="E1185" t="s">
        <v>223</v>
      </c>
      <c r="F1185" t="s">
        <v>129</v>
      </c>
      <c r="H1185">
        <v>59.82</v>
      </c>
      <c r="I1185">
        <v>902.29</v>
      </c>
      <c r="J1185">
        <v>1821.45</v>
      </c>
      <c r="M1185" s="7"/>
    </row>
    <row r="1186" spans="2:13" customFormat="1" x14ac:dyDescent="0.25">
      <c r="B1186" t="s">
        <v>577</v>
      </c>
      <c r="C1186" t="s">
        <v>304</v>
      </c>
      <c r="D1186" t="s">
        <v>891</v>
      </c>
      <c r="E1186" t="s">
        <v>305</v>
      </c>
      <c r="F1186" t="s">
        <v>306</v>
      </c>
      <c r="H1186">
        <v>776066.91</v>
      </c>
      <c r="I1186">
        <v>797396.36</v>
      </c>
      <c r="J1186">
        <v>159280.54999999999</v>
      </c>
      <c r="M1186" s="7"/>
    </row>
    <row r="1187" spans="2:13" customFormat="1" x14ac:dyDescent="0.25">
      <c r="B1187" t="s">
        <v>577</v>
      </c>
      <c r="C1187" t="s">
        <v>38</v>
      </c>
      <c r="D1187" t="s">
        <v>891</v>
      </c>
      <c r="E1187" t="s">
        <v>224</v>
      </c>
      <c r="F1187" t="s">
        <v>130</v>
      </c>
      <c r="H1187">
        <v>0</v>
      </c>
      <c r="I1187">
        <v>659</v>
      </c>
      <c r="J1187">
        <v>659</v>
      </c>
      <c r="M1187" s="7"/>
    </row>
    <row r="1188" spans="2:13" customFormat="1" x14ac:dyDescent="0.25">
      <c r="B1188" t="s">
        <v>577</v>
      </c>
      <c r="C1188" t="s">
        <v>39</v>
      </c>
      <c r="D1188" t="s">
        <v>891</v>
      </c>
      <c r="E1188" t="s">
        <v>225</v>
      </c>
      <c r="F1188" t="s">
        <v>131</v>
      </c>
      <c r="H1188">
        <v>972.66</v>
      </c>
      <c r="I1188">
        <v>4405.8</v>
      </c>
      <c r="J1188">
        <v>7235.82</v>
      </c>
      <c r="M1188" s="7"/>
    </row>
    <row r="1189" spans="2:13" customFormat="1" x14ac:dyDescent="0.25">
      <c r="B1189" t="s">
        <v>577</v>
      </c>
      <c r="C1189" t="s">
        <v>455</v>
      </c>
      <c r="D1189" t="s">
        <v>891</v>
      </c>
      <c r="E1189" t="s">
        <v>456</v>
      </c>
      <c r="F1189" t="s">
        <v>457</v>
      </c>
      <c r="H1189">
        <v>0</v>
      </c>
      <c r="I1189">
        <v>0</v>
      </c>
      <c r="J1189">
        <v>858.31</v>
      </c>
      <c r="M1189" s="7"/>
    </row>
    <row r="1190" spans="2:13" customFormat="1" x14ac:dyDescent="0.25">
      <c r="B1190" t="s">
        <v>577</v>
      </c>
      <c r="C1190" t="s">
        <v>416</v>
      </c>
      <c r="D1190" t="s">
        <v>891</v>
      </c>
      <c r="E1190" t="s">
        <v>417</v>
      </c>
      <c r="F1190" t="s">
        <v>418</v>
      </c>
      <c r="H1190">
        <v>0</v>
      </c>
      <c r="I1190">
        <v>0</v>
      </c>
      <c r="J1190">
        <v>28716.77</v>
      </c>
      <c r="M1190" s="7"/>
    </row>
    <row r="1191" spans="2:13" customFormat="1" x14ac:dyDescent="0.25">
      <c r="B1191" t="s">
        <v>577</v>
      </c>
      <c r="C1191" t="s">
        <v>458</v>
      </c>
      <c r="D1191" t="s">
        <v>891</v>
      </c>
      <c r="E1191" t="s">
        <v>459</v>
      </c>
      <c r="F1191" t="s">
        <v>460</v>
      </c>
      <c r="H1191">
        <v>0</v>
      </c>
      <c r="I1191">
        <v>0</v>
      </c>
      <c r="J1191">
        <v>2665.4</v>
      </c>
      <c r="M1191" s="7"/>
    </row>
    <row r="1192" spans="2:13" customFormat="1" x14ac:dyDescent="0.25">
      <c r="B1192" t="s">
        <v>577</v>
      </c>
      <c r="C1192" t="s">
        <v>464</v>
      </c>
      <c r="D1192" t="s">
        <v>891</v>
      </c>
      <c r="E1192" t="s">
        <v>465</v>
      </c>
      <c r="F1192" t="s">
        <v>466</v>
      </c>
      <c r="H1192">
        <v>0</v>
      </c>
      <c r="I1192">
        <v>0</v>
      </c>
      <c r="J1192">
        <v>533813.12</v>
      </c>
      <c r="M1192" s="7"/>
    </row>
    <row r="1193" spans="2:13" customFormat="1" x14ac:dyDescent="0.25">
      <c r="B1193" t="s">
        <v>577</v>
      </c>
      <c r="C1193" t="s">
        <v>470</v>
      </c>
      <c r="D1193" t="s">
        <v>891</v>
      </c>
      <c r="E1193" t="s">
        <v>471</v>
      </c>
      <c r="F1193" t="s">
        <v>472</v>
      </c>
      <c r="H1193">
        <v>0.43</v>
      </c>
      <c r="I1193">
        <v>0</v>
      </c>
      <c r="J1193">
        <v>-807.84</v>
      </c>
      <c r="M1193" s="7"/>
    </row>
    <row r="1194" spans="2:13" customFormat="1" x14ac:dyDescent="0.25">
      <c r="B1194" t="s">
        <v>577</v>
      </c>
      <c r="C1194" t="s">
        <v>419</v>
      </c>
      <c r="D1194" t="s">
        <v>891</v>
      </c>
      <c r="E1194" t="s">
        <v>420</v>
      </c>
      <c r="F1194" t="s">
        <v>421</v>
      </c>
      <c r="H1194">
        <v>198.77</v>
      </c>
      <c r="I1194">
        <v>0</v>
      </c>
      <c r="J1194">
        <v>-5262.24</v>
      </c>
      <c r="M1194" s="7"/>
    </row>
    <row r="1195" spans="2:13" customFormat="1" x14ac:dyDescent="0.25">
      <c r="B1195" t="s">
        <v>577</v>
      </c>
      <c r="C1195" t="s">
        <v>473</v>
      </c>
      <c r="D1195" t="s">
        <v>891</v>
      </c>
      <c r="E1195" t="s">
        <v>474</v>
      </c>
      <c r="F1195" t="s">
        <v>475</v>
      </c>
      <c r="H1195">
        <v>1.3</v>
      </c>
      <c r="I1195">
        <v>0</v>
      </c>
      <c r="J1195">
        <v>-2589.8200000000002</v>
      </c>
      <c r="M1195" s="7"/>
    </row>
    <row r="1196" spans="2:13" customFormat="1" x14ac:dyDescent="0.25">
      <c r="B1196" t="s">
        <v>577</v>
      </c>
      <c r="C1196" t="s">
        <v>581</v>
      </c>
      <c r="D1196" t="s">
        <v>891</v>
      </c>
      <c r="E1196" t="s">
        <v>582</v>
      </c>
      <c r="F1196" t="s">
        <v>583</v>
      </c>
      <c r="H1196">
        <v>4448.4399999999996</v>
      </c>
      <c r="I1196">
        <v>4448.4399999999996</v>
      </c>
      <c r="J1196">
        <v>-4448.4399999999996</v>
      </c>
      <c r="M1196" s="7"/>
    </row>
    <row r="1197" spans="2:13" customFormat="1" x14ac:dyDescent="0.25">
      <c r="B1197" t="s">
        <v>577</v>
      </c>
      <c r="C1197" t="s">
        <v>479</v>
      </c>
      <c r="D1197" t="s">
        <v>891</v>
      </c>
      <c r="E1197" t="s">
        <v>480</v>
      </c>
      <c r="F1197" t="s">
        <v>481</v>
      </c>
      <c r="H1197">
        <v>4448.4399999999996</v>
      </c>
      <c r="I1197">
        <v>0</v>
      </c>
      <c r="J1197">
        <v>-4448.4399999999996</v>
      </c>
      <c r="M1197" s="7"/>
    </row>
    <row r="1198" spans="2:13" customFormat="1" x14ac:dyDescent="0.25">
      <c r="B1198" t="s">
        <v>577</v>
      </c>
      <c r="C1198" t="s">
        <v>422</v>
      </c>
      <c r="D1198" t="s">
        <v>891</v>
      </c>
      <c r="E1198" t="s">
        <v>423</v>
      </c>
      <c r="F1198" t="s">
        <v>424</v>
      </c>
      <c r="H1198">
        <v>0</v>
      </c>
      <c r="I1198">
        <v>0</v>
      </c>
      <c r="J1198">
        <v>536302.02</v>
      </c>
      <c r="M1198" s="7"/>
    </row>
    <row r="1199" spans="2:13" customFormat="1" x14ac:dyDescent="0.25">
      <c r="B1199" t="s">
        <v>577</v>
      </c>
      <c r="C1199" t="s">
        <v>425</v>
      </c>
      <c r="D1199" t="s">
        <v>891</v>
      </c>
      <c r="E1199" t="s">
        <v>426</v>
      </c>
      <c r="F1199" t="s">
        <v>427</v>
      </c>
      <c r="H1199">
        <v>0</v>
      </c>
      <c r="I1199">
        <v>6700</v>
      </c>
      <c r="J1199">
        <v>6700</v>
      </c>
      <c r="M1199" s="7"/>
    </row>
    <row r="1200" spans="2:13" customFormat="1" x14ac:dyDescent="0.25">
      <c r="B1200" t="s">
        <v>577</v>
      </c>
      <c r="C1200" t="s">
        <v>428</v>
      </c>
      <c r="D1200" t="s">
        <v>891</v>
      </c>
      <c r="E1200" t="s">
        <v>429</v>
      </c>
      <c r="F1200" t="s">
        <v>430</v>
      </c>
      <c r="H1200">
        <v>58.33</v>
      </c>
      <c r="I1200">
        <v>0</v>
      </c>
      <c r="J1200">
        <v>-58.33</v>
      </c>
      <c r="M1200" s="7"/>
    </row>
    <row r="1201" spans="2:13" customFormat="1" x14ac:dyDescent="0.25">
      <c r="B1201" t="s">
        <v>577</v>
      </c>
      <c r="C1201" t="s">
        <v>40</v>
      </c>
      <c r="D1201" t="s">
        <v>891</v>
      </c>
      <c r="E1201" t="s">
        <v>227</v>
      </c>
      <c r="F1201" t="s">
        <v>133</v>
      </c>
      <c r="H1201">
        <v>830838.83</v>
      </c>
      <c r="I1201">
        <v>879689.74</v>
      </c>
      <c r="J1201">
        <v>-264726.02</v>
      </c>
      <c r="M1201" s="7"/>
    </row>
    <row r="1202" spans="2:13" customFormat="1" x14ac:dyDescent="0.25">
      <c r="B1202" t="s">
        <v>577</v>
      </c>
      <c r="C1202" t="s">
        <v>307</v>
      </c>
      <c r="D1202" t="s">
        <v>891</v>
      </c>
      <c r="E1202" t="s">
        <v>308</v>
      </c>
      <c r="F1202" t="s">
        <v>309</v>
      </c>
      <c r="H1202">
        <v>0</v>
      </c>
      <c r="I1202">
        <v>1344559.69</v>
      </c>
      <c r="J1202">
        <v>0</v>
      </c>
      <c r="M1202" s="7"/>
    </row>
    <row r="1203" spans="2:13" customFormat="1" x14ac:dyDescent="0.25">
      <c r="B1203" t="s">
        <v>577</v>
      </c>
      <c r="C1203" t="s">
        <v>880</v>
      </c>
      <c r="D1203" t="s">
        <v>891</v>
      </c>
      <c r="E1203" t="s">
        <v>881</v>
      </c>
      <c r="F1203" t="s">
        <v>882</v>
      </c>
      <c r="H1203">
        <v>0</v>
      </c>
      <c r="I1203">
        <v>0</v>
      </c>
      <c r="J1203">
        <v>-1344559.69</v>
      </c>
      <c r="M1203" s="7"/>
    </row>
    <row r="1204" spans="2:13" customFormat="1" x14ac:dyDescent="0.25">
      <c r="B1204" t="s">
        <v>577</v>
      </c>
      <c r="C1204" t="s">
        <v>310</v>
      </c>
      <c r="D1204" t="s">
        <v>891</v>
      </c>
      <c r="E1204" t="s">
        <v>311</v>
      </c>
      <c r="F1204" t="s">
        <v>312</v>
      </c>
      <c r="H1204">
        <v>41103.57</v>
      </c>
      <c r="I1204">
        <v>41103.57</v>
      </c>
      <c r="J1204">
        <v>0</v>
      </c>
      <c r="M1204" s="7"/>
    </row>
    <row r="1205" spans="2:13" customFormat="1" x14ac:dyDescent="0.25">
      <c r="B1205" t="s">
        <v>577</v>
      </c>
      <c r="C1205" t="s">
        <v>313</v>
      </c>
      <c r="D1205" t="s">
        <v>891</v>
      </c>
      <c r="E1205" t="s">
        <v>314</v>
      </c>
      <c r="F1205" t="s">
        <v>315</v>
      </c>
      <c r="H1205">
        <v>4428.24</v>
      </c>
      <c r="I1205">
        <v>4428.24</v>
      </c>
      <c r="J1205">
        <v>0</v>
      </c>
      <c r="M1205" s="7"/>
    </row>
    <row r="1206" spans="2:13" customFormat="1" x14ac:dyDescent="0.25">
      <c r="B1206" t="s">
        <v>577</v>
      </c>
      <c r="C1206" t="s">
        <v>431</v>
      </c>
      <c r="D1206" t="s">
        <v>891</v>
      </c>
      <c r="E1206" t="s">
        <v>432</v>
      </c>
      <c r="F1206" t="s">
        <v>433</v>
      </c>
      <c r="H1206">
        <v>3044.43</v>
      </c>
      <c r="I1206">
        <v>3044.43</v>
      </c>
      <c r="J1206">
        <v>0</v>
      </c>
      <c r="M1206" s="7"/>
    </row>
    <row r="1207" spans="2:13" customFormat="1" x14ac:dyDescent="0.25">
      <c r="B1207" t="s">
        <v>577</v>
      </c>
      <c r="C1207" t="s">
        <v>316</v>
      </c>
      <c r="D1207" t="s">
        <v>891</v>
      </c>
      <c r="E1207" t="s">
        <v>317</v>
      </c>
      <c r="F1207" t="s">
        <v>318</v>
      </c>
      <c r="H1207">
        <v>2421.4699999999998</v>
      </c>
      <c r="I1207">
        <v>4160.37</v>
      </c>
      <c r="J1207">
        <v>-19952.96</v>
      </c>
      <c r="M1207" s="7"/>
    </row>
    <row r="1208" spans="2:13" customFormat="1" x14ac:dyDescent="0.25">
      <c r="B1208" t="s">
        <v>577</v>
      </c>
      <c r="C1208" t="s">
        <v>319</v>
      </c>
      <c r="D1208" t="s">
        <v>891</v>
      </c>
      <c r="E1208" t="s">
        <v>320</v>
      </c>
      <c r="F1208" t="s">
        <v>321</v>
      </c>
      <c r="H1208">
        <v>1768.45</v>
      </c>
      <c r="I1208">
        <v>0</v>
      </c>
      <c r="J1208">
        <v>-10992.68</v>
      </c>
      <c r="M1208" s="7"/>
    </row>
    <row r="1209" spans="2:13" customFormat="1" x14ac:dyDescent="0.25">
      <c r="B1209" t="s">
        <v>577</v>
      </c>
      <c r="C1209" t="s">
        <v>488</v>
      </c>
      <c r="D1209" t="s">
        <v>891</v>
      </c>
      <c r="E1209" t="s">
        <v>489</v>
      </c>
      <c r="F1209" t="s">
        <v>490</v>
      </c>
      <c r="H1209">
        <v>350.07</v>
      </c>
      <c r="I1209">
        <v>350.07</v>
      </c>
      <c r="J1209">
        <v>-700.14</v>
      </c>
      <c r="M1209" s="7"/>
    </row>
    <row r="1210" spans="2:13" customFormat="1" x14ac:dyDescent="0.25">
      <c r="B1210" t="s">
        <v>577</v>
      </c>
      <c r="C1210" t="s">
        <v>322</v>
      </c>
      <c r="D1210" t="s">
        <v>891</v>
      </c>
      <c r="E1210" t="s">
        <v>323</v>
      </c>
      <c r="F1210" t="s">
        <v>324</v>
      </c>
      <c r="H1210">
        <v>10737.28</v>
      </c>
      <c r="I1210">
        <v>10218.040000000001</v>
      </c>
      <c r="J1210">
        <v>-10350.9</v>
      </c>
      <c r="M1210" s="7"/>
    </row>
    <row r="1211" spans="2:13" customFormat="1" x14ac:dyDescent="0.25">
      <c r="B1211" t="s">
        <v>577</v>
      </c>
      <c r="C1211" t="s">
        <v>325</v>
      </c>
      <c r="D1211" t="s">
        <v>891</v>
      </c>
      <c r="E1211" t="s">
        <v>326</v>
      </c>
      <c r="F1211" t="s">
        <v>327</v>
      </c>
      <c r="H1211">
        <v>4421.54</v>
      </c>
      <c r="I1211">
        <v>3958.38</v>
      </c>
      <c r="J1211">
        <v>-2409.94</v>
      </c>
      <c r="M1211" s="7"/>
    </row>
    <row r="1212" spans="2:13" customFormat="1" x14ac:dyDescent="0.25">
      <c r="B1212" t="s">
        <v>577</v>
      </c>
      <c r="C1212" t="s">
        <v>328</v>
      </c>
      <c r="D1212" t="s">
        <v>891</v>
      </c>
      <c r="E1212" t="s">
        <v>329</v>
      </c>
      <c r="F1212" t="s">
        <v>171</v>
      </c>
      <c r="H1212">
        <v>754.95</v>
      </c>
      <c r="I1212">
        <v>1297.0999999999999</v>
      </c>
      <c r="J1212">
        <v>-6220.84</v>
      </c>
      <c r="M1212" s="7"/>
    </row>
    <row r="1213" spans="2:13" customFormat="1" x14ac:dyDescent="0.25">
      <c r="B1213" t="s">
        <v>577</v>
      </c>
      <c r="C1213" t="s">
        <v>330</v>
      </c>
      <c r="D1213" t="s">
        <v>891</v>
      </c>
      <c r="E1213" t="s">
        <v>331</v>
      </c>
      <c r="F1213" t="s">
        <v>332</v>
      </c>
      <c r="H1213">
        <v>551.4</v>
      </c>
      <c r="I1213">
        <v>0.01</v>
      </c>
      <c r="J1213">
        <v>-3427.24</v>
      </c>
      <c r="M1213" s="7"/>
    </row>
    <row r="1214" spans="2:13" customFormat="1" x14ac:dyDescent="0.25">
      <c r="B1214" t="s">
        <v>577</v>
      </c>
      <c r="C1214" t="s">
        <v>333</v>
      </c>
      <c r="D1214" t="s">
        <v>891</v>
      </c>
      <c r="E1214" t="s">
        <v>334</v>
      </c>
      <c r="F1214" t="s">
        <v>172</v>
      </c>
      <c r="H1214">
        <v>193.7</v>
      </c>
      <c r="I1214">
        <v>332.83</v>
      </c>
      <c r="J1214">
        <v>-1596.23</v>
      </c>
      <c r="M1214" s="7"/>
    </row>
    <row r="1215" spans="2:13" customFormat="1" x14ac:dyDescent="0.25">
      <c r="B1215" t="s">
        <v>577</v>
      </c>
      <c r="C1215" t="s">
        <v>335</v>
      </c>
      <c r="D1215" t="s">
        <v>891</v>
      </c>
      <c r="E1215" t="s">
        <v>336</v>
      </c>
      <c r="F1215" t="s">
        <v>337</v>
      </c>
      <c r="H1215">
        <v>141.47</v>
      </c>
      <c r="I1215">
        <v>0</v>
      </c>
      <c r="J1215">
        <v>-879.41</v>
      </c>
      <c r="M1215" s="7"/>
    </row>
    <row r="1216" spans="2:13" customFormat="1" x14ac:dyDescent="0.25">
      <c r="B1216" t="s">
        <v>577</v>
      </c>
      <c r="C1216" t="s">
        <v>41</v>
      </c>
      <c r="D1216" t="s">
        <v>891</v>
      </c>
      <c r="E1216" t="s">
        <v>231</v>
      </c>
      <c r="F1216" t="s">
        <v>137</v>
      </c>
      <c r="H1216">
        <v>52.66</v>
      </c>
      <c r="I1216">
        <v>52.66</v>
      </c>
      <c r="J1216">
        <v>14.24</v>
      </c>
      <c r="M1216" s="7"/>
    </row>
    <row r="1217" spans="2:13" customFormat="1" x14ac:dyDescent="0.25">
      <c r="B1217" t="s">
        <v>577</v>
      </c>
      <c r="C1217" t="s">
        <v>42</v>
      </c>
      <c r="D1217" t="s">
        <v>891</v>
      </c>
      <c r="E1217" t="s">
        <v>232</v>
      </c>
      <c r="F1217" t="s">
        <v>138</v>
      </c>
      <c r="H1217">
        <v>12.99</v>
      </c>
      <c r="I1217">
        <v>12.99</v>
      </c>
      <c r="J1217">
        <v>0</v>
      </c>
      <c r="M1217" s="7"/>
    </row>
    <row r="1218" spans="2:13" customFormat="1" x14ac:dyDescent="0.25">
      <c r="B1218" t="s">
        <v>577</v>
      </c>
      <c r="C1218" t="s">
        <v>43</v>
      </c>
      <c r="D1218" t="s">
        <v>891</v>
      </c>
      <c r="E1218" t="s">
        <v>233</v>
      </c>
      <c r="F1218" t="s">
        <v>139</v>
      </c>
      <c r="H1218">
        <v>59.82</v>
      </c>
      <c r="I1218">
        <v>59.82</v>
      </c>
      <c r="J1218">
        <v>0</v>
      </c>
      <c r="M1218" s="7"/>
    </row>
    <row r="1219" spans="2:13" customFormat="1" x14ac:dyDescent="0.25">
      <c r="B1219" t="s">
        <v>577</v>
      </c>
      <c r="C1219" t="s">
        <v>365</v>
      </c>
      <c r="D1219" t="s">
        <v>891</v>
      </c>
      <c r="E1219" t="s">
        <v>366</v>
      </c>
      <c r="F1219" t="s">
        <v>367</v>
      </c>
      <c r="H1219">
        <v>10842.38</v>
      </c>
      <c r="I1219">
        <v>6301.76</v>
      </c>
      <c r="J1219">
        <v>-10842.38</v>
      </c>
      <c r="M1219" s="7"/>
    </row>
    <row r="1220" spans="2:13" customFormat="1" x14ac:dyDescent="0.25">
      <c r="B1220" t="s">
        <v>577</v>
      </c>
      <c r="C1220" t="s">
        <v>368</v>
      </c>
      <c r="D1220" t="s">
        <v>891</v>
      </c>
      <c r="E1220" t="s">
        <v>369</v>
      </c>
      <c r="F1220" t="s">
        <v>370</v>
      </c>
      <c r="H1220">
        <v>4623.26</v>
      </c>
      <c r="I1220">
        <v>3781.06</v>
      </c>
      <c r="J1220">
        <v>-4623.26</v>
      </c>
      <c r="M1220" s="7"/>
    </row>
    <row r="1221" spans="2:13" customFormat="1" x14ac:dyDescent="0.25">
      <c r="B1221" t="s">
        <v>577</v>
      </c>
      <c r="C1221" t="s">
        <v>491</v>
      </c>
      <c r="D1221" t="s">
        <v>891</v>
      </c>
      <c r="E1221" t="s">
        <v>492</v>
      </c>
      <c r="F1221" t="s">
        <v>493</v>
      </c>
      <c r="H1221">
        <v>0</v>
      </c>
      <c r="I1221">
        <v>10196.379999999999</v>
      </c>
      <c r="J1221">
        <v>10196.379999999999</v>
      </c>
      <c r="M1221" s="7"/>
    </row>
    <row r="1222" spans="2:13" customFormat="1" x14ac:dyDescent="0.25">
      <c r="B1222" t="s">
        <v>577</v>
      </c>
      <c r="C1222" t="s">
        <v>44</v>
      </c>
      <c r="D1222" t="s">
        <v>891</v>
      </c>
      <c r="E1222" t="s">
        <v>235</v>
      </c>
      <c r="F1222" t="s">
        <v>141</v>
      </c>
      <c r="H1222">
        <v>61.12</v>
      </c>
      <c r="I1222">
        <v>13.48</v>
      </c>
      <c r="J1222">
        <v>-61.12</v>
      </c>
      <c r="M1222" s="7"/>
    </row>
    <row r="1223" spans="2:13" customFormat="1" x14ac:dyDescent="0.25">
      <c r="B1223" t="s">
        <v>577</v>
      </c>
      <c r="C1223" t="s">
        <v>45</v>
      </c>
      <c r="D1223" t="s">
        <v>891</v>
      </c>
      <c r="E1223" t="s">
        <v>236</v>
      </c>
      <c r="F1223" t="s">
        <v>142</v>
      </c>
      <c r="H1223">
        <v>259.97000000000003</v>
      </c>
      <c r="I1223">
        <v>62.69</v>
      </c>
      <c r="J1223">
        <v>-259.97000000000003</v>
      </c>
      <c r="M1223" s="7"/>
    </row>
    <row r="1224" spans="2:13" customFormat="1" x14ac:dyDescent="0.25">
      <c r="B1224" t="s">
        <v>577</v>
      </c>
      <c r="C1224" t="s">
        <v>338</v>
      </c>
      <c r="D1224" t="s">
        <v>891</v>
      </c>
      <c r="E1224" t="s">
        <v>339</v>
      </c>
      <c r="F1224" t="s">
        <v>340</v>
      </c>
      <c r="H1224">
        <v>112.2</v>
      </c>
      <c r="I1224">
        <v>112.2</v>
      </c>
      <c r="J1224">
        <v>0</v>
      </c>
      <c r="M1224" s="7"/>
    </row>
    <row r="1225" spans="2:13" customFormat="1" x14ac:dyDescent="0.25">
      <c r="B1225" t="s">
        <v>577</v>
      </c>
      <c r="C1225" t="s">
        <v>341</v>
      </c>
      <c r="D1225" t="s">
        <v>891</v>
      </c>
      <c r="E1225" t="s">
        <v>342</v>
      </c>
      <c r="F1225" t="s">
        <v>343</v>
      </c>
      <c r="H1225">
        <v>485.57</v>
      </c>
      <c r="I1225">
        <v>0</v>
      </c>
      <c r="J1225">
        <v>-2060.5</v>
      </c>
      <c r="M1225" s="7"/>
    </row>
    <row r="1226" spans="2:13" customFormat="1" x14ac:dyDescent="0.25">
      <c r="B1226" t="s">
        <v>577</v>
      </c>
      <c r="C1226" t="s">
        <v>46</v>
      </c>
      <c r="D1226" t="s">
        <v>891</v>
      </c>
      <c r="E1226" t="s">
        <v>237</v>
      </c>
      <c r="F1226" t="s">
        <v>143</v>
      </c>
      <c r="H1226">
        <v>0</v>
      </c>
      <c r="I1226">
        <v>0</v>
      </c>
      <c r="J1226">
        <v>-1000</v>
      </c>
      <c r="M1226" s="7"/>
    </row>
    <row r="1227" spans="2:13" customFormat="1" x14ac:dyDescent="0.25">
      <c r="B1227" t="s">
        <v>577</v>
      </c>
      <c r="C1227" t="s">
        <v>47</v>
      </c>
      <c r="D1227" t="s">
        <v>891</v>
      </c>
      <c r="E1227" t="s">
        <v>238</v>
      </c>
      <c r="F1227" t="s">
        <v>144</v>
      </c>
      <c r="H1227">
        <v>1349272</v>
      </c>
      <c r="I1227">
        <v>0</v>
      </c>
      <c r="J1227">
        <v>-1598272</v>
      </c>
      <c r="M1227" s="7"/>
    </row>
    <row r="1228" spans="2:13" customFormat="1" x14ac:dyDescent="0.25">
      <c r="B1228" t="s">
        <v>577</v>
      </c>
      <c r="C1228" t="s">
        <v>371</v>
      </c>
      <c r="D1228" t="s">
        <v>891</v>
      </c>
      <c r="E1228" t="s">
        <v>372</v>
      </c>
      <c r="F1228" t="s">
        <v>373</v>
      </c>
      <c r="H1228">
        <v>649152.29</v>
      </c>
      <c r="I1228">
        <v>0</v>
      </c>
      <c r="J1228">
        <v>-2081187.64</v>
      </c>
      <c r="M1228" s="7"/>
    </row>
    <row r="1229" spans="2:13" customFormat="1" x14ac:dyDescent="0.25">
      <c r="B1229" t="s">
        <v>577</v>
      </c>
      <c r="C1229" t="s">
        <v>434</v>
      </c>
      <c r="D1229" t="s">
        <v>891</v>
      </c>
      <c r="E1229" t="s">
        <v>435</v>
      </c>
      <c r="F1229" t="s">
        <v>436</v>
      </c>
      <c r="H1229">
        <v>222202.78</v>
      </c>
      <c r="I1229">
        <v>0</v>
      </c>
      <c r="J1229">
        <v>-652996.39</v>
      </c>
      <c r="M1229" s="7"/>
    </row>
    <row r="1230" spans="2:13" customFormat="1" x14ac:dyDescent="0.25">
      <c r="B1230" t="s">
        <v>577</v>
      </c>
      <c r="C1230" t="s">
        <v>48</v>
      </c>
      <c r="D1230" t="s">
        <v>891</v>
      </c>
      <c r="E1230" t="s">
        <v>241</v>
      </c>
      <c r="F1230" t="s">
        <v>147</v>
      </c>
      <c r="H1230">
        <v>875.83</v>
      </c>
      <c r="I1230">
        <v>0</v>
      </c>
      <c r="J1230">
        <v>-3194.89</v>
      </c>
      <c r="M1230" s="7"/>
    </row>
    <row r="1231" spans="2:13" customFormat="1" x14ac:dyDescent="0.25">
      <c r="B1231" t="s">
        <v>577</v>
      </c>
      <c r="C1231" t="s">
        <v>49</v>
      </c>
      <c r="D1231" t="s">
        <v>891</v>
      </c>
      <c r="E1231" t="s">
        <v>243</v>
      </c>
      <c r="F1231" t="s">
        <v>149</v>
      </c>
      <c r="H1231">
        <v>0</v>
      </c>
      <c r="I1231">
        <v>52.66</v>
      </c>
      <c r="J1231">
        <v>136.02000000000001</v>
      </c>
      <c r="M1231" s="7"/>
    </row>
    <row r="1232" spans="2:13" customFormat="1" x14ac:dyDescent="0.25">
      <c r="B1232" t="s">
        <v>577</v>
      </c>
      <c r="C1232" t="s">
        <v>50</v>
      </c>
      <c r="D1232" t="s">
        <v>891</v>
      </c>
      <c r="E1232" t="s">
        <v>244</v>
      </c>
      <c r="F1232" t="s">
        <v>150</v>
      </c>
      <c r="H1232">
        <v>0</v>
      </c>
      <c r="I1232">
        <v>12.99</v>
      </c>
      <c r="J1232">
        <v>57.42</v>
      </c>
      <c r="M1232" s="7"/>
    </row>
    <row r="1233" spans="2:13" customFormat="1" x14ac:dyDescent="0.25">
      <c r="B1233" t="s">
        <v>577</v>
      </c>
      <c r="C1233" t="s">
        <v>51</v>
      </c>
      <c r="D1233" t="s">
        <v>891</v>
      </c>
      <c r="E1233" t="s">
        <v>245</v>
      </c>
      <c r="F1233" t="s">
        <v>151</v>
      </c>
      <c r="H1233">
        <v>0</v>
      </c>
      <c r="I1233">
        <v>59.82</v>
      </c>
      <c r="J1233">
        <v>275.64999999999998</v>
      </c>
      <c r="M1233" s="7"/>
    </row>
    <row r="1234" spans="2:13" customFormat="1" x14ac:dyDescent="0.25">
      <c r="B1234" t="s">
        <v>577</v>
      </c>
      <c r="C1234" t="s">
        <v>87</v>
      </c>
      <c r="D1234" t="s">
        <v>891</v>
      </c>
      <c r="E1234" t="s">
        <v>246</v>
      </c>
      <c r="F1234" t="s">
        <v>152</v>
      </c>
      <c r="H1234">
        <v>1998</v>
      </c>
      <c r="I1234">
        <v>0</v>
      </c>
      <c r="J1234">
        <v>-1998</v>
      </c>
      <c r="M1234" s="7"/>
    </row>
    <row r="1235" spans="2:13" customFormat="1" x14ac:dyDescent="0.25">
      <c r="B1235" t="s">
        <v>577</v>
      </c>
      <c r="C1235" t="s">
        <v>52</v>
      </c>
      <c r="D1235" t="s">
        <v>891</v>
      </c>
      <c r="E1235" t="s">
        <v>247</v>
      </c>
      <c r="F1235" t="s">
        <v>153</v>
      </c>
      <c r="H1235">
        <v>0</v>
      </c>
      <c r="I1235">
        <v>0</v>
      </c>
      <c r="J1235">
        <v>-1111.01</v>
      </c>
      <c r="M1235" s="7"/>
    </row>
    <row r="1236" spans="2:13" customFormat="1" x14ac:dyDescent="0.25">
      <c r="B1236" t="s">
        <v>577</v>
      </c>
      <c r="C1236" t="s">
        <v>377</v>
      </c>
      <c r="D1236" t="s">
        <v>891</v>
      </c>
      <c r="E1236" t="s">
        <v>378</v>
      </c>
      <c r="F1236" t="s">
        <v>379</v>
      </c>
      <c r="H1236">
        <v>14250</v>
      </c>
      <c r="I1236">
        <v>775838.63</v>
      </c>
      <c r="J1236">
        <v>2421340.46</v>
      </c>
      <c r="M1236" s="7"/>
    </row>
    <row r="1237" spans="2:13" customFormat="1" x14ac:dyDescent="0.25">
      <c r="B1237" t="s">
        <v>577</v>
      </c>
      <c r="C1237" t="s">
        <v>53</v>
      </c>
      <c r="D1237" t="s">
        <v>891</v>
      </c>
      <c r="E1237" t="s">
        <v>249</v>
      </c>
      <c r="F1237" t="s">
        <v>155</v>
      </c>
      <c r="H1237">
        <v>0</v>
      </c>
      <c r="I1237">
        <v>0</v>
      </c>
      <c r="J1237">
        <v>-154.94</v>
      </c>
      <c r="M1237" s="7"/>
    </row>
    <row r="1238" spans="2:13" customFormat="1" x14ac:dyDescent="0.25">
      <c r="B1238" t="s">
        <v>577</v>
      </c>
      <c r="C1238" t="s">
        <v>54</v>
      </c>
      <c r="D1238" t="s">
        <v>891</v>
      </c>
      <c r="E1238" t="s">
        <v>250</v>
      </c>
      <c r="F1238" t="s">
        <v>156</v>
      </c>
      <c r="H1238">
        <v>0</v>
      </c>
      <c r="I1238">
        <v>510.7</v>
      </c>
      <c r="J1238">
        <v>1481.1</v>
      </c>
      <c r="M1238" s="7"/>
    </row>
    <row r="1239" spans="2:13" customFormat="1" x14ac:dyDescent="0.25">
      <c r="B1239" t="s">
        <v>577</v>
      </c>
      <c r="C1239" t="s">
        <v>55</v>
      </c>
      <c r="D1239" t="s">
        <v>891</v>
      </c>
      <c r="E1239" t="s">
        <v>252</v>
      </c>
      <c r="F1239" t="s">
        <v>158</v>
      </c>
      <c r="H1239">
        <v>456.02</v>
      </c>
      <c r="I1239">
        <v>14515.49</v>
      </c>
      <c r="J1239">
        <v>46324.44</v>
      </c>
      <c r="M1239" s="7"/>
    </row>
    <row r="1240" spans="2:13" customFormat="1" x14ac:dyDescent="0.25">
      <c r="B1240" t="s">
        <v>577</v>
      </c>
      <c r="C1240" t="s">
        <v>56</v>
      </c>
      <c r="D1240" t="s">
        <v>891</v>
      </c>
      <c r="E1240" t="s">
        <v>253</v>
      </c>
      <c r="F1240" t="s">
        <v>159</v>
      </c>
      <c r="H1240">
        <v>11492.96</v>
      </c>
      <c r="I1240">
        <v>8027.82</v>
      </c>
      <c r="J1240">
        <v>12679.59</v>
      </c>
      <c r="M1240" s="7"/>
    </row>
    <row r="1241" spans="2:13" customFormat="1" x14ac:dyDescent="0.25">
      <c r="B1241" t="s">
        <v>577</v>
      </c>
      <c r="C1241" t="s">
        <v>57</v>
      </c>
      <c r="D1241" t="s">
        <v>891</v>
      </c>
      <c r="E1241" t="s">
        <v>254</v>
      </c>
      <c r="F1241" t="s">
        <v>160</v>
      </c>
      <c r="H1241">
        <v>332.69</v>
      </c>
      <c r="I1241">
        <v>0</v>
      </c>
      <c r="J1241">
        <v>-585.67999999999995</v>
      </c>
      <c r="M1241" s="7"/>
    </row>
    <row r="1242" spans="2:13" customFormat="1" x14ac:dyDescent="0.25">
      <c r="B1242" t="s">
        <v>577</v>
      </c>
      <c r="C1242" t="s">
        <v>58</v>
      </c>
      <c r="D1242" t="s">
        <v>891</v>
      </c>
      <c r="E1242" t="s">
        <v>255</v>
      </c>
      <c r="F1242" t="s">
        <v>161</v>
      </c>
      <c r="H1242">
        <v>1.66</v>
      </c>
      <c r="I1242">
        <v>2421.4699999999998</v>
      </c>
      <c r="J1242">
        <v>-10801.42</v>
      </c>
      <c r="M1242" s="7"/>
    </row>
    <row r="1243" spans="2:13" customFormat="1" x14ac:dyDescent="0.25">
      <c r="B1243" t="s">
        <v>577</v>
      </c>
      <c r="C1243" t="s">
        <v>59</v>
      </c>
      <c r="D1243" t="s">
        <v>891</v>
      </c>
      <c r="E1243" t="s">
        <v>256</v>
      </c>
      <c r="F1243" t="s">
        <v>162</v>
      </c>
      <c r="H1243">
        <v>0</v>
      </c>
      <c r="I1243">
        <v>1768.45</v>
      </c>
      <c r="J1243">
        <v>11367.47</v>
      </c>
      <c r="M1243" s="7"/>
    </row>
    <row r="1244" spans="2:13" customFormat="1" x14ac:dyDescent="0.25">
      <c r="B1244" t="s">
        <v>577</v>
      </c>
      <c r="C1244" t="s">
        <v>506</v>
      </c>
      <c r="D1244" t="s">
        <v>891</v>
      </c>
      <c r="E1244" t="s">
        <v>507</v>
      </c>
      <c r="F1244" t="s">
        <v>508</v>
      </c>
      <c r="H1244">
        <v>0</v>
      </c>
      <c r="I1244">
        <v>3781.1</v>
      </c>
      <c r="J1244">
        <v>13018.91</v>
      </c>
      <c r="M1244" s="7"/>
    </row>
    <row r="1245" spans="2:13" customFormat="1" x14ac:dyDescent="0.25">
      <c r="B1245" t="s">
        <v>577</v>
      </c>
      <c r="C1245" t="s">
        <v>60</v>
      </c>
      <c r="D1245" t="s">
        <v>891</v>
      </c>
      <c r="E1245" t="s">
        <v>258</v>
      </c>
      <c r="F1245" t="s">
        <v>164</v>
      </c>
      <c r="H1245">
        <v>0</v>
      </c>
      <c r="I1245">
        <v>2539.17</v>
      </c>
      <c r="J1245">
        <v>7753.1</v>
      </c>
      <c r="M1245" s="7"/>
    </row>
    <row r="1246" spans="2:13" customFormat="1" x14ac:dyDescent="0.25">
      <c r="B1246" t="s">
        <v>577</v>
      </c>
      <c r="C1246" t="s">
        <v>509</v>
      </c>
      <c r="D1246" t="s">
        <v>891</v>
      </c>
      <c r="E1246" t="s">
        <v>510</v>
      </c>
      <c r="F1246" t="s">
        <v>511</v>
      </c>
      <c r="H1246">
        <v>0</v>
      </c>
      <c r="I1246">
        <v>0.99</v>
      </c>
      <c r="J1246">
        <v>2.04</v>
      </c>
      <c r="M1246" s="7"/>
    </row>
    <row r="1247" spans="2:13" customFormat="1" x14ac:dyDescent="0.25">
      <c r="B1247" t="s">
        <v>577</v>
      </c>
      <c r="C1247" t="s">
        <v>61</v>
      </c>
      <c r="D1247" t="s">
        <v>891</v>
      </c>
      <c r="E1247" t="s">
        <v>259</v>
      </c>
      <c r="F1247" t="s">
        <v>165</v>
      </c>
      <c r="H1247">
        <v>0</v>
      </c>
      <c r="I1247">
        <v>2059.87</v>
      </c>
      <c r="J1247">
        <v>6455.43</v>
      </c>
      <c r="M1247" s="7"/>
    </row>
    <row r="1248" spans="2:13" customFormat="1" x14ac:dyDescent="0.25">
      <c r="B1248" t="s">
        <v>577</v>
      </c>
      <c r="C1248" t="s">
        <v>62</v>
      </c>
      <c r="D1248" t="s">
        <v>891</v>
      </c>
      <c r="E1248" t="s">
        <v>260</v>
      </c>
      <c r="F1248" t="s">
        <v>166</v>
      </c>
      <c r="H1248">
        <v>2617.48</v>
      </c>
      <c r="I1248">
        <v>3464.3</v>
      </c>
      <c r="J1248">
        <v>946.03</v>
      </c>
      <c r="M1248" s="7"/>
    </row>
    <row r="1249" spans="2:13" customFormat="1" x14ac:dyDescent="0.25">
      <c r="B1249" t="s">
        <v>577</v>
      </c>
      <c r="C1249" t="s">
        <v>512</v>
      </c>
      <c r="D1249" t="s">
        <v>891</v>
      </c>
      <c r="E1249" t="s">
        <v>513</v>
      </c>
      <c r="F1249" t="s">
        <v>514</v>
      </c>
      <c r="H1249">
        <v>0</v>
      </c>
      <c r="I1249">
        <v>1745.33</v>
      </c>
      <c r="J1249">
        <v>6420.32</v>
      </c>
      <c r="M1249" s="7"/>
    </row>
    <row r="1250" spans="2:13" customFormat="1" x14ac:dyDescent="0.25">
      <c r="B1250" t="s">
        <v>577</v>
      </c>
      <c r="C1250" t="s">
        <v>207</v>
      </c>
      <c r="D1250" t="s">
        <v>891</v>
      </c>
      <c r="E1250" t="s">
        <v>299</v>
      </c>
      <c r="F1250" t="s">
        <v>208</v>
      </c>
      <c r="H1250">
        <v>72.45</v>
      </c>
      <c r="I1250">
        <v>7654.23</v>
      </c>
      <c r="J1250">
        <v>23559.9</v>
      </c>
      <c r="M1250" s="7"/>
    </row>
    <row r="1251" spans="2:13" customFormat="1" x14ac:dyDescent="0.25">
      <c r="B1251" t="s">
        <v>577</v>
      </c>
      <c r="C1251" t="s">
        <v>63</v>
      </c>
      <c r="D1251" t="s">
        <v>891</v>
      </c>
      <c r="E1251" t="s">
        <v>261</v>
      </c>
      <c r="F1251" t="s">
        <v>167</v>
      </c>
      <c r="H1251">
        <v>1245.4000000000001</v>
      </c>
      <c r="I1251">
        <v>1590.28</v>
      </c>
      <c r="J1251">
        <v>1087.3800000000001</v>
      </c>
      <c r="M1251" s="7"/>
    </row>
    <row r="1252" spans="2:13" customFormat="1" x14ac:dyDescent="0.25">
      <c r="B1252" t="s">
        <v>577</v>
      </c>
      <c r="C1252" t="s">
        <v>64</v>
      </c>
      <c r="D1252" t="s">
        <v>891</v>
      </c>
      <c r="E1252" t="s">
        <v>265</v>
      </c>
      <c r="F1252" t="s">
        <v>171</v>
      </c>
      <c r="H1252">
        <v>0.67</v>
      </c>
      <c r="I1252">
        <v>1641.52</v>
      </c>
      <c r="J1252">
        <v>14991.83</v>
      </c>
      <c r="M1252" s="7"/>
    </row>
    <row r="1253" spans="2:13" customFormat="1" x14ac:dyDescent="0.25">
      <c r="B1253" t="s">
        <v>577</v>
      </c>
      <c r="C1253" t="s">
        <v>584</v>
      </c>
      <c r="D1253" t="s">
        <v>891</v>
      </c>
      <c r="E1253" t="s">
        <v>585</v>
      </c>
      <c r="F1253" t="s">
        <v>586</v>
      </c>
      <c r="H1253">
        <v>20.32</v>
      </c>
      <c r="I1253">
        <v>996.32</v>
      </c>
      <c r="J1253">
        <v>1220</v>
      </c>
      <c r="M1253" s="7"/>
    </row>
    <row r="1254" spans="2:13" customFormat="1" x14ac:dyDescent="0.25">
      <c r="B1254" t="s">
        <v>577</v>
      </c>
      <c r="C1254" t="s">
        <v>65</v>
      </c>
      <c r="D1254" t="s">
        <v>891</v>
      </c>
      <c r="E1254" t="s">
        <v>269</v>
      </c>
      <c r="F1254" t="s">
        <v>175</v>
      </c>
      <c r="H1254">
        <v>678.18</v>
      </c>
      <c r="I1254">
        <v>7995.92</v>
      </c>
      <c r="J1254">
        <v>16966.62</v>
      </c>
      <c r="M1254" s="7"/>
    </row>
    <row r="1255" spans="2:13" customFormat="1" x14ac:dyDescent="0.25">
      <c r="B1255" t="s">
        <v>577</v>
      </c>
      <c r="C1255" t="s">
        <v>66</v>
      </c>
      <c r="D1255" t="s">
        <v>891</v>
      </c>
      <c r="E1255" t="s">
        <v>272</v>
      </c>
      <c r="F1255" t="s">
        <v>178</v>
      </c>
      <c r="H1255">
        <v>0</v>
      </c>
      <c r="I1255">
        <v>0</v>
      </c>
      <c r="J1255">
        <v>199</v>
      </c>
      <c r="M1255" s="7"/>
    </row>
    <row r="1256" spans="2:13" customFormat="1" x14ac:dyDescent="0.25">
      <c r="B1256" t="s">
        <v>577</v>
      </c>
      <c r="C1256" t="s">
        <v>67</v>
      </c>
      <c r="D1256" t="s">
        <v>891</v>
      </c>
      <c r="E1256" t="s">
        <v>276</v>
      </c>
      <c r="F1256" t="s">
        <v>182</v>
      </c>
      <c r="H1256">
        <v>0</v>
      </c>
      <c r="I1256">
        <v>330</v>
      </c>
      <c r="J1256">
        <v>18939.830000000002</v>
      </c>
      <c r="M1256" s="7"/>
    </row>
    <row r="1257" spans="2:13" customFormat="1" x14ac:dyDescent="0.25">
      <c r="B1257" t="s">
        <v>577</v>
      </c>
      <c r="C1257" t="s">
        <v>497</v>
      </c>
      <c r="D1257" t="s">
        <v>891</v>
      </c>
      <c r="E1257" t="s">
        <v>498</v>
      </c>
      <c r="F1257" t="s">
        <v>499</v>
      </c>
      <c r="H1257">
        <v>3500</v>
      </c>
      <c r="I1257">
        <v>874.81</v>
      </c>
      <c r="J1257">
        <v>874.81</v>
      </c>
      <c r="M1257" s="7"/>
    </row>
    <row r="1258" spans="2:13" customFormat="1" x14ac:dyDescent="0.25">
      <c r="B1258" t="s">
        <v>577</v>
      </c>
      <c r="C1258" t="s">
        <v>68</v>
      </c>
      <c r="D1258" t="s">
        <v>891</v>
      </c>
      <c r="E1258" t="s">
        <v>279</v>
      </c>
      <c r="F1258" t="s">
        <v>185</v>
      </c>
      <c r="H1258">
        <v>0</v>
      </c>
      <c r="I1258">
        <v>3966.68</v>
      </c>
      <c r="J1258">
        <v>6151.08</v>
      </c>
      <c r="M1258" s="7"/>
    </row>
    <row r="1259" spans="2:13" customFormat="1" x14ac:dyDescent="0.25">
      <c r="B1259" t="s">
        <v>577</v>
      </c>
      <c r="C1259" t="s">
        <v>70</v>
      </c>
      <c r="D1259" t="s">
        <v>891</v>
      </c>
      <c r="E1259" t="s">
        <v>286</v>
      </c>
      <c r="F1259" t="s">
        <v>192</v>
      </c>
      <c r="H1259">
        <v>11.76</v>
      </c>
      <c r="I1259">
        <v>1141.23</v>
      </c>
      <c r="J1259">
        <v>2577.8200000000002</v>
      </c>
      <c r="M1259" s="7"/>
    </row>
    <row r="1260" spans="2:13" customFormat="1" x14ac:dyDescent="0.25">
      <c r="B1260" t="s">
        <v>577</v>
      </c>
      <c r="C1260" t="s">
        <v>109</v>
      </c>
      <c r="D1260" t="s">
        <v>891</v>
      </c>
      <c r="E1260" t="s">
        <v>287</v>
      </c>
      <c r="F1260" t="s">
        <v>193</v>
      </c>
      <c r="H1260">
        <v>0</v>
      </c>
      <c r="I1260">
        <v>1873.6</v>
      </c>
      <c r="J1260">
        <v>1873.6</v>
      </c>
      <c r="M1260" s="7"/>
    </row>
    <row r="1261" spans="2:13" customFormat="1" x14ac:dyDescent="0.25">
      <c r="B1261" t="s">
        <v>577</v>
      </c>
      <c r="C1261" t="s">
        <v>111</v>
      </c>
      <c r="D1261" t="s">
        <v>891</v>
      </c>
      <c r="E1261" t="s">
        <v>289</v>
      </c>
      <c r="F1261" t="s">
        <v>195</v>
      </c>
      <c r="H1261">
        <v>0</v>
      </c>
      <c r="I1261">
        <v>1219.45</v>
      </c>
      <c r="J1261">
        <v>1219.45</v>
      </c>
      <c r="M1261" s="7"/>
    </row>
    <row r="1262" spans="2:13" customFormat="1" x14ac:dyDescent="0.25">
      <c r="B1262" t="s">
        <v>577</v>
      </c>
      <c r="C1262" t="s">
        <v>203</v>
      </c>
      <c r="D1262" t="s">
        <v>891</v>
      </c>
      <c r="E1262" t="s">
        <v>297</v>
      </c>
      <c r="F1262" t="s">
        <v>204</v>
      </c>
      <c r="H1262">
        <v>0</v>
      </c>
      <c r="I1262">
        <v>1487.6</v>
      </c>
      <c r="J1262">
        <v>1537.6</v>
      </c>
      <c r="M1262" s="7"/>
    </row>
    <row r="1263" spans="2:13" customFormat="1" x14ac:dyDescent="0.25">
      <c r="B1263" t="s">
        <v>577</v>
      </c>
      <c r="C1263" t="s">
        <v>398</v>
      </c>
      <c r="D1263" t="s">
        <v>891</v>
      </c>
      <c r="E1263" t="s">
        <v>399</v>
      </c>
      <c r="F1263" t="s">
        <v>400</v>
      </c>
      <c r="H1263">
        <v>0</v>
      </c>
      <c r="I1263">
        <v>4648.9399999999996</v>
      </c>
      <c r="J1263">
        <v>17556.78</v>
      </c>
      <c r="M1263" s="7"/>
    </row>
    <row r="1264" spans="2:13" customFormat="1" x14ac:dyDescent="0.25">
      <c r="B1264" t="s">
        <v>577</v>
      </c>
      <c r="C1264" t="s">
        <v>443</v>
      </c>
      <c r="D1264" t="s">
        <v>891</v>
      </c>
      <c r="E1264" t="s">
        <v>444</v>
      </c>
      <c r="F1264" t="s">
        <v>445</v>
      </c>
      <c r="H1264">
        <v>0</v>
      </c>
      <c r="I1264">
        <v>58.33</v>
      </c>
      <c r="J1264">
        <v>58.33</v>
      </c>
      <c r="M1264" s="7"/>
    </row>
    <row r="1265" spans="2:13" customFormat="1" x14ac:dyDescent="0.25">
      <c r="B1265" t="s">
        <v>577</v>
      </c>
      <c r="C1265" t="s">
        <v>401</v>
      </c>
      <c r="D1265" t="s">
        <v>891</v>
      </c>
      <c r="E1265" t="s">
        <v>402</v>
      </c>
      <c r="F1265" t="s">
        <v>403</v>
      </c>
      <c r="H1265">
        <v>0</v>
      </c>
      <c r="I1265">
        <v>0</v>
      </c>
      <c r="J1265">
        <v>2389.36</v>
      </c>
      <c r="M1265" s="7"/>
    </row>
    <row r="1266" spans="2:13" customFormat="1" x14ac:dyDescent="0.25">
      <c r="B1266" t="s">
        <v>577</v>
      </c>
      <c r="C1266" t="s">
        <v>71</v>
      </c>
      <c r="D1266" t="s">
        <v>891</v>
      </c>
      <c r="E1266" t="s">
        <v>291</v>
      </c>
      <c r="F1266" t="s">
        <v>197</v>
      </c>
      <c r="H1266">
        <v>0</v>
      </c>
      <c r="I1266">
        <v>417.44</v>
      </c>
      <c r="J1266">
        <v>1082.42</v>
      </c>
      <c r="M1266" s="7"/>
    </row>
    <row r="1267" spans="2:13" customFormat="1" x14ac:dyDescent="0.25">
      <c r="B1267" t="s">
        <v>577</v>
      </c>
      <c r="C1267" t="s">
        <v>72</v>
      </c>
      <c r="D1267" t="s">
        <v>891</v>
      </c>
      <c r="E1267" t="s">
        <v>292</v>
      </c>
      <c r="F1267" t="s">
        <v>198</v>
      </c>
      <c r="H1267">
        <v>0</v>
      </c>
      <c r="I1267">
        <v>172.21</v>
      </c>
      <c r="J1267">
        <v>1492.33</v>
      </c>
      <c r="M1267" s="7"/>
    </row>
    <row r="1268" spans="2:13" customFormat="1" x14ac:dyDescent="0.25">
      <c r="B1268" t="s">
        <v>577</v>
      </c>
      <c r="C1268" t="s">
        <v>73</v>
      </c>
      <c r="D1268" t="s">
        <v>891</v>
      </c>
      <c r="E1268" t="s">
        <v>293</v>
      </c>
      <c r="F1268" t="s">
        <v>199</v>
      </c>
      <c r="H1268">
        <v>0</v>
      </c>
      <c r="I1268">
        <v>233.07</v>
      </c>
      <c r="J1268">
        <v>659.82</v>
      </c>
      <c r="M1268" s="7"/>
    </row>
    <row r="1269" spans="2:13" customFormat="1" x14ac:dyDescent="0.25">
      <c r="B1269" t="s">
        <v>577</v>
      </c>
      <c r="C1269" t="s">
        <v>74</v>
      </c>
      <c r="D1269" t="s">
        <v>891</v>
      </c>
      <c r="E1269" t="s">
        <v>294</v>
      </c>
      <c r="F1269" t="s">
        <v>200</v>
      </c>
      <c r="H1269">
        <v>0</v>
      </c>
      <c r="I1269">
        <v>7145.61</v>
      </c>
      <c r="J1269">
        <v>18709.84</v>
      </c>
      <c r="M1269" s="7"/>
    </row>
    <row r="1270" spans="2:13" customFormat="1" x14ac:dyDescent="0.25">
      <c r="B1270" t="s">
        <v>577</v>
      </c>
      <c r="C1270" t="s">
        <v>75</v>
      </c>
      <c r="D1270" t="s">
        <v>891</v>
      </c>
      <c r="E1270" t="s">
        <v>295</v>
      </c>
      <c r="F1270" t="s">
        <v>201</v>
      </c>
      <c r="H1270">
        <v>0</v>
      </c>
      <c r="I1270">
        <v>10842.38</v>
      </c>
      <c r="J1270">
        <v>17144.14</v>
      </c>
      <c r="M1270" s="7"/>
    </row>
    <row r="1271" spans="2:13" customFormat="1" x14ac:dyDescent="0.25">
      <c r="B1271" t="s">
        <v>577</v>
      </c>
      <c r="C1271" t="s">
        <v>76</v>
      </c>
      <c r="D1271" t="s">
        <v>891</v>
      </c>
      <c r="E1271" t="s">
        <v>296</v>
      </c>
      <c r="F1271" t="s">
        <v>202</v>
      </c>
      <c r="H1271">
        <v>0</v>
      </c>
      <c r="I1271">
        <v>4623.26</v>
      </c>
      <c r="J1271">
        <v>8404.32</v>
      </c>
      <c r="M1271" s="7"/>
    </row>
    <row r="1272" spans="2:13" customFormat="1" x14ac:dyDescent="0.25">
      <c r="B1272" t="s">
        <v>845</v>
      </c>
      <c r="C1272" t="s">
        <v>30</v>
      </c>
      <c r="D1272" t="s">
        <v>891</v>
      </c>
      <c r="E1272" t="s">
        <v>215</v>
      </c>
      <c r="F1272" t="s">
        <v>120</v>
      </c>
      <c r="H1272">
        <v>2638.23</v>
      </c>
      <c r="I1272">
        <v>14200</v>
      </c>
      <c r="J1272">
        <v>12373.74</v>
      </c>
      <c r="M1272" s="7"/>
    </row>
    <row r="1273" spans="2:13" customFormat="1" x14ac:dyDescent="0.25">
      <c r="B1273" t="s">
        <v>845</v>
      </c>
      <c r="C1273" t="s">
        <v>33</v>
      </c>
      <c r="D1273" t="s">
        <v>891</v>
      </c>
      <c r="E1273" t="s">
        <v>219</v>
      </c>
      <c r="F1273" t="s">
        <v>124</v>
      </c>
      <c r="H1273">
        <v>287.89</v>
      </c>
      <c r="I1273">
        <v>287.89</v>
      </c>
      <c r="J1273">
        <v>0</v>
      </c>
      <c r="M1273" s="7"/>
    </row>
    <row r="1274" spans="2:13" customFormat="1" x14ac:dyDescent="0.25">
      <c r="B1274" t="s">
        <v>845</v>
      </c>
      <c r="C1274" t="s">
        <v>34</v>
      </c>
      <c r="D1274" t="s">
        <v>891</v>
      </c>
      <c r="E1274" t="s">
        <v>220</v>
      </c>
      <c r="F1274" t="s">
        <v>125</v>
      </c>
      <c r="H1274">
        <v>197111.83</v>
      </c>
      <c r="I1274">
        <v>197111.83</v>
      </c>
      <c r="J1274">
        <v>0</v>
      </c>
      <c r="M1274" s="7"/>
    </row>
    <row r="1275" spans="2:13" customFormat="1" x14ac:dyDescent="0.25">
      <c r="B1275" t="s">
        <v>845</v>
      </c>
      <c r="C1275" t="s">
        <v>205</v>
      </c>
      <c r="D1275" t="s">
        <v>891</v>
      </c>
      <c r="E1275" t="s">
        <v>298</v>
      </c>
      <c r="F1275" t="s">
        <v>206</v>
      </c>
      <c r="H1275">
        <v>170</v>
      </c>
      <c r="I1275">
        <v>170</v>
      </c>
      <c r="J1275">
        <v>0</v>
      </c>
      <c r="M1275" s="7"/>
    </row>
    <row r="1276" spans="2:13" customFormat="1" x14ac:dyDescent="0.25">
      <c r="B1276" t="s">
        <v>845</v>
      </c>
      <c r="C1276" t="s">
        <v>36</v>
      </c>
      <c r="D1276" t="s">
        <v>891</v>
      </c>
      <c r="E1276" t="s">
        <v>222</v>
      </c>
      <c r="F1276" t="s">
        <v>128</v>
      </c>
      <c r="H1276">
        <v>0</v>
      </c>
      <c r="I1276">
        <v>0</v>
      </c>
      <c r="J1276">
        <v>269.32</v>
      </c>
      <c r="M1276" s="7"/>
    </row>
    <row r="1277" spans="2:13" customFormat="1" x14ac:dyDescent="0.25">
      <c r="B1277" t="s">
        <v>845</v>
      </c>
      <c r="C1277" t="s">
        <v>37</v>
      </c>
      <c r="D1277" t="s">
        <v>891</v>
      </c>
      <c r="E1277" t="s">
        <v>223</v>
      </c>
      <c r="F1277" t="s">
        <v>129</v>
      </c>
      <c r="H1277">
        <v>0</v>
      </c>
      <c r="I1277">
        <v>0</v>
      </c>
      <c r="J1277">
        <v>1240.9100000000001</v>
      </c>
      <c r="M1277" s="7"/>
    </row>
    <row r="1278" spans="2:13" customFormat="1" x14ac:dyDescent="0.25">
      <c r="B1278" t="s">
        <v>845</v>
      </c>
      <c r="C1278" t="s">
        <v>413</v>
      </c>
      <c r="D1278" t="s">
        <v>891</v>
      </c>
      <c r="E1278" t="s">
        <v>414</v>
      </c>
      <c r="F1278" t="s">
        <v>415</v>
      </c>
      <c r="H1278">
        <v>0</v>
      </c>
      <c r="I1278">
        <v>0</v>
      </c>
      <c r="J1278">
        <v>396.15</v>
      </c>
      <c r="M1278" s="7"/>
    </row>
    <row r="1279" spans="2:13" customFormat="1" x14ac:dyDescent="0.25">
      <c r="B1279" t="s">
        <v>845</v>
      </c>
      <c r="C1279" t="s">
        <v>422</v>
      </c>
      <c r="D1279" t="s">
        <v>891</v>
      </c>
      <c r="E1279" t="s">
        <v>423</v>
      </c>
      <c r="F1279" t="s">
        <v>424</v>
      </c>
      <c r="H1279">
        <v>0</v>
      </c>
      <c r="I1279">
        <v>0</v>
      </c>
      <c r="J1279">
        <v>455451.5</v>
      </c>
      <c r="M1279" s="7"/>
    </row>
    <row r="1280" spans="2:13" customFormat="1" x14ac:dyDescent="0.25">
      <c r="B1280" t="s">
        <v>845</v>
      </c>
      <c r="C1280" t="s">
        <v>40</v>
      </c>
      <c r="D1280" t="s">
        <v>891</v>
      </c>
      <c r="E1280" t="s">
        <v>227</v>
      </c>
      <c r="F1280" t="s">
        <v>133</v>
      </c>
      <c r="H1280">
        <v>1992.17</v>
      </c>
      <c r="I1280">
        <v>2571.84</v>
      </c>
      <c r="J1280">
        <v>-1357.62</v>
      </c>
      <c r="M1280" s="7"/>
    </row>
    <row r="1281" spans="2:13" customFormat="1" x14ac:dyDescent="0.25">
      <c r="B1281" t="s">
        <v>845</v>
      </c>
      <c r="C1281" t="s">
        <v>84</v>
      </c>
      <c r="D1281" t="s">
        <v>891</v>
      </c>
      <c r="E1281" t="s">
        <v>230</v>
      </c>
      <c r="F1281" t="s">
        <v>136</v>
      </c>
      <c r="H1281">
        <v>0</v>
      </c>
      <c r="I1281">
        <v>0</v>
      </c>
      <c r="J1281">
        <v>-455451.5</v>
      </c>
      <c r="M1281" s="7"/>
    </row>
    <row r="1282" spans="2:13" customFormat="1" x14ac:dyDescent="0.25">
      <c r="B1282" t="s">
        <v>845</v>
      </c>
      <c r="C1282" t="s">
        <v>41</v>
      </c>
      <c r="D1282" t="s">
        <v>891</v>
      </c>
      <c r="E1282" t="s">
        <v>231</v>
      </c>
      <c r="F1282" t="s">
        <v>137</v>
      </c>
      <c r="H1282">
        <v>0</v>
      </c>
      <c r="I1282">
        <v>61.86</v>
      </c>
      <c r="J1282">
        <v>1689.66</v>
      </c>
      <c r="M1282" s="7"/>
    </row>
    <row r="1283" spans="2:13" customFormat="1" x14ac:dyDescent="0.25">
      <c r="B1283" t="s">
        <v>845</v>
      </c>
      <c r="C1283" t="s">
        <v>79</v>
      </c>
      <c r="D1283" t="s">
        <v>891</v>
      </c>
      <c r="E1283" t="s">
        <v>234</v>
      </c>
      <c r="F1283" t="s">
        <v>140</v>
      </c>
      <c r="H1283">
        <v>0</v>
      </c>
      <c r="I1283">
        <v>0</v>
      </c>
      <c r="J1283">
        <v>-14.88</v>
      </c>
      <c r="M1283" s="7"/>
    </row>
    <row r="1284" spans="2:13" customFormat="1" x14ac:dyDescent="0.25">
      <c r="B1284" t="s">
        <v>845</v>
      </c>
      <c r="C1284" t="s">
        <v>44</v>
      </c>
      <c r="D1284" t="s">
        <v>891</v>
      </c>
      <c r="E1284" t="s">
        <v>235</v>
      </c>
      <c r="F1284" t="s">
        <v>141</v>
      </c>
      <c r="H1284">
        <v>6.95</v>
      </c>
      <c r="I1284">
        <v>0</v>
      </c>
      <c r="J1284">
        <v>-37.1</v>
      </c>
      <c r="M1284" s="7"/>
    </row>
    <row r="1285" spans="2:13" customFormat="1" x14ac:dyDescent="0.25">
      <c r="B1285" t="s">
        <v>845</v>
      </c>
      <c r="C1285" t="s">
        <v>45</v>
      </c>
      <c r="D1285" t="s">
        <v>891</v>
      </c>
      <c r="E1285" t="s">
        <v>236</v>
      </c>
      <c r="F1285" t="s">
        <v>142</v>
      </c>
      <c r="H1285">
        <v>21.56</v>
      </c>
      <c r="I1285">
        <v>0</v>
      </c>
      <c r="J1285">
        <v>-264.94</v>
      </c>
      <c r="M1285" s="7"/>
    </row>
    <row r="1286" spans="2:13" customFormat="1" x14ac:dyDescent="0.25">
      <c r="B1286" t="s">
        <v>845</v>
      </c>
      <c r="C1286" t="s">
        <v>46</v>
      </c>
      <c r="D1286" t="s">
        <v>891</v>
      </c>
      <c r="E1286" t="s">
        <v>237</v>
      </c>
      <c r="F1286" t="s">
        <v>143</v>
      </c>
      <c r="H1286">
        <v>0</v>
      </c>
      <c r="I1286">
        <v>0</v>
      </c>
      <c r="J1286">
        <v>-1090000</v>
      </c>
      <c r="M1286" s="7"/>
    </row>
    <row r="1287" spans="2:13" customFormat="1" x14ac:dyDescent="0.25">
      <c r="B1287" t="s">
        <v>845</v>
      </c>
      <c r="C1287" t="s">
        <v>47</v>
      </c>
      <c r="D1287" t="s">
        <v>891</v>
      </c>
      <c r="E1287" t="s">
        <v>238</v>
      </c>
      <c r="F1287" t="s">
        <v>144</v>
      </c>
      <c r="H1287">
        <v>13500</v>
      </c>
      <c r="I1287">
        <v>0</v>
      </c>
      <c r="J1287">
        <v>59038.34</v>
      </c>
      <c r="M1287" s="7"/>
    </row>
    <row r="1288" spans="2:13" customFormat="1" x14ac:dyDescent="0.25">
      <c r="B1288" t="s">
        <v>845</v>
      </c>
      <c r="C1288" t="s">
        <v>80</v>
      </c>
      <c r="D1288" t="s">
        <v>891</v>
      </c>
      <c r="E1288" t="s">
        <v>239</v>
      </c>
      <c r="F1288" t="s">
        <v>145</v>
      </c>
      <c r="H1288">
        <v>0</v>
      </c>
      <c r="I1288">
        <v>0</v>
      </c>
      <c r="J1288">
        <v>-5854</v>
      </c>
      <c r="M1288" s="7"/>
    </row>
    <row r="1289" spans="2:13" customFormat="1" x14ac:dyDescent="0.25">
      <c r="B1289" t="s">
        <v>845</v>
      </c>
      <c r="C1289" t="s">
        <v>85</v>
      </c>
      <c r="D1289" t="s">
        <v>891</v>
      </c>
      <c r="E1289" t="s">
        <v>240</v>
      </c>
      <c r="F1289" t="s">
        <v>146</v>
      </c>
      <c r="H1289">
        <v>0</v>
      </c>
      <c r="I1289">
        <v>0</v>
      </c>
      <c r="J1289">
        <v>729614.1</v>
      </c>
      <c r="M1289" s="7"/>
    </row>
    <row r="1290" spans="2:13" customFormat="1" x14ac:dyDescent="0.25">
      <c r="B1290" t="s">
        <v>845</v>
      </c>
      <c r="C1290" t="s">
        <v>377</v>
      </c>
      <c r="D1290" t="s">
        <v>891</v>
      </c>
      <c r="E1290" t="s">
        <v>378</v>
      </c>
      <c r="F1290" t="s">
        <v>379</v>
      </c>
      <c r="H1290">
        <v>0</v>
      </c>
      <c r="I1290">
        <v>0</v>
      </c>
      <c r="J1290">
        <v>23135.46</v>
      </c>
      <c r="M1290" s="7"/>
    </row>
    <row r="1291" spans="2:13" customFormat="1" x14ac:dyDescent="0.25">
      <c r="B1291" t="s">
        <v>845</v>
      </c>
      <c r="C1291" t="s">
        <v>53</v>
      </c>
      <c r="D1291" t="s">
        <v>891</v>
      </c>
      <c r="E1291" t="s">
        <v>249</v>
      </c>
      <c r="F1291" t="s">
        <v>155</v>
      </c>
      <c r="H1291">
        <v>700</v>
      </c>
      <c r="I1291">
        <v>0</v>
      </c>
      <c r="J1291">
        <v>-372.9</v>
      </c>
      <c r="M1291" s="7"/>
    </row>
    <row r="1292" spans="2:13" customFormat="1" x14ac:dyDescent="0.25">
      <c r="B1292" t="s">
        <v>845</v>
      </c>
      <c r="C1292" t="s">
        <v>54</v>
      </c>
      <c r="D1292" t="s">
        <v>891</v>
      </c>
      <c r="E1292" t="s">
        <v>250</v>
      </c>
      <c r="F1292" t="s">
        <v>156</v>
      </c>
      <c r="H1292">
        <v>0</v>
      </c>
      <c r="I1292">
        <v>0</v>
      </c>
      <c r="J1292">
        <v>18117.89</v>
      </c>
      <c r="M1292" s="7"/>
    </row>
    <row r="1293" spans="2:13" customFormat="1" x14ac:dyDescent="0.25">
      <c r="B1293" t="s">
        <v>845</v>
      </c>
      <c r="C1293" t="s">
        <v>55</v>
      </c>
      <c r="D1293" t="s">
        <v>891</v>
      </c>
      <c r="E1293" t="s">
        <v>252</v>
      </c>
      <c r="F1293" t="s">
        <v>158</v>
      </c>
      <c r="H1293">
        <v>0</v>
      </c>
      <c r="I1293">
        <v>0</v>
      </c>
      <c r="J1293">
        <v>-18820.2</v>
      </c>
      <c r="M1293" s="7"/>
    </row>
    <row r="1294" spans="2:13" customFormat="1" x14ac:dyDescent="0.25">
      <c r="B1294" t="s">
        <v>845</v>
      </c>
      <c r="C1294" t="s">
        <v>56</v>
      </c>
      <c r="D1294" t="s">
        <v>891</v>
      </c>
      <c r="E1294" t="s">
        <v>253</v>
      </c>
      <c r="F1294" t="s">
        <v>159</v>
      </c>
      <c r="H1294">
        <v>0</v>
      </c>
      <c r="I1294">
        <v>0</v>
      </c>
      <c r="J1294">
        <v>519.79999999999995</v>
      </c>
      <c r="M1294" s="7"/>
    </row>
    <row r="1295" spans="2:13" customFormat="1" x14ac:dyDescent="0.25">
      <c r="B1295" t="s">
        <v>845</v>
      </c>
      <c r="C1295" t="s">
        <v>380</v>
      </c>
      <c r="D1295" t="s">
        <v>891</v>
      </c>
      <c r="E1295" t="s">
        <v>381</v>
      </c>
      <c r="F1295" t="s">
        <v>382</v>
      </c>
      <c r="H1295">
        <v>0</v>
      </c>
      <c r="I1295">
        <v>0</v>
      </c>
      <c r="J1295">
        <v>1550</v>
      </c>
      <c r="M1295" s="7"/>
    </row>
    <row r="1296" spans="2:13" customFormat="1" x14ac:dyDescent="0.25">
      <c r="B1296" t="s">
        <v>845</v>
      </c>
      <c r="C1296" t="s">
        <v>99</v>
      </c>
      <c r="D1296" t="s">
        <v>891</v>
      </c>
      <c r="E1296" t="s">
        <v>273</v>
      </c>
      <c r="F1296" t="s">
        <v>179</v>
      </c>
      <c r="H1296">
        <v>1138.5</v>
      </c>
      <c r="I1296">
        <v>0</v>
      </c>
      <c r="J1296">
        <v>0</v>
      </c>
      <c r="M1296" s="7"/>
    </row>
    <row r="1297" spans="2:13" customFormat="1" x14ac:dyDescent="0.25">
      <c r="B1297" t="s">
        <v>845</v>
      </c>
      <c r="C1297" t="s">
        <v>67</v>
      </c>
      <c r="D1297" t="s">
        <v>891</v>
      </c>
      <c r="E1297" t="s">
        <v>276</v>
      </c>
      <c r="F1297" t="s">
        <v>182</v>
      </c>
      <c r="H1297">
        <v>0</v>
      </c>
      <c r="I1297">
        <v>0</v>
      </c>
      <c r="J1297">
        <v>330</v>
      </c>
      <c r="M1297" s="7"/>
    </row>
    <row r="1298" spans="2:13" customFormat="1" x14ac:dyDescent="0.25">
      <c r="B1298" t="s">
        <v>845</v>
      </c>
      <c r="C1298" t="s">
        <v>102</v>
      </c>
      <c r="D1298" t="s">
        <v>891</v>
      </c>
      <c r="E1298" t="s">
        <v>277</v>
      </c>
      <c r="F1298" t="s">
        <v>183</v>
      </c>
      <c r="H1298">
        <v>0</v>
      </c>
      <c r="I1298">
        <v>0</v>
      </c>
      <c r="J1298">
        <v>7576.56</v>
      </c>
      <c r="M1298" s="7"/>
    </row>
    <row r="1299" spans="2:13" customFormat="1" x14ac:dyDescent="0.25">
      <c r="B1299" t="s">
        <v>845</v>
      </c>
      <c r="C1299" t="s">
        <v>395</v>
      </c>
      <c r="D1299" t="s">
        <v>891</v>
      </c>
      <c r="E1299" t="s">
        <v>396</v>
      </c>
      <c r="F1299" t="s">
        <v>397</v>
      </c>
      <c r="H1299">
        <v>0</v>
      </c>
      <c r="I1299">
        <v>0</v>
      </c>
      <c r="J1299">
        <v>436.72</v>
      </c>
      <c r="M1299" s="7"/>
    </row>
    <row r="1300" spans="2:13" customFormat="1" x14ac:dyDescent="0.25">
      <c r="B1300" t="s">
        <v>845</v>
      </c>
      <c r="C1300" t="s">
        <v>69</v>
      </c>
      <c r="D1300" t="s">
        <v>891</v>
      </c>
      <c r="E1300" t="s">
        <v>284</v>
      </c>
      <c r="F1300" t="s">
        <v>190</v>
      </c>
      <c r="H1300">
        <v>0</v>
      </c>
      <c r="I1300">
        <v>197.5</v>
      </c>
      <c r="J1300">
        <v>386.21</v>
      </c>
      <c r="M1300" s="7"/>
    </row>
    <row r="1301" spans="2:13" customFormat="1" x14ac:dyDescent="0.25">
      <c r="B1301" t="s">
        <v>845</v>
      </c>
      <c r="C1301" t="s">
        <v>109</v>
      </c>
      <c r="D1301" t="s">
        <v>891</v>
      </c>
      <c r="E1301" t="s">
        <v>287</v>
      </c>
      <c r="F1301" t="s">
        <v>193</v>
      </c>
      <c r="H1301">
        <v>0</v>
      </c>
      <c r="I1301">
        <v>2469.67</v>
      </c>
      <c r="J1301">
        <v>7987.02</v>
      </c>
      <c r="M1301" s="7"/>
    </row>
    <row r="1302" spans="2:13" customFormat="1" x14ac:dyDescent="0.25">
      <c r="B1302" t="s">
        <v>845</v>
      </c>
      <c r="C1302" t="s">
        <v>110</v>
      </c>
      <c r="D1302" t="s">
        <v>891</v>
      </c>
      <c r="E1302" t="s">
        <v>288</v>
      </c>
      <c r="F1302" t="s">
        <v>194</v>
      </c>
      <c r="H1302">
        <v>0</v>
      </c>
      <c r="I1302">
        <v>463.5</v>
      </c>
      <c r="J1302">
        <v>1477</v>
      </c>
      <c r="M1302" s="7"/>
    </row>
    <row r="1303" spans="2:13" customFormat="1" x14ac:dyDescent="0.25">
      <c r="B1303" t="s">
        <v>845</v>
      </c>
      <c r="C1303" t="s">
        <v>437</v>
      </c>
      <c r="D1303" t="s">
        <v>891</v>
      </c>
      <c r="E1303" t="s">
        <v>438</v>
      </c>
      <c r="F1303" t="s">
        <v>439</v>
      </c>
      <c r="H1303">
        <v>0</v>
      </c>
      <c r="I1303">
        <v>0</v>
      </c>
      <c r="J1303">
        <v>905</v>
      </c>
      <c r="M1303" s="7"/>
    </row>
    <row r="1304" spans="2:13" customFormat="1" x14ac:dyDescent="0.25">
      <c r="B1304" t="s">
        <v>845</v>
      </c>
      <c r="C1304" t="s">
        <v>440</v>
      </c>
      <c r="D1304" t="s">
        <v>891</v>
      </c>
      <c r="E1304" t="s">
        <v>441</v>
      </c>
      <c r="F1304" t="s">
        <v>442</v>
      </c>
      <c r="H1304">
        <v>0</v>
      </c>
      <c r="I1304">
        <v>0</v>
      </c>
      <c r="J1304">
        <v>2154.34</v>
      </c>
      <c r="M1304" s="7"/>
    </row>
    <row r="1305" spans="2:13" customFormat="1" x14ac:dyDescent="0.25">
      <c r="B1305" t="s">
        <v>845</v>
      </c>
      <c r="C1305" t="s">
        <v>398</v>
      </c>
      <c r="D1305" t="s">
        <v>891</v>
      </c>
      <c r="E1305" t="s">
        <v>399</v>
      </c>
      <c r="F1305" t="s">
        <v>400</v>
      </c>
      <c r="H1305">
        <v>0</v>
      </c>
      <c r="I1305">
        <v>0</v>
      </c>
      <c r="J1305">
        <v>34785.14</v>
      </c>
      <c r="M1305" s="7"/>
    </row>
    <row r="1306" spans="2:13" customFormat="1" x14ac:dyDescent="0.25">
      <c r="B1306" t="s">
        <v>845</v>
      </c>
      <c r="C1306" t="s">
        <v>401</v>
      </c>
      <c r="D1306" t="s">
        <v>891</v>
      </c>
      <c r="E1306" t="s">
        <v>402</v>
      </c>
      <c r="F1306" t="s">
        <v>403</v>
      </c>
      <c r="H1306">
        <v>0</v>
      </c>
      <c r="I1306">
        <v>0</v>
      </c>
      <c r="J1306">
        <v>1266.52</v>
      </c>
      <c r="M1306" s="7"/>
    </row>
    <row r="1307" spans="2:13" customFormat="1" x14ac:dyDescent="0.25">
      <c r="B1307" t="s">
        <v>845</v>
      </c>
      <c r="C1307" t="s">
        <v>566</v>
      </c>
      <c r="D1307" t="s">
        <v>891</v>
      </c>
      <c r="E1307" t="s">
        <v>567</v>
      </c>
      <c r="F1307" t="s">
        <v>568</v>
      </c>
      <c r="H1307">
        <v>0</v>
      </c>
      <c r="I1307">
        <v>0</v>
      </c>
      <c r="J1307">
        <v>1221.3</v>
      </c>
      <c r="M1307" s="7"/>
    </row>
    <row r="1308" spans="2:13" customFormat="1" x14ac:dyDescent="0.25">
      <c r="B1308" t="s">
        <v>845</v>
      </c>
      <c r="C1308" t="s">
        <v>407</v>
      </c>
      <c r="D1308" t="s">
        <v>891</v>
      </c>
      <c r="E1308" t="s">
        <v>408</v>
      </c>
      <c r="F1308" t="s">
        <v>409</v>
      </c>
      <c r="H1308">
        <v>0</v>
      </c>
      <c r="I1308">
        <v>0</v>
      </c>
      <c r="J1308">
        <v>3510</v>
      </c>
      <c r="M1308" s="7"/>
    </row>
    <row r="1309" spans="2:13" customFormat="1" x14ac:dyDescent="0.25">
      <c r="B1309" t="s">
        <v>845</v>
      </c>
      <c r="C1309" t="s">
        <v>71</v>
      </c>
      <c r="D1309" t="s">
        <v>891</v>
      </c>
      <c r="E1309" t="s">
        <v>291</v>
      </c>
      <c r="F1309" t="s">
        <v>197</v>
      </c>
      <c r="H1309">
        <v>0</v>
      </c>
      <c r="I1309">
        <v>0</v>
      </c>
      <c r="J1309">
        <v>4</v>
      </c>
      <c r="M1309" s="7"/>
    </row>
    <row r="1310" spans="2:13" customFormat="1" x14ac:dyDescent="0.25">
      <c r="B1310" t="s">
        <v>845</v>
      </c>
      <c r="C1310" t="s">
        <v>72</v>
      </c>
      <c r="D1310" t="s">
        <v>891</v>
      </c>
      <c r="E1310" t="s">
        <v>292</v>
      </c>
      <c r="F1310" t="s">
        <v>198</v>
      </c>
      <c r="H1310">
        <v>0</v>
      </c>
      <c r="I1310">
        <v>33.04</v>
      </c>
      <c r="J1310">
        <v>76.7</v>
      </c>
      <c r="M1310" s="7"/>
    </row>
    <row r="1311" spans="2:13" customFormat="1" x14ac:dyDescent="0.25">
      <c r="B1311" t="s">
        <v>845</v>
      </c>
      <c r="C1311" t="s">
        <v>73</v>
      </c>
      <c r="D1311" t="s">
        <v>891</v>
      </c>
      <c r="E1311" t="s">
        <v>293</v>
      </c>
      <c r="F1311" t="s">
        <v>199</v>
      </c>
      <c r="H1311">
        <v>0</v>
      </c>
      <c r="I1311">
        <v>0</v>
      </c>
      <c r="J1311">
        <v>206659.76</v>
      </c>
      <c r="M1311" s="7"/>
    </row>
    <row r="1312" spans="2:13" customFormat="1" x14ac:dyDescent="0.25">
      <c r="B1312" t="s">
        <v>846</v>
      </c>
      <c r="C1312" t="s">
        <v>27</v>
      </c>
      <c r="D1312" t="s">
        <v>891</v>
      </c>
      <c r="E1312" t="s">
        <v>212</v>
      </c>
      <c r="F1312" t="s">
        <v>117</v>
      </c>
      <c r="H1312">
        <v>0</v>
      </c>
      <c r="I1312">
        <v>0</v>
      </c>
      <c r="J1312">
        <v>1651.57</v>
      </c>
      <c r="M1312" s="7"/>
    </row>
    <row r="1313" spans="2:13" customFormat="1" x14ac:dyDescent="0.25">
      <c r="B1313" t="s">
        <v>846</v>
      </c>
      <c r="C1313" t="s">
        <v>28</v>
      </c>
      <c r="D1313" t="s">
        <v>891</v>
      </c>
      <c r="E1313" t="s">
        <v>213</v>
      </c>
      <c r="F1313" t="s">
        <v>118</v>
      </c>
      <c r="H1313">
        <v>8877.98</v>
      </c>
      <c r="I1313">
        <v>3919.68</v>
      </c>
      <c r="J1313">
        <v>0</v>
      </c>
      <c r="M1313" s="7"/>
    </row>
    <row r="1314" spans="2:13" customFormat="1" x14ac:dyDescent="0.25">
      <c r="B1314" t="s">
        <v>846</v>
      </c>
      <c r="C1314" t="s">
        <v>30</v>
      </c>
      <c r="D1314" t="s">
        <v>891</v>
      </c>
      <c r="E1314" t="s">
        <v>215</v>
      </c>
      <c r="F1314" t="s">
        <v>120</v>
      </c>
      <c r="H1314">
        <v>688531.9</v>
      </c>
      <c r="I1314">
        <v>173187.3</v>
      </c>
      <c r="J1314">
        <v>143139.85999999999</v>
      </c>
      <c r="M1314" s="7"/>
    </row>
    <row r="1315" spans="2:13" customFormat="1" x14ac:dyDescent="0.25">
      <c r="B1315" t="s">
        <v>846</v>
      </c>
      <c r="C1315" t="s">
        <v>81</v>
      </c>
      <c r="D1315" t="s">
        <v>891</v>
      </c>
      <c r="E1315" t="s">
        <v>216</v>
      </c>
      <c r="F1315" t="s">
        <v>121</v>
      </c>
      <c r="H1315">
        <v>41706.21</v>
      </c>
      <c r="I1315">
        <v>8877.98</v>
      </c>
      <c r="J1315">
        <v>0</v>
      </c>
      <c r="M1315" s="7"/>
    </row>
    <row r="1316" spans="2:13" customFormat="1" x14ac:dyDescent="0.25">
      <c r="B1316" t="s">
        <v>846</v>
      </c>
      <c r="C1316" t="s">
        <v>32</v>
      </c>
      <c r="D1316" t="s">
        <v>891</v>
      </c>
      <c r="E1316" t="s">
        <v>218</v>
      </c>
      <c r="F1316" t="s">
        <v>123</v>
      </c>
      <c r="H1316">
        <v>0</v>
      </c>
      <c r="I1316">
        <v>0</v>
      </c>
      <c r="J1316">
        <v>107421.18</v>
      </c>
      <c r="M1316" s="7"/>
    </row>
    <row r="1317" spans="2:13" customFormat="1" x14ac:dyDescent="0.25">
      <c r="B1317" t="s">
        <v>846</v>
      </c>
      <c r="C1317" t="s">
        <v>33</v>
      </c>
      <c r="D1317" t="s">
        <v>891</v>
      </c>
      <c r="E1317" t="s">
        <v>219</v>
      </c>
      <c r="F1317" t="s">
        <v>124</v>
      </c>
      <c r="H1317">
        <v>0</v>
      </c>
      <c r="I1317">
        <v>0</v>
      </c>
      <c r="J1317">
        <v>39127.980000000003</v>
      </c>
      <c r="M1317" s="7"/>
    </row>
    <row r="1318" spans="2:13" customFormat="1" x14ac:dyDescent="0.25">
      <c r="B1318" t="s">
        <v>846</v>
      </c>
      <c r="C1318" t="s">
        <v>34</v>
      </c>
      <c r="D1318" t="s">
        <v>891</v>
      </c>
      <c r="E1318" t="s">
        <v>220</v>
      </c>
      <c r="F1318" t="s">
        <v>125</v>
      </c>
      <c r="H1318">
        <v>919.72</v>
      </c>
      <c r="I1318">
        <v>0</v>
      </c>
      <c r="J1318">
        <v>-128257.29</v>
      </c>
      <c r="M1318" s="7"/>
    </row>
    <row r="1319" spans="2:13" customFormat="1" x14ac:dyDescent="0.25">
      <c r="B1319" t="s">
        <v>846</v>
      </c>
      <c r="C1319" t="s">
        <v>205</v>
      </c>
      <c r="D1319" t="s">
        <v>891</v>
      </c>
      <c r="E1319" t="s">
        <v>298</v>
      </c>
      <c r="F1319" t="s">
        <v>206</v>
      </c>
      <c r="H1319">
        <v>11.98</v>
      </c>
      <c r="I1319">
        <v>0</v>
      </c>
      <c r="J1319">
        <v>107668.37</v>
      </c>
      <c r="M1319" s="7"/>
    </row>
    <row r="1320" spans="2:13" customFormat="1" x14ac:dyDescent="0.25">
      <c r="B1320" t="s">
        <v>846</v>
      </c>
      <c r="C1320" t="s">
        <v>301</v>
      </c>
      <c r="D1320" t="s">
        <v>891</v>
      </c>
      <c r="E1320" t="s">
        <v>302</v>
      </c>
      <c r="F1320" t="s">
        <v>303</v>
      </c>
      <c r="H1320">
        <v>888.66</v>
      </c>
      <c r="I1320">
        <v>888.66</v>
      </c>
      <c r="J1320">
        <v>0</v>
      </c>
      <c r="M1320" s="7"/>
    </row>
    <row r="1321" spans="2:13" customFormat="1" x14ac:dyDescent="0.25">
      <c r="B1321" t="s">
        <v>846</v>
      </c>
      <c r="C1321" t="s">
        <v>648</v>
      </c>
      <c r="D1321" t="s">
        <v>891</v>
      </c>
      <c r="E1321" t="s">
        <v>649</v>
      </c>
      <c r="F1321" t="s">
        <v>650</v>
      </c>
      <c r="H1321">
        <v>0</v>
      </c>
      <c r="I1321">
        <v>0</v>
      </c>
      <c r="J1321">
        <v>2271.12</v>
      </c>
      <c r="M1321" s="7"/>
    </row>
    <row r="1322" spans="2:13" customFormat="1" x14ac:dyDescent="0.25">
      <c r="B1322" t="s">
        <v>846</v>
      </c>
      <c r="C1322" t="s">
        <v>35</v>
      </c>
      <c r="D1322" t="s">
        <v>891</v>
      </c>
      <c r="E1322" t="s">
        <v>221</v>
      </c>
      <c r="F1322" t="s">
        <v>127</v>
      </c>
      <c r="H1322">
        <v>0</v>
      </c>
      <c r="I1322">
        <v>0</v>
      </c>
      <c r="J1322">
        <v>-226.52</v>
      </c>
      <c r="M1322" s="7"/>
    </row>
    <row r="1323" spans="2:13" customFormat="1" x14ac:dyDescent="0.25">
      <c r="B1323" t="s">
        <v>846</v>
      </c>
      <c r="C1323" t="s">
        <v>36</v>
      </c>
      <c r="D1323" t="s">
        <v>891</v>
      </c>
      <c r="E1323" t="s">
        <v>222</v>
      </c>
      <c r="F1323" t="s">
        <v>128</v>
      </c>
      <c r="H1323">
        <v>0</v>
      </c>
      <c r="I1323">
        <v>0</v>
      </c>
      <c r="J1323">
        <v>1676.87</v>
      </c>
      <c r="M1323" s="7"/>
    </row>
    <row r="1324" spans="2:13" customFormat="1" x14ac:dyDescent="0.25">
      <c r="B1324" t="s">
        <v>846</v>
      </c>
      <c r="C1324" t="s">
        <v>37</v>
      </c>
      <c r="D1324" t="s">
        <v>891</v>
      </c>
      <c r="E1324" t="s">
        <v>223</v>
      </c>
      <c r="F1324" t="s">
        <v>129</v>
      </c>
      <c r="H1324">
        <v>0</v>
      </c>
      <c r="I1324">
        <v>0</v>
      </c>
      <c r="J1324">
        <v>7726.76</v>
      </c>
      <c r="M1324" s="7"/>
    </row>
    <row r="1325" spans="2:13" customFormat="1" x14ac:dyDescent="0.25">
      <c r="B1325" t="s">
        <v>846</v>
      </c>
      <c r="C1325" t="s">
        <v>413</v>
      </c>
      <c r="D1325" t="s">
        <v>891</v>
      </c>
      <c r="E1325" t="s">
        <v>414</v>
      </c>
      <c r="F1325" t="s">
        <v>415</v>
      </c>
      <c r="H1325">
        <v>0</v>
      </c>
      <c r="I1325">
        <v>0</v>
      </c>
      <c r="J1325">
        <v>54.6</v>
      </c>
      <c r="M1325" s="7"/>
    </row>
    <row r="1326" spans="2:13" customFormat="1" x14ac:dyDescent="0.25">
      <c r="B1326" t="s">
        <v>846</v>
      </c>
      <c r="C1326" t="s">
        <v>304</v>
      </c>
      <c r="D1326" t="s">
        <v>891</v>
      </c>
      <c r="E1326" t="s">
        <v>305</v>
      </c>
      <c r="F1326" t="s">
        <v>306</v>
      </c>
      <c r="H1326">
        <v>0</v>
      </c>
      <c r="I1326">
        <v>0</v>
      </c>
      <c r="J1326">
        <v>12219.65</v>
      </c>
      <c r="M1326" s="7"/>
    </row>
    <row r="1327" spans="2:13" customFormat="1" x14ac:dyDescent="0.25">
      <c r="B1327" t="s">
        <v>846</v>
      </c>
      <c r="C1327" t="s">
        <v>38</v>
      </c>
      <c r="D1327" t="s">
        <v>891</v>
      </c>
      <c r="E1327" t="s">
        <v>224</v>
      </c>
      <c r="F1327" t="s">
        <v>130</v>
      </c>
      <c r="H1327">
        <v>0</v>
      </c>
      <c r="I1327">
        <v>0</v>
      </c>
      <c r="J1327">
        <v>43981.01</v>
      </c>
      <c r="M1327" s="7"/>
    </row>
    <row r="1328" spans="2:13" customFormat="1" x14ac:dyDescent="0.25">
      <c r="B1328" t="s">
        <v>846</v>
      </c>
      <c r="C1328" t="s">
        <v>39</v>
      </c>
      <c r="D1328" t="s">
        <v>891</v>
      </c>
      <c r="E1328" t="s">
        <v>225</v>
      </c>
      <c r="F1328" t="s">
        <v>131</v>
      </c>
      <c r="H1328">
        <v>0</v>
      </c>
      <c r="I1328">
        <v>0</v>
      </c>
      <c r="J1328">
        <v>2831.84</v>
      </c>
      <c r="M1328" s="7"/>
    </row>
    <row r="1329" spans="2:13" customFormat="1" x14ac:dyDescent="0.25">
      <c r="B1329" t="s">
        <v>846</v>
      </c>
      <c r="C1329" t="s">
        <v>455</v>
      </c>
      <c r="D1329" t="s">
        <v>891</v>
      </c>
      <c r="E1329" t="s">
        <v>456</v>
      </c>
      <c r="F1329" t="s">
        <v>457</v>
      </c>
      <c r="H1329">
        <v>0</v>
      </c>
      <c r="I1329">
        <v>0</v>
      </c>
      <c r="J1329">
        <v>8458.9</v>
      </c>
      <c r="M1329" s="7"/>
    </row>
    <row r="1330" spans="2:13" customFormat="1" x14ac:dyDescent="0.25">
      <c r="B1330" t="s">
        <v>846</v>
      </c>
      <c r="C1330" t="s">
        <v>416</v>
      </c>
      <c r="D1330" t="s">
        <v>891</v>
      </c>
      <c r="E1330" t="s">
        <v>417</v>
      </c>
      <c r="F1330" t="s">
        <v>418</v>
      </c>
      <c r="H1330">
        <v>0</v>
      </c>
      <c r="I1330">
        <v>0</v>
      </c>
      <c r="J1330">
        <v>9630.9</v>
      </c>
      <c r="M1330" s="7"/>
    </row>
    <row r="1331" spans="2:13" customFormat="1" x14ac:dyDescent="0.25">
      <c r="B1331" t="s">
        <v>846</v>
      </c>
      <c r="C1331" t="s">
        <v>458</v>
      </c>
      <c r="D1331" t="s">
        <v>891</v>
      </c>
      <c r="E1331" t="s">
        <v>459</v>
      </c>
      <c r="F1331" t="s">
        <v>460</v>
      </c>
      <c r="H1331">
        <v>0</v>
      </c>
      <c r="I1331">
        <v>0</v>
      </c>
      <c r="J1331">
        <v>41477.25</v>
      </c>
      <c r="M1331" s="7"/>
    </row>
    <row r="1332" spans="2:13" customFormat="1" x14ac:dyDescent="0.25">
      <c r="B1332" t="s">
        <v>846</v>
      </c>
      <c r="C1332" t="s">
        <v>515</v>
      </c>
      <c r="D1332" t="s">
        <v>891</v>
      </c>
      <c r="E1332" t="s">
        <v>516</v>
      </c>
      <c r="F1332" t="s">
        <v>517</v>
      </c>
      <c r="H1332">
        <v>0</v>
      </c>
      <c r="I1332">
        <v>0</v>
      </c>
      <c r="J1332">
        <v>6193.5</v>
      </c>
      <c r="M1332" s="7"/>
    </row>
    <row r="1333" spans="2:13" customFormat="1" x14ac:dyDescent="0.25">
      <c r="B1333" t="s">
        <v>846</v>
      </c>
      <c r="C1333" t="s">
        <v>470</v>
      </c>
      <c r="D1333" t="s">
        <v>891</v>
      </c>
      <c r="E1333" t="s">
        <v>471</v>
      </c>
      <c r="F1333" t="s">
        <v>472</v>
      </c>
      <c r="H1333">
        <v>70.489999999999995</v>
      </c>
      <c r="I1333">
        <v>0</v>
      </c>
      <c r="J1333">
        <v>-2427.25</v>
      </c>
      <c r="M1333" s="7"/>
    </row>
    <row r="1334" spans="2:13" customFormat="1" x14ac:dyDescent="0.25">
      <c r="B1334" t="s">
        <v>846</v>
      </c>
      <c r="C1334" t="s">
        <v>419</v>
      </c>
      <c r="D1334" t="s">
        <v>891</v>
      </c>
      <c r="E1334" t="s">
        <v>420</v>
      </c>
      <c r="F1334" t="s">
        <v>421</v>
      </c>
      <c r="H1334">
        <v>80.260000000000005</v>
      </c>
      <c r="I1334">
        <v>0</v>
      </c>
      <c r="J1334">
        <v>-2746.59</v>
      </c>
      <c r="M1334" s="7"/>
    </row>
    <row r="1335" spans="2:13" customFormat="1" x14ac:dyDescent="0.25">
      <c r="B1335" t="s">
        <v>846</v>
      </c>
      <c r="C1335" t="s">
        <v>473</v>
      </c>
      <c r="D1335" t="s">
        <v>891</v>
      </c>
      <c r="E1335" t="s">
        <v>474</v>
      </c>
      <c r="F1335" t="s">
        <v>475</v>
      </c>
      <c r="H1335">
        <v>691.29</v>
      </c>
      <c r="I1335">
        <v>0</v>
      </c>
      <c r="J1335">
        <v>-16208.04</v>
      </c>
      <c r="M1335" s="7"/>
    </row>
    <row r="1336" spans="2:13" customFormat="1" x14ac:dyDescent="0.25">
      <c r="B1336" t="s">
        <v>846</v>
      </c>
      <c r="C1336" t="s">
        <v>518</v>
      </c>
      <c r="D1336" t="s">
        <v>891</v>
      </c>
      <c r="E1336" t="s">
        <v>519</v>
      </c>
      <c r="F1336" t="s">
        <v>520</v>
      </c>
      <c r="H1336">
        <v>51.61</v>
      </c>
      <c r="I1336">
        <v>0</v>
      </c>
      <c r="J1336">
        <v>-742.46</v>
      </c>
      <c r="M1336" s="7"/>
    </row>
    <row r="1337" spans="2:13" customFormat="1" x14ac:dyDescent="0.25">
      <c r="B1337" t="s">
        <v>846</v>
      </c>
      <c r="C1337" t="s">
        <v>40</v>
      </c>
      <c r="D1337" t="s">
        <v>891</v>
      </c>
      <c r="E1337" t="s">
        <v>227</v>
      </c>
      <c r="F1337" t="s">
        <v>133</v>
      </c>
      <c r="H1337">
        <v>4152.9799999999996</v>
      </c>
      <c r="I1337">
        <v>97503.34</v>
      </c>
      <c r="J1337">
        <v>90363.54</v>
      </c>
      <c r="M1337" s="7"/>
    </row>
    <row r="1338" spans="2:13" customFormat="1" x14ac:dyDescent="0.25">
      <c r="B1338" t="s">
        <v>846</v>
      </c>
      <c r="C1338" t="s">
        <v>84</v>
      </c>
      <c r="D1338" t="s">
        <v>891</v>
      </c>
      <c r="E1338" t="s">
        <v>230</v>
      </c>
      <c r="F1338" t="s">
        <v>136</v>
      </c>
      <c r="H1338">
        <v>0</v>
      </c>
      <c r="I1338">
        <v>0</v>
      </c>
      <c r="J1338">
        <v>-17538.57</v>
      </c>
      <c r="M1338" s="7"/>
    </row>
    <row r="1339" spans="2:13" customFormat="1" x14ac:dyDescent="0.25">
      <c r="B1339" t="s">
        <v>846</v>
      </c>
      <c r="C1339" t="s">
        <v>310</v>
      </c>
      <c r="D1339" t="s">
        <v>891</v>
      </c>
      <c r="E1339" t="s">
        <v>311</v>
      </c>
      <c r="F1339" t="s">
        <v>312</v>
      </c>
      <c r="H1339">
        <v>5255.25</v>
      </c>
      <c r="I1339">
        <v>5255.25</v>
      </c>
      <c r="J1339">
        <v>0</v>
      </c>
      <c r="M1339" s="7"/>
    </row>
    <row r="1340" spans="2:13" customFormat="1" x14ac:dyDescent="0.25">
      <c r="B1340" t="s">
        <v>846</v>
      </c>
      <c r="C1340" t="s">
        <v>316</v>
      </c>
      <c r="D1340" t="s">
        <v>891</v>
      </c>
      <c r="E1340" t="s">
        <v>317</v>
      </c>
      <c r="F1340" t="s">
        <v>318</v>
      </c>
      <c r="H1340">
        <v>278.27</v>
      </c>
      <c r="I1340">
        <v>2.13</v>
      </c>
      <c r="J1340">
        <v>-3895.77</v>
      </c>
      <c r="M1340" s="7"/>
    </row>
    <row r="1341" spans="2:13" customFormat="1" x14ac:dyDescent="0.25">
      <c r="B1341" t="s">
        <v>846</v>
      </c>
      <c r="C1341" t="s">
        <v>319</v>
      </c>
      <c r="D1341" t="s">
        <v>891</v>
      </c>
      <c r="E1341" t="s">
        <v>320</v>
      </c>
      <c r="F1341" t="s">
        <v>321</v>
      </c>
      <c r="H1341">
        <v>202.49</v>
      </c>
      <c r="I1341">
        <v>0</v>
      </c>
      <c r="J1341">
        <v>-1417.41</v>
      </c>
      <c r="M1341" s="7"/>
    </row>
    <row r="1342" spans="2:13" customFormat="1" x14ac:dyDescent="0.25">
      <c r="B1342" t="s">
        <v>846</v>
      </c>
      <c r="C1342" t="s">
        <v>322</v>
      </c>
      <c r="D1342" t="s">
        <v>891</v>
      </c>
      <c r="E1342" t="s">
        <v>323</v>
      </c>
      <c r="F1342" t="s">
        <v>324</v>
      </c>
      <c r="H1342">
        <v>1763.22</v>
      </c>
      <c r="I1342">
        <v>1763.19</v>
      </c>
      <c r="J1342">
        <v>-881.65</v>
      </c>
      <c r="M1342" s="7"/>
    </row>
    <row r="1343" spans="2:13" customFormat="1" x14ac:dyDescent="0.25">
      <c r="B1343" t="s">
        <v>846</v>
      </c>
      <c r="C1343" t="s">
        <v>325</v>
      </c>
      <c r="D1343" t="s">
        <v>891</v>
      </c>
      <c r="E1343" t="s">
        <v>326</v>
      </c>
      <c r="F1343" t="s">
        <v>327</v>
      </c>
      <c r="H1343">
        <v>382.8</v>
      </c>
      <c r="I1343">
        <v>382.8</v>
      </c>
      <c r="J1343">
        <v>-191.4</v>
      </c>
      <c r="M1343" s="7"/>
    </row>
    <row r="1344" spans="2:13" customFormat="1" x14ac:dyDescent="0.25">
      <c r="B1344" t="s">
        <v>846</v>
      </c>
      <c r="C1344" t="s">
        <v>328</v>
      </c>
      <c r="D1344" t="s">
        <v>891</v>
      </c>
      <c r="E1344" t="s">
        <v>329</v>
      </c>
      <c r="F1344" t="s">
        <v>171</v>
      </c>
      <c r="H1344">
        <v>80.14</v>
      </c>
      <c r="I1344">
        <v>0.61</v>
      </c>
      <c r="J1344">
        <v>-1121.98</v>
      </c>
      <c r="M1344" s="7"/>
    </row>
    <row r="1345" spans="2:13" customFormat="1" x14ac:dyDescent="0.25">
      <c r="B1345" t="s">
        <v>846</v>
      </c>
      <c r="C1345" t="s">
        <v>330</v>
      </c>
      <c r="D1345" t="s">
        <v>891</v>
      </c>
      <c r="E1345" t="s">
        <v>331</v>
      </c>
      <c r="F1345" t="s">
        <v>332</v>
      </c>
      <c r="H1345">
        <v>58.32</v>
      </c>
      <c r="I1345">
        <v>0</v>
      </c>
      <c r="J1345">
        <v>-408.21</v>
      </c>
      <c r="M1345" s="7"/>
    </row>
    <row r="1346" spans="2:13" customFormat="1" x14ac:dyDescent="0.25">
      <c r="B1346" t="s">
        <v>846</v>
      </c>
      <c r="C1346" t="s">
        <v>333</v>
      </c>
      <c r="D1346" t="s">
        <v>891</v>
      </c>
      <c r="E1346" t="s">
        <v>334</v>
      </c>
      <c r="F1346" t="s">
        <v>172</v>
      </c>
      <c r="H1346">
        <v>22.26</v>
      </c>
      <c r="I1346">
        <v>0.17</v>
      </c>
      <c r="J1346">
        <v>-311.66000000000003</v>
      </c>
      <c r="M1346" s="7"/>
    </row>
    <row r="1347" spans="2:13" customFormat="1" x14ac:dyDescent="0.25">
      <c r="B1347" t="s">
        <v>846</v>
      </c>
      <c r="C1347" t="s">
        <v>335</v>
      </c>
      <c r="D1347" t="s">
        <v>891</v>
      </c>
      <c r="E1347" t="s">
        <v>336</v>
      </c>
      <c r="F1347" t="s">
        <v>337</v>
      </c>
      <c r="H1347">
        <v>16.2</v>
      </c>
      <c r="I1347">
        <v>0</v>
      </c>
      <c r="J1347">
        <v>-113.39</v>
      </c>
      <c r="M1347" s="7"/>
    </row>
    <row r="1348" spans="2:13" customFormat="1" x14ac:dyDescent="0.25">
      <c r="B1348" t="s">
        <v>846</v>
      </c>
      <c r="C1348" t="s">
        <v>41</v>
      </c>
      <c r="D1348" t="s">
        <v>891</v>
      </c>
      <c r="E1348" t="s">
        <v>231</v>
      </c>
      <c r="F1348" t="s">
        <v>137</v>
      </c>
      <c r="H1348">
        <v>0</v>
      </c>
      <c r="I1348">
        <v>0</v>
      </c>
      <c r="J1348">
        <v>253.81</v>
      </c>
      <c r="M1348" s="7"/>
    </row>
    <row r="1349" spans="2:13" customFormat="1" x14ac:dyDescent="0.25">
      <c r="B1349" t="s">
        <v>846</v>
      </c>
      <c r="C1349" t="s">
        <v>491</v>
      </c>
      <c r="D1349" t="s">
        <v>891</v>
      </c>
      <c r="E1349" t="s">
        <v>492</v>
      </c>
      <c r="F1349" t="s">
        <v>493</v>
      </c>
      <c r="H1349">
        <v>0</v>
      </c>
      <c r="I1349">
        <v>0</v>
      </c>
      <c r="J1349">
        <v>-83.2</v>
      </c>
      <c r="M1349" s="7"/>
    </row>
    <row r="1350" spans="2:13" customFormat="1" x14ac:dyDescent="0.25">
      <c r="B1350" t="s">
        <v>846</v>
      </c>
      <c r="C1350" t="s">
        <v>79</v>
      </c>
      <c r="D1350" t="s">
        <v>891</v>
      </c>
      <c r="E1350" t="s">
        <v>234</v>
      </c>
      <c r="F1350" t="s">
        <v>140</v>
      </c>
      <c r="H1350">
        <v>0</v>
      </c>
      <c r="I1350">
        <v>0</v>
      </c>
      <c r="J1350">
        <v>-300.33999999999997</v>
      </c>
      <c r="M1350" s="7"/>
    </row>
    <row r="1351" spans="2:13" customFormat="1" x14ac:dyDescent="0.25">
      <c r="B1351" t="s">
        <v>846</v>
      </c>
      <c r="C1351" t="s">
        <v>44</v>
      </c>
      <c r="D1351" t="s">
        <v>891</v>
      </c>
      <c r="E1351" t="s">
        <v>235</v>
      </c>
      <c r="F1351" t="s">
        <v>141</v>
      </c>
      <c r="H1351">
        <v>28.35</v>
      </c>
      <c r="I1351">
        <v>0</v>
      </c>
      <c r="J1351">
        <v>-28.36</v>
      </c>
      <c r="M1351" s="7"/>
    </row>
    <row r="1352" spans="2:13" customFormat="1" x14ac:dyDescent="0.25">
      <c r="B1352" t="s">
        <v>846</v>
      </c>
      <c r="C1352" t="s">
        <v>45</v>
      </c>
      <c r="D1352" t="s">
        <v>891</v>
      </c>
      <c r="E1352" t="s">
        <v>236</v>
      </c>
      <c r="F1352" t="s">
        <v>142</v>
      </c>
      <c r="H1352">
        <v>87.89</v>
      </c>
      <c r="I1352">
        <v>0</v>
      </c>
      <c r="J1352">
        <v>-58.31</v>
      </c>
      <c r="M1352" s="7"/>
    </row>
    <row r="1353" spans="2:13" customFormat="1" x14ac:dyDescent="0.25">
      <c r="B1353" t="s">
        <v>846</v>
      </c>
      <c r="C1353" t="s">
        <v>46</v>
      </c>
      <c r="D1353" t="s">
        <v>891</v>
      </c>
      <c r="E1353" t="s">
        <v>237</v>
      </c>
      <c r="F1353" t="s">
        <v>143</v>
      </c>
      <c r="H1353">
        <v>0</v>
      </c>
      <c r="I1353">
        <v>0</v>
      </c>
      <c r="J1353">
        <v>-1212000</v>
      </c>
      <c r="M1353" s="7"/>
    </row>
    <row r="1354" spans="2:13" customFormat="1" x14ac:dyDescent="0.25">
      <c r="B1354" t="s">
        <v>846</v>
      </c>
      <c r="C1354" t="s">
        <v>47</v>
      </c>
      <c r="D1354" t="s">
        <v>891</v>
      </c>
      <c r="E1354" t="s">
        <v>238</v>
      </c>
      <c r="F1354" t="s">
        <v>144</v>
      </c>
      <c r="H1354">
        <v>131770.69</v>
      </c>
      <c r="I1354">
        <v>39000</v>
      </c>
      <c r="J1354">
        <v>-297770.69</v>
      </c>
      <c r="M1354" s="7"/>
    </row>
    <row r="1355" spans="2:13" customFormat="1" x14ac:dyDescent="0.25">
      <c r="B1355" t="s">
        <v>846</v>
      </c>
      <c r="C1355" t="s">
        <v>80</v>
      </c>
      <c r="D1355" t="s">
        <v>891</v>
      </c>
      <c r="E1355" t="s">
        <v>239</v>
      </c>
      <c r="F1355" t="s">
        <v>145</v>
      </c>
      <c r="H1355">
        <v>0</v>
      </c>
      <c r="I1355">
        <v>0</v>
      </c>
      <c r="J1355">
        <v>-2000</v>
      </c>
      <c r="M1355" s="7"/>
    </row>
    <row r="1356" spans="2:13" customFormat="1" x14ac:dyDescent="0.25">
      <c r="B1356" t="s">
        <v>846</v>
      </c>
      <c r="C1356" t="s">
        <v>588</v>
      </c>
      <c r="D1356" t="s">
        <v>891</v>
      </c>
      <c r="E1356" t="s">
        <v>589</v>
      </c>
      <c r="F1356" t="s">
        <v>590</v>
      </c>
      <c r="H1356">
        <v>0</v>
      </c>
      <c r="I1356">
        <v>0</v>
      </c>
      <c r="J1356">
        <v>-862.81</v>
      </c>
      <c r="M1356" s="7"/>
    </row>
    <row r="1357" spans="2:13" customFormat="1" x14ac:dyDescent="0.25">
      <c r="B1357" t="s">
        <v>846</v>
      </c>
      <c r="C1357" t="s">
        <v>85</v>
      </c>
      <c r="D1357" t="s">
        <v>891</v>
      </c>
      <c r="E1357" t="s">
        <v>240</v>
      </c>
      <c r="F1357" t="s">
        <v>146</v>
      </c>
      <c r="H1357">
        <v>0</v>
      </c>
      <c r="I1357">
        <v>0</v>
      </c>
      <c r="J1357">
        <v>495807.66</v>
      </c>
      <c r="M1357" s="7"/>
    </row>
    <row r="1358" spans="2:13" customFormat="1" x14ac:dyDescent="0.25">
      <c r="B1358" t="s">
        <v>846</v>
      </c>
      <c r="C1358" t="s">
        <v>371</v>
      </c>
      <c r="D1358" t="s">
        <v>891</v>
      </c>
      <c r="E1358" t="s">
        <v>372</v>
      </c>
      <c r="F1358" t="s">
        <v>373</v>
      </c>
      <c r="H1358">
        <v>0</v>
      </c>
      <c r="I1358">
        <v>0</v>
      </c>
      <c r="J1358">
        <v>-1603249.07</v>
      </c>
      <c r="M1358" s="7"/>
    </row>
    <row r="1359" spans="2:13" customFormat="1" x14ac:dyDescent="0.25">
      <c r="B1359" t="s">
        <v>846</v>
      </c>
      <c r="C1359" t="s">
        <v>374</v>
      </c>
      <c r="D1359" t="s">
        <v>891</v>
      </c>
      <c r="E1359" t="s">
        <v>375</v>
      </c>
      <c r="F1359" t="s">
        <v>376</v>
      </c>
      <c r="H1359">
        <v>0</v>
      </c>
      <c r="I1359">
        <v>0</v>
      </c>
      <c r="J1359">
        <v>-225622.44</v>
      </c>
      <c r="M1359" s="7"/>
    </row>
    <row r="1360" spans="2:13" customFormat="1" x14ac:dyDescent="0.25">
      <c r="B1360" t="s">
        <v>846</v>
      </c>
      <c r="C1360" t="s">
        <v>434</v>
      </c>
      <c r="D1360" t="s">
        <v>891</v>
      </c>
      <c r="E1360" t="s">
        <v>435</v>
      </c>
      <c r="F1360" t="s">
        <v>436</v>
      </c>
      <c r="H1360">
        <v>0</v>
      </c>
      <c r="I1360">
        <v>0</v>
      </c>
      <c r="J1360">
        <v>-96463.38</v>
      </c>
      <c r="M1360" s="7"/>
    </row>
    <row r="1361" spans="2:13" customFormat="1" x14ac:dyDescent="0.25">
      <c r="B1361" t="s">
        <v>846</v>
      </c>
      <c r="C1361" t="s">
        <v>48</v>
      </c>
      <c r="D1361" t="s">
        <v>891</v>
      </c>
      <c r="E1361" t="s">
        <v>241</v>
      </c>
      <c r="F1361" t="s">
        <v>147</v>
      </c>
      <c r="H1361">
        <v>0</v>
      </c>
      <c r="I1361">
        <v>0</v>
      </c>
      <c r="J1361">
        <v>-6541.64</v>
      </c>
      <c r="M1361" s="7"/>
    </row>
    <row r="1362" spans="2:13" customFormat="1" x14ac:dyDescent="0.25">
      <c r="B1362" t="s">
        <v>846</v>
      </c>
      <c r="C1362" t="s">
        <v>86</v>
      </c>
      <c r="D1362" t="s">
        <v>891</v>
      </c>
      <c r="E1362" t="s">
        <v>242</v>
      </c>
      <c r="F1362" t="s">
        <v>148</v>
      </c>
      <c r="H1362">
        <v>0</v>
      </c>
      <c r="I1362">
        <v>0</v>
      </c>
      <c r="J1362">
        <v>-85.4</v>
      </c>
      <c r="M1362" s="7"/>
    </row>
    <row r="1363" spans="2:13" customFormat="1" x14ac:dyDescent="0.25">
      <c r="B1363" t="s">
        <v>846</v>
      </c>
      <c r="C1363" t="s">
        <v>49</v>
      </c>
      <c r="D1363" t="s">
        <v>891</v>
      </c>
      <c r="E1363" t="s">
        <v>243</v>
      </c>
      <c r="F1363" t="s">
        <v>149</v>
      </c>
      <c r="H1363">
        <v>0</v>
      </c>
      <c r="I1363">
        <v>0</v>
      </c>
      <c r="J1363">
        <v>9238.7000000000007</v>
      </c>
      <c r="M1363" s="7"/>
    </row>
    <row r="1364" spans="2:13" customFormat="1" x14ac:dyDescent="0.25">
      <c r="B1364" t="s">
        <v>846</v>
      </c>
      <c r="C1364" t="s">
        <v>50</v>
      </c>
      <c r="D1364" t="s">
        <v>891</v>
      </c>
      <c r="E1364" t="s">
        <v>244</v>
      </c>
      <c r="F1364" t="s">
        <v>150</v>
      </c>
      <c r="H1364">
        <v>0</v>
      </c>
      <c r="I1364">
        <v>0</v>
      </c>
      <c r="J1364">
        <v>107.78</v>
      </c>
      <c r="M1364" s="7"/>
    </row>
    <row r="1365" spans="2:13" customFormat="1" x14ac:dyDescent="0.25">
      <c r="B1365" t="s">
        <v>846</v>
      </c>
      <c r="C1365" t="s">
        <v>51</v>
      </c>
      <c r="D1365" t="s">
        <v>891</v>
      </c>
      <c r="E1365" t="s">
        <v>245</v>
      </c>
      <c r="F1365" t="s">
        <v>151</v>
      </c>
      <c r="H1365">
        <v>0</v>
      </c>
      <c r="I1365">
        <v>0</v>
      </c>
      <c r="J1365">
        <v>426.46</v>
      </c>
      <c r="M1365" s="7"/>
    </row>
    <row r="1366" spans="2:13" customFormat="1" x14ac:dyDescent="0.25">
      <c r="B1366" t="s">
        <v>846</v>
      </c>
      <c r="C1366" t="s">
        <v>87</v>
      </c>
      <c r="D1366" t="s">
        <v>891</v>
      </c>
      <c r="E1366" t="s">
        <v>246</v>
      </c>
      <c r="F1366" t="s">
        <v>152</v>
      </c>
      <c r="H1366">
        <v>0</v>
      </c>
      <c r="I1366">
        <v>0</v>
      </c>
      <c r="J1366">
        <v>-89.46</v>
      </c>
      <c r="M1366" s="7"/>
    </row>
    <row r="1367" spans="2:13" customFormat="1" x14ac:dyDescent="0.25">
      <c r="B1367" t="s">
        <v>846</v>
      </c>
      <c r="C1367" t="s">
        <v>377</v>
      </c>
      <c r="D1367" t="s">
        <v>891</v>
      </c>
      <c r="E1367" t="s">
        <v>378</v>
      </c>
      <c r="F1367" t="s">
        <v>379</v>
      </c>
      <c r="H1367">
        <v>0</v>
      </c>
      <c r="I1367">
        <v>0</v>
      </c>
      <c r="J1367">
        <v>1692697.97</v>
      </c>
      <c r="M1367" s="7"/>
    </row>
    <row r="1368" spans="2:13" customFormat="1" x14ac:dyDescent="0.25">
      <c r="B1368" t="s">
        <v>846</v>
      </c>
      <c r="C1368" t="s">
        <v>53</v>
      </c>
      <c r="D1368" t="s">
        <v>891</v>
      </c>
      <c r="E1368" t="s">
        <v>249</v>
      </c>
      <c r="F1368" t="s">
        <v>155</v>
      </c>
      <c r="H1368">
        <v>0</v>
      </c>
      <c r="I1368">
        <v>0</v>
      </c>
      <c r="J1368">
        <v>46.01</v>
      </c>
      <c r="M1368" s="7"/>
    </row>
    <row r="1369" spans="2:13" customFormat="1" x14ac:dyDescent="0.25">
      <c r="B1369" t="s">
        <v>846</v>
      </c>
      <c r="C1369" t="s">
        <v>847</v>
      </c>
      <c r="D1369" t="s">
        <v>891</v>
      </c>
      <c r="E1369" t="s">
        <v>848</v>
      </c>
      <c r="F1369" t="s">
        <v>849</v>
      </c>
      <c r="H1369">
        <v>0</v>
      </c>
      <c r="I1369">
        <v>0</v>
      </c>
      <c r="J1369">
        <v>9471.77</v>
      </c>
      <c r="M1369" s="7"/>
    </row>
    <row r="1370" spans="2:13" customFormat="1" x14ac:dyDescent="0.25">
      <c r="B1370" t="s">
        <v>846</v>
      </c>
      <c r="C1370" t="s">
        <v>54</v>
      </c>
      <c r="D1370" t="s">
        <v>891</v>
      </c>
      <c r="E1370" t="s">
        <v>250</v>
      </c>
      <c r="F1370" t="s">
        <v>156</v>
      </c>
      <c r="H1370">
        <v>0</v>
      </c>
      <c r="I1370">
        <v>0</v>
      </c>
      <c r="J1370">
        <v>4497.25</v>
      </c>
      <c r="M1370" s="7"/>
    </row>
    <row r="1371" spans="2:13" customFormat="1" x14ac:dyDescent="0.25">
      <c r="B1371" t="s">
        <v>846</v>
      </c>
      <c r="C1371" t="s">
        <v>651</v>
      </c>
      <c r="D1371" t="s">
        <v>891</v>
      </c>
      <c r="E1371" t="s">
        <v>652</v>
      </c>
      <c r="F1371" t="s">
        <v>653</v>
      </c>
      <c r="H1371">
        <v>0</v>
      </c>
      <c r="I1371">
        <v>0</v>
      </c>
      <c r="J1371">
        <v>-15283.3</v>
      </c>
      <c r="M1371" s="7"/>
    </row>
    <row r="1372" spans="2:13" customFormat="1" x14ac:dyDescent="0.25">
      <c r="B1372" t="s">
        <v>846</v>
      </c>
      <c r="C1372" t="s">
        <v>55</v>
      </c>
      <c r="D1372" t="s">
        <v>891</v>
      </c>
      <c r="E1372" t="s">
        <v>252</v>
      </c>
      <c r="F1372" t="s">
        <v>158</v>
      </c>
      <c r="H1372">
        <v>0</v>
      </c>
      <c r="I1372">
        <v>2361.58</v>
      </c>
      <c r="J1372">
        <v>70545.899999999994</v>
      </c>
      <c r="M1372" s="7"/>
    </row>
    <row r="1373" spans="2:13" customFormat="1" x14ac:dyDescent="0.25">
      <c r="B1373" t="s">
        <v>846</v>
      </c>
      <c r="C1373" t="s">
        <v>56</v>
      </c>
      <c r="D1373" t="s">
        <v>891</v>
      </c>
      <c r="E1373" t="s">
        <v>253</v>
      </c>
      <c r="F1373" t="s">
        <v>159</v>
      </c>
      <c r="H1373">
        <v>0</v>
      </c>
      <c r="I1373">
        <v>689.09</v>
      </c>
      <c r="J1373">
        <v>13291.93</v>
      </c>
      <c r="M1373" s="7"/>
    </row>
    <row r="1374" spans="2:13" customFormat="1" x14ac:dyDescent="0.25">
      <c r="B1374" t="s">
        <v>846</v>
      </c>
      <c r="C1374" t="s">
        <v>57</v>
      </c>
      <c r="D1374" t="s">
        <v>891</v>
      </c>
      <c r="E1374" t="s">
        <v>254</v>
      </c>
      <c r="F1374" t="s">
        <v>160</v>
      </c>
      <c r="H1374">
        <v>0</v>
      </c>
      <c r="I1374">
        <v>191.4</v>
      </c>
      <c r="J1374">
        <v>886.35</v>
      </c>
      <c r="M1374" s="7"/>
    </row>
    <row r="1375" spans="2:13" customFormat="1" x14ac:dyDescent="0.25">
      <c r="B1375" t="s">
        <v>846</v>
      </c>
      <c r="C1375" t="s">
        <v>58</v>
      </c>
      <c r="D1375" t="s">
        <v>891</v>
      </c>
      <c r="E1375" t="s">
        <v>255</v>
      </c>
      <c r="F1375" t="s">
        <v>161</v>
      </c>
      <c r="H1375">
        <v>2.13</v>
      </c>
      <c r="I1375">
        <v>278.27</v>
      </c>
      <c r="J1375">
        <v>34771.93</v>
      </c>
      <c r="M1375" s="7"/>
    </row>
    <row r="1376" spans="2:13" customFormat="1" x14ac:dyDescent="0.25">
      <c r="B1376" t="s">
        <v>846</v>
      </c>
      <c r="C1376" t="s">
        <v>59</v>
      </c>
      <c r="D1376" t="s">
        <v>891</v>
      </c>
      <c r="E1376" t="s">
        <v>256</v>
      </c>
      <c r="F1376" t="s">
        <v>162</v>
      </c>
      <c r="H1376">
        <v>0</v>
      </c>
      <c r="I1376">
        <v>202.49</v>
      </c>
      <c r="J1376">
        <v>6445.64</v>
      </c>
      <c r="M1376" s="7"/>
    </row>
    <row r="1377" spans="2:13" customFormat="1" x14ac:dyDescent="0.25">
      <c r="B1377" t="s">
        <v>846</v>
      </c>
      <c r="C1377" t="s">
        <v>90</v>
      </c>
      <c r="D1377" t="s">
        <v>891</v>
      </c>
      <c r="E1377" t="s">
        <v>257</v>
      </c>
      <c r="F1377" t="s">
        <v>163</v>
      </c>
      <c r="H1377">
        <v>0</v>
      </c>
      <c r="I1377">
        <v>0</v>
      </c>
      <c r="J1377">
        <v>-3286.7</v>
      </c>
      <c r="M1377" s="7"/>
    </row>
    <row r="1378" spans="2:13" customFormat="1" x14ac:dyDescent="0.25">
      <c r="B1378" t="s">
        <v>846</v>
      </c>
      <c r="C1378" t="s">
        <v>60</v>
      </c>
      <c r="D1378" t="s">
        <v>891</v>
      </c>
      <c r="E1378" t="s">
        <v>258</v>
      </c>
      <c r="F1378" t="s">
        <v>164</v>
      </c>
      <c r="H1378">
        <v>0</v>
      </c>
      <c r="I1378">
        <v>0.01</v>
      </c>
      <c r="J1378">
        <v>2953.46</v>
      </c>
      <c r="M1378" s="7"/>
    </row>
    <row r="1379" spans="2:13" customFormat="1" x14ac:dyDescent="0.25">
      <c r="B1379" t="s">
        <v>846</v>
      </c>
      <c r="C1379" t="s">
        <v>61</v>
      </c>
      <c r="D1379" t="s">
        <v>891</v>
      </c>
      <c r="E1379" t="s">
        <v>259</v>
      </c>
      <c r="F1379" t="s">
        <v>165</v>
      </c>
      <c r="H1379">
        <v>0</v>
      </c>
      <c r="I1379">
        <v>0</v>
      </c>
      <c r="J1379">
        <v>8316.74</v>
      </c>
      <c r="M1379" s="7"/>
    </row>
    <row r="1380" spans="2:13" customFormat="1" x14ac:dyDescent="0.25">
      <c r="B1380" t="s">
        <v>846</v>
      </c>
      <c r="C1380" t="s">
        <v>344</v>
      </c>
      <c r="D1380" t="s">
        <v>891</v>
      </c>
      <c r="E1380" t="s">
        <v>345</v>
      </c>
      <c r="F1380" t="s">
        <v>346</v>
      </c>
      <c r="H1380">
        <v>0</v>
      </c>
      <c r="I1380">
        <v>170.9</v>
      </c>
      <c r="J1380">
        <v>5579.19</v>
      </c>
      <c r="M1380" s="7"/>
    </row>
    <row r="1381" spans="2:13" customFormat="1" x14ac:dyDescent="0.25">
      <c r="B1381" t="s">
        <v>846</v>
      </c>
      <c r="C1381" t="s">
        <v>62</v>
      </c>
      <c r="D1381" t="s">
        <v>891</v>
      </c>
      <c r="E1381" t="s">
        <v>260</v>
      </c>
      <c r="F1381" t="s">
        <v>166</v>
      </c>
      <c r="H1381">
        <v>0</v>
      </c>
      <c r="I1381">
        <v>0</v>
      </c>
      <c r="J1381">
        <v>1115.29</v>
      </c>
      <c r="M1381" s="7"/>
    </row>
    <row r="1382" spans="2:13" customFormat="1" x14ac:dyDescent="0.25">
      <c r="B1382" t="s">
        <v>846</v>
      </c>
      <c r="C1382" t="s">
        <v>207</v>
      </c>
      <c r="D1382" t="s">
        <v>891</v>
      </c>
      <c r="E1382" t="s">
        <v>299</v>
      </c>
      <c r="F1382" t="s">
        <v>208</v>
      </c>
      <c r="H1382">
        <v>20</v>
      </c>
      <c r="I1382">
        <v>0</v>
      </c>
      <c r="J1382">
        <v>4080.1</v>
      </c>
      <c r="M1382" s="7"/>
    </row>
    <row r="1383" spans="2:13" customFormat="1" x14ac:dyDescent="0.25">
      <c r="B1383" t="s">
        <v>846</v>
      </c>
      <c r="C1383" t="s">
        <v>63</v>
      </c>
      <c r="D1383" t="s">
        <v>891</v>
      </c>
      <c r="E1383" t="s">
        <v>261</v>
      </c>
      <c r="F1383" t="s">
        <v>167</v>
      </c>
      <c r="H1383">
        <v>0</v>
      </c>
      <c r="I1383">
        <v>0</v>
      </c>
      <c r="J1383">
        <v>288.76</v>
      </c>
      <c r="M1383" s="7"/>
    </row>
    <row r="1384" spans="2:13" customFormat="1" x14ac:dyDescent="0.25">
      <c r="B1384" t="s">
        <v>846</v>
      </c>
      <c r="C1384" t="s">
        <v>380</v>
      </c>
      <c r="D1384" t="s">
        <v>891</v>
      </c>
      <c r="E1384" t="s">
        <v>381</v>
      </c>
      <c r="F1384" t="s">
        <v>382</v>
      </c>
      <c r="H1384">
        <v>0</v>
      </c>
      <c r="I1384">
        <v>0</v>
      </c>
      <c r="J1384">
        <v>1316.92</v>
      </c>
      <c r="M1384" s="7"/>
    </row>
    <row r="1385" spans="2:13" customFormat="1" x14ac:dyDescent="0.25">
      <c r="B1385" t="s">
        <v>846</v>
      </c>
      <c r="C1385" t="s">
        <v>383</v>
      </c>
      <c r="D1385" t="s">
        <v>891</v>
      </c>
      <c r="E1385" t="s">
        <v>384</v>
      </c>
      <c r="F1385" t="s">
        <v>385</v>
      </c>
      <c r="H1385">
        <v>0</v>
      </c>
      <c r="I1385">
        <v>0</v>
      </c>
      <c r="J1385">
        <v>1070.1600000000001</v>
      </c>
      <c r="M1385" s="7"/>
    </row>
    <row r="1386" spans="2:13" customFormat="1" x14ac:dyDescent="0.25">
      <c r="B1386" t="s">
        <v>846</v>
      </c>
      <c r="C1386" t="s">
        <v>386</v>
      </c>
      <c r="D1386" t="s">
        <v>891</v>
      </c>
      <c r="E1386" t="s">
        <v>387</v>
      </c>
      <c r="F1386" t="s">
        <v>388</v>
      </c>
      <c r="H1386">
        <v>0</v>
      </c>
      <c r="I1386">
        <v>468.41</v>
      </c>
      <c r="J1386">
        <v>4985.93</v>
      </c>
      <c r="M1386" s="7"/>
    </row>
    <row r="1387" spans="2:13" customFormat="1" x14ac:dyDescent="0.25">
      <c r="B1387" t="s">
        <v>846</v>
      </c>
      <c r="C1387" t="s">
        <v>524</v>
      </c>
      <c r="D1387" t="s">
        <v>891</v>
      </c>
      <c r="E1387" t="s">
        <v>525</v>
      </c>
      <c r="F1387" t="s">
        <v>526</v>
      </c>
      <c r="H1387">
        <v>0</v>
      </c>
      <c r="I1387">
        <v>0</v>
      </c>
      <c r="J1387">
        <v>1050.4000000000001</v>
      </c>
      <c r="M1387" s="7"/>
    </row>
    <row r="1388" spans="2:13" customFormat="1" x14ac:dyDescent="0.25">
      <c r="B1388" t="s">
        <v>846</v>
      </c>
      <c r="C1388" t="s">
        <v>350</v>
      </c>
      <c r="D1388" t="s">
        <v>891</v>
      </c>
      <c r="E1388" t="s">
        <v>351</v>
      </c>
      <c r="F1388" t="s">
        <v>352</v>
      </c>
      <c r="H1388">
        <v>0</v>
      </c>
      <c r="I1388">
        <v>0</v>
      </c>
      <c r="J1388">
        <v>-39006.75</v>
      </c>
      <c r="M1388" s="7"/>
    </row>
    <row r="1389" spans="2:13" customFormat="1" x14ac:dyDescent="0.25">
      <c r="B1389" t="s">
        <v>846</v>
      </c>
      <c r="C1389" t="s">
        <v>64</v>
      </c>
      <c r="D1389" t="s">
        <v>891</v>
      </c>
      <c r="E1389" t="s">
        <v>265</v>
      </c>
      <c r="F1389" t="s">
        <v>171</v>
      </c>
      <c r="H1389">
        <v>0.78</v>
      </c>
      <c r="I1389">
        <v>176.92</v>
      </c>
      <c r="J1389">
        <v>13098.53</v>
      </c>
      <c r="M1389" s="7"/>
    </row>
    <row r="1390" spans="2:13" customFormat="1" x14ac:dyDescent="0.25">
      <c r="B1390" t="s">
        <v>846</v>
      </c>
      <c r="C1390" t="s">
        <v>94</v>
      </c>
      <c r="D1390" t="s">
        <v>891</v>
      </c>
      <c r="E1390" t="s">
        <v>266</v>
      </c>
      <c r="F1390" t="s">
        <v>172</v>
      </c>
      <c r="H1390">
        <v>0</v>
      </c>
      <c r="I1390">
        <v>0</v>
      </c>
      <c r="J1390">
        <v>-578.35</v>
      </c>
      <c r="M1390" s="7"/>
    </row>
    <row r="1391" spans="2:13" customFormat="1" x14ac:dyDescent="0.25">
      <c r="B1391" t="s">
        <v>846</v>
      </c>
      <c r="C1391" t="s">
        <v>353</v>
      </c>
      <c r="D1391" t="s">
        <v>891</v>
      </c>
      <c r="E1391" t="s">
        <v>354</v>
      </c>
      <c r="F1391" t="s">
        <v>355</v>
      </c>
      <c r="H1391">
        <v>0</v>
      </c>
      <c r="I1391">
        <v>0</v>
      </c>
      <c r="J1391">
        <v>19.46</v>
      </c>
      <c r="M1391" s="7"/>
    </row>
    <row r="1392" spans="2:13" customFormat="1" x14ac:dyDescent="0.25">
      <c r="B1392" t="s">
        <v>846</v>
      </c>
      <c r="C1392" t="s">
        <v>95</v>
      </c>
      <c r="D1392" t="s">
        <v>891</v>
      </c>
      <c r="E1392" t="s">
        <v>267</v>
      </c>
      <c r="F1392" t="s">
        <v>173</v>
      </c>
      <c r="H1392">
        <v>0</v>
      </c>
      <c r="I1392">
        <v>0</v>
      </c>
      <c r="J1392">
        <v>63.6</v>
      </c>
      <c r="M1392" s="7"/>
    </row>
    <row r="1393" spans="2:13" customFormat="1" x14ac:dyDescent="0.25">
      <c r="B1393" t="s">
        <v>846</v>
      </c>
      <c r="C1393" t="s">
        <v>97</v>
      </c>
      <c r="D1393" t="s">
        <v>891</v>
      </c>
      <c r="E1393" t="s">
        <v>270</v>
      </c>
      <c r="F1393" t="s">
        <v>176</v>
      </c>
      <c r="H1393">
        <v>0</v>
      </c>
      <c r="I1393">
        <v>411.62</v>
      </c>
      <c r="J1393">
        <v>833.8</v>
      </c>
      <c r="M1393" s="7"/>
    </row>
    <row r="1394" spans="2:13" customFormat="1" x14ac:dyDescent="0.25">
      <c r="B1394" t="s">
        <v>846</v>
      </c>
      <c r="C1394" t="s">
        <v>548</v>
      </c>
      <c r="D1394" t="s">
        <v>891</v>
      </c>
      <c r="E1394" t="s">
        <v>549</v>
      </c>
      <c r="F1394" t="s">
        <v>550</v>
      </c>
      <c r="H1394">
        <v>0</v>
      </c>
      <c r="I1394">
        <v>0</v>
      </c>
      <c r="J1394">
        <v>9605.94</v>
      </c>
      <c r="M1394" s="7"/>
    </row>
    <row r="1395" spans="2:13" customFormat="1" x14ac:dyDescent="0.25">
      <c r="B1395" t="s">
        <v>846</v>
      </c>
      <c r="C1395" t="s">
        <v>66</v>
      </c>
      <c r="D1395" t="s">
        <v>891</v>
      </c>
      <c r="E1395" t="s">
        <v>272</v>
      </c>
      <c r="F1395" t="s">
        <v>178</v>
      </c>
      <c r="H1395">
        <v>0</v>
      </c>
      <c r="I1395">
        <v>0</v>
      </c>
      <c r="J1395">
        <v>520</v>
      </c>
      <c r="M1395" s="7"/>
    </row>
    <row r="1396" spans="2:13" customFormat="1" x14ac:dyDescent="0.25">
      <c r="B1396" t="s">
        <v>846</v>
      </c>
      <c r="C1396" t="s">
        <v>99</v>
      </c>
      <c r="D1396" t="s">
        <v>891</v>
      </c>
      <c r="E1396" t="s">
        <v>273</v>
      </c>
      <c r="F1396" t="s">
        <v>179</v>
      </c>
      <c r="H1396">
        <v>1897.5</v>
      </c>
      <c r="I1396">
        <v>0</v>
      </c>
      <c r="J1396">
        <v>0</v>
      </c>
      <c r="M1396" s="7"/>
    </row>
    <row r="1397" spans="2:13" customFormat="1" x14ac:dyDescent="0.25">
      <c r="B1397" t="s">
        <v>846</v>
      </c>
      <c r="C1397" t="s">
        <v>392</v>
      </c>
      <c r="D1397" t="s">
        <v>891</v>
      </c>
      <c r="E1397" t="s">
        <v>393</v>
      </c>
      <c r="F1397" t="s">
        <v>394</v>
      </c>
      <c r="H1397">
        <v>0</v>
      </c>
      <c r="I1397">
        <v>0</v>
      </c>
      <c r="J1397">
        <v>2267.41</v>
      </c>
      <c r="M1397" s="7"/>
    </row>
    <row r="1398" spans="2:13" customFormat="1" x14ac:dyDescent="0.25">
      <c r="B1398" t="s">
        <v>846</v>
      </c>
      <c r="C1398" t="s">
        <v>591</v>
      </c>
      <c r="D1398" t="s">
        <v>891</v>
      </c>
      <c r="E1398" t="s">
        <v>592</v>
      </c>
      <c r="F1398" t="s">
        <v>593</v>
      </c>
      <c r="H1398">
        <v>0</v>
      </c>
      <c r="I1398">
        <v>0</v>
      </c>
      <c r="J1398">
        <v>702.64</v>
      </c>
      <c r="M1398" s="7"/>
    </row>
    <row r="1399" spans="2:13" customFormat="1" x14ac:dyDescent="0.25">
      <c r="B1399" t="s">
        <v>846</v>
      </c>
      <c r="C1399" t="s">
        <v>67</v>
      </c>
      <c r="D1399" t="s">
        <v>891</v>
      </c>
      <c r="E1399" t="s">
        <v>276</v>
      </c>
      <c r="F1399" t="s">
        <v>182</v>
      </c>
      <c r="H1399">
        <v>0</v>
      </c>
      <c r="I1399">
        <v>78.55</v>
      </c>
      <c r="J1399">
        <v>7603.63</v>
      </c>
      <c r="M1399" s="7"/>
    </row>
    <row r="1400" spans="2:13" customFormat="1" x14ac:dyDescent="0.25">
      <c r="B1400" t="s">
        <v>846</v>
      </c>
      <c r="C1400" t="s">
        <v>102</v>
      </c>
      <c r="D1400" t="s">
        <v>891</v>
      </c>
      <c r="E1400" t="s">
        <v>277</v>
      </c>
      <c r="F1400" t="s">
        <v>183</v>
      </c>
      <c r="H1400">
        <v>0</v>
      </c>
      <c r="I1400">
        <v>0</v>
      </c>
      <c r="J1400">
        <v>9011.1299999999992</v>
      </c>
      <c r="M1400" s="7"/>
    </row>
    <row r="1401" spans="2:13" customFormat="1" x14ac:dyDescent="0.25">
      <c r="B1401" t="s">
        <v>846</v>
      </c>
      <c r="C1401" t="s">
        <v>68</v>
      </c>
      <c r="D1401" t="s">
        <v>891</v>
      </c>
      <c r="E1401" t="s">
        <v>279</v>
      </c>
      <c r="F1401" t="s">
        <v>185</v>
      </c>
      <c r="H1401">
        <v>0</v>
      </c>
      <c r="I1401">
        <v>0</v>
      </c>
      <c r="J1401">
        <v>5102.0600000000004</v>
      </c>
      <c r="M1401" s="7"/>
    </row>
    <row r="1402" spans="2:13" customFormat="1" x14ac:dyDescent="0.25">
      <c r="B1402" t="s">
        <v>846</v>
      </c>
      <c r="C1402" t="s">
        <v>395</v>
      </c>
      <c r="D1402" t="s">
        <v>891</v>
      </c>
      <c r="E1402" t="s">
        <v>396</v>
      </c>
      <c r="F1402" t="s">
        <v>397</v>
      </c>
      <c r="H1402">
        <v>0</v>
      </c>
      <c r="I1402">
        <v>0</v>
      </c>
      <c r="J1402">
        <v>3104.17</v>
      </c>
      <c r="M1402" s="7"/>
    </row>
    <row r="1403" spans="2:13" customFormat="1" x14ac:dyDescent="0.25">
      <c r="B1403" t="s">
        <v>846</v>
      </c>
      <c r="C1403" t="s">
        <v>104</v>
      </c>
      <c r="D1403" t="s">
        <v>891</v>
      </c>
      <c r="E1403" t="s">
        <v>280</v>
      </c>
      <c r="F1403" t="s">
        <v>186</v>
      </c>
      <c r="H1403">
        <v>0</v>
      </c>
      <c r="I1403">
        <v>0</v>
      </c>
      <c r="J1403">
        <v>429.15</v>
      </c>
      <c r="M1403" s="7"/>
    </row>
    <row r="1404" spans="2:13" customFormat="1" x14ac:dyDescent="0.25">
      <c r="B1404" t="s">
        <v>846</v>
      </c>
      <c r="C1404" t="s">
        <v>356</v>
      </c>
      <c r="D1404" t="s">
        <v>891</v>
      </c>
      <c r="E1404" t="s">
        <v>357</v>
      </c>
      <c r="F1404" t="s">
        <v>358</v>
      </c>
      <c r="H1404">
        <v>0</v>
      </c>
      <c r="I1404">
        <v>0</v>
      </c>
      <c r="J1404">
        <v>1500</v>
      </c>
      <c r="M1404" s="7"/>
    </row>
    <row r="1405" spans="2:13" customFormat="1" x14ac:dyDescent="0.25">
      <c r="B1405" t="s">
        <v>846</v>
      </c>
      <c r="C1405" t="s">
        <v>105</v>
      </c>
      <c r="D1405" t="s">
        <v>891</v>
      </c>
      <c r="E1405" t="s">
        <v>281</v>
      </c>
      <c r="F1405" t="s">
        <v>187</v>
      </c>
      <c r="H1405">
        <v>0</v>
      </c>
      <c r="I1405">
        <v>0</v>
      </c>
      <c r="J1405">
        <v>400.07</v>
      </c>
      <c r="M1405" s="7"/>
    </row>
    <row r="1406" spans="2:13" customFormat="1" x14ac:dyDescent="0.25">
      <c r="B1406" t="s">
        <v>846</v>
      </c>
      <c r="C1406" t="s">
        <v>106</v>
      </c>
      <c r="D1406" t="s">
        <v>891</v>
      </c>
      <c r="E1406" t="s">
        <v>282</v>
      </c>
      <c r="F1406" t="s">
        <v>188</v>
      </c>
      <c r="H1406">
        <v>0</v>
      </c>
      <c r="I1406">
        <v>0</v>
      </c>
      <c r="J1406">
        <v>1313.59</v>
      </c>
      <c r="M1406" s="7"/>
    </row>
    <row r="1407" spans="2:13" customFormat="1" x14ac:dyDescent="0.25">
      <c r="B1407" t="s">
        <v>846</v>
      </c>
      <c r="C1407" t="s">
        <v>107</v>
      </c>
      <c r="D1407" t="s">
        <v>891</v>
      </c>
      <c r="E1407" t="s">
        <v>283</v>
      </c>
      <c r="F1407" t="s">
        <v>189</v>
      </c>
      <c r="H1407">
        <v>0</v>
      </c>
      <c r="I1407">
        <v>0</v>
      </c>
      <c r="J1407">
        <v>12468.34</v>
      </c>
      <c r="M1407" s="7"/>
    </row>
    <row r="1408" spans="2:13" customFormat="1" x14ac:dyDescent="0.25">
      <c r="B1408" t="s">
        <v>846</v>
      </c>
      <c r="C1408" t="s">
        <v>359</v>
      </c>
      <c r="D1408" t="s">
        <v>891</v>
      </c>
      <c r="E1408" t="s">
        <v>360</v>
      </c>
      <c r="F1408" t="s">
        <v>361</v>
      </c>
      <c r="H1408">
        <v>0</v>
      </c>
      <c r="I1408">
        <v>0</v>
      </c>
      <c r="J1408">
        <v>1615.27</v>
      </c>
      <c r="M1408" s="7"/>
    </row>
    <row r="1409" spans="2:13" customFormat="1" x14ac:dyDescent="0.25">
      <c r="B1409" t="s">
        <v>846</v>
      </c>
      <c r="C1409" t="s">
        <v>209</v>
      </c>
      <c r="D1409" t="s">
        <v>891</v>
      </c>
      <c r="E1409" t="s">
        <v>300</v>
      </c>
      <c r="F1409" t="s">
        <v>210</v>
      </c>
      <c r="H1409">
        <v>0</v>
      </c>
      <c r="I1409">
        <v>0</v>
      </c>
      <c r="J1409">
        <v>246.63</v>
      </c>
      <c r="M1409" s="7"/>
    </row>
    <row r="1410" spans="2:13" customFormat="1" x14ac:dyDescent="0.25">
      <c r="B1410" t="s">
        <v>846</v>
      </c>
      <c r="C1410" t="s">
        <v>69</v>
      </c>
      <c r="D1410" t="s">
        <v>891</v>
      </c>
      <c r="E1410" t="s">
        <v>284</v>
      </c>
      <c r="F1410" t="s">
        <v>190</v>
      </c>
      <c r="H1410">
        <v>0</v>
      </c>
      <c r="I1410">
        <v>197.5</v>
      </c>
      <c r="J1410">
        <v>974.92</v>
      </c>
      <c r="M1410" s="7"/>
    </row>
    <row r="1411" spans="2:13" customFormat="1" x14ac:dyDescent="0.25">
      <c r="B1411" t="s">
        <v>846</v>
      </c>
      <c r="C1411" t="s">
        <v>633</v>
      </c>
      <c r="D1411" t="s">
        <v>891</v>
      </c>
      <c r="E1411" t="s">
        <v>634</v>
      </c>
      <c r="F1411" t="s">
        <v>635</v>
      </c>
      <c r="H1411">
        <v>0</v>
      </c>
      <c r="I1411">
        <v>0</v>
      </c>
      <c r="J1411">
        <v>844.22</v>
      </c>
      <c r="M1411" s="7"/>
    </row>
    <row r="1412" spans="2:13" customFormat="1" x14ac:dyDescent="0.25">
      <c r="B1412" t="s">
        <v>846</v>
      </c>
      <c r="C1412" t="s">
        <v>70</v>
      </c>
      <c r="D1412" t="s">
        <v>891</v>
      </c>
      <c r="E1412" t="s">
        <v>286</v>
      </c>
      <c r="F1412" t="s">
        <v>192</v>
      </c>
      <c r="H1412">
        <v>0</v>
      </c>
      <c r="I1412">
        <v>0</v>
      </c>
      <c r="J1412">
        <v>389.2</v>
      </c>
      <c r="M1412" s="7"/>
    </row>
    <row r="1413" spans="2:13" customFormat="1" x14ac:dyDescent="0.25">
      <c r="B1413" t="s">
        <v>846</v>
      </c>
      <c r="C1413" t="s">
        <v>109</v>
      </c>
      <c r="D1413" t="s">
        <v>891</v>
      </c>
      <c r="E1413" t="s">
        <v>287</v>
      </c>
      <c r="F1413" t="s">
        <v>193</v>
      </c>
      <c r="H1413">
        <v>0</v>
      </c>
      <c r="I1413">
        <v>3305.9</v>
      </c>
      <c r="J1413">
        <v>9950</v>
      </c>
      <c r="M1413" s="7"/>
    </row>
    <row r="1414" spans="2:13" customFormat="1" x14ac:dyDescent="0.25">
      <c r="B1414" t="s">
        <v>846</v>
      </c>
      <c r="C1414" t="s">
        <v>560</v>
      </c>
      <c r="D1414" t="s">
        <v>891</v>
      </c>
      <c r="E1414" t="s">
        <v>561</v>
      </c>
      <c r="F1414" t="s">
        <v>562</v>
      </c>
      <c r="H1414">
        <v>0</v>
      </c>
      <c r="I1414">
        <v>0</v>
      </c>
      <c r="J1414">
        <v>550</v>
      </c>
      <c r="M1414" s="7"/>
    </row>
    <row r="1415" spans="2:13" customFormat="1" x14ac:dyDescent="0.25">
      <c r="B1415" t="s">
        <v>846</v>
      </c>
      <c r="C1415" t="s">
        <v>110</v>
      </c>
      <c r="D1415" t="s">
        <v>891</v>
      </c>
      <c r="E1415" t="s">
        <v>288</v>
      </c>
      <c r="F1415" t="s">
        <v>194</v>
      </c>
      <c r="H1415">
        <v>0</v>
      </c>
      <c r="I1415">
        <v>1890.1</v>
      </c>
      <c r="J1415">
        <v>2753.6</v>
      </c>
      <c r="M1415" s="7"/>
    </row>
    <row r="1416" spans="2:13" customFormat="1" x14ac:dyDescent="0.25">
      <c r="B1416" t="s">
        <v>846</v>
      </c>
      <c r="C1416" t="s">
        <v>437</v>
      </c>
      <c r="D1416" t="s">
        <v>891</v>
      </c>
      <c r="E1416" t="s">
        <v>438</v>
      </c>
      <c r="F1416" t="s">
        <v>439</v>
      </c>
      <c r="H1416">
        <v>0</v>
      </c>
      <c r="I1416">
        <v>0</v>
      </c>
      <c r="J1416">
        <v>250</v>
      </c>
      <c r="M1416" s="7"/>
    </row>
    <row r="1417" spans="2:13" customFormat="1" x14ac:dyDescent="0.25">
      <c r="B1417" t="s">
        <v>846</v>
      </c>
      <c r="C1417" t="s">
        <v>440</v>
      </c>
      <c r="D1417" t="s">
        <v>891</v>
      </c>
      <c r="E1417" t="s">
        <v>441</v>
      </c>
      <c r="F1417" t="s">
        <v>442</v>
      </c>
      <c r="H1417">
        <v>0</v>
      </c>
      <c r="I1417">
        <v>0</v>
      </c>
      <c r="J1417">
        <v>5169.82</v>
      </c>
      <c r="M1417" s="7"/>
    </row>
    <row r="1418" spans="2:13" customFormat="1" x14ac:dyDescent="0.25">
      <c r="B1418" t="s">
        <v>846</v>
      </c>
      <c r="C1418" t="s">
        <v>111</v>
      </c>
      <c r="D1418" t="s">
        <v>891</v>
      </c>
      <c r="E1418" t="s">
        <v>289</v>
      </c>
      <c r="F1418" t="s">
        <v>195</v>
      </c>
      <c r="H1418">
        <v>0</v>
      </c>
      <c r="I1418">
        <v>0</v>
      </c>
      <c r="J1418">
        <v>-133.22</v>
      </c>
      <c r="M1418" s="7"/>
    </row>
    <row r="1419" spans="2:13" customFormat="1" x14ac:dyDescent="0.25">
      <c r="B1419" t="s">
        <v>846</v>
      </c>
      <c r="C1419" t="s">
        <v>398</v>
      </c>
      <c r="D1419" t="s">
        <v>891</v>
      </c>
      <c r="E1419" t="s">
        <v>399</v>
      </c>
      <c r="F1419" t="s">
        <v>400</v>
      </c>
      <c r="H1419">
        <v>0</v>
      </c>
      <c r="I1419">
        <v>893.65</v>
      </c>
      <c r="J1419">
        <v>5836.46</v>
      </c>
      <c r="M1419" s="7"/>
    </row>
    <row r="1420" spans="2:13" customFormat="1" x14ac:dyDescent="0.25">
      <c r="B1420" t="s">
        <v>846</v>
      </c>
      <c r="C1420" t="s">
        <v>401</v>
      </c>
      <c r="D1420" t="s">
        <v>891</v>
      </c>
      <c r="E1420" t="s">
        <v>402</v>
      </c>
      <c r="F1420" t="s">
        <v>403</v>
      </c>
      <c r="H1420">
        <v>0</v>
      </c>
      <c r="I1420">
        <v>0</v>
      </c>
      <c r="J1420">
        <v>1287.67</v>
      </c>
      <c r="M1420" s="7"/>
    </row>
    <row r="1421" spans="2:13" customFormat="1" x14ac:dyDescent="0.25">
      <c r="B1421" t="s">
        <v>846</v>
      </c>
      <c r="C1421" t="s">
        <v>112</v>
      </c>
      <c r="D1421" t="s">
        <v>891</v>
      </c>
      <c r="E1421" t="s">
        <v>290</v>
      </c>
      <c r="F1421" t="s">
        <v>196</v>
      </c>
      <c r="H1421">
        <v>0</v>
      </c>
      <c r="I1421">
        <v>0</v>
      </c>
      <c r="J1421">
        <v>800.76</v>
      </c>
      <c r="M1421" s="7"/>
    </row>
    <row r="1422" spans="2:13" customFormat="1" x14ac:dyDescent="0.25">
      <c r="B1422" t="s">
        <v>846</v>
      </c>
      <c r="C1422" t="s">
        <v>71</v>
      </c>
      <c r="D1422" t="s">
        <v>891</v>
      </c>
      <c r="E1422" t="s">
        <v>291</v>
      </c>
      <c r="F1422" t="s">
        <v>197</v>
      </c>
      <c r="H1422">
        <v>0</v>
      </c>
      <c r="I1422">
        <v>120.5</v>
      </c>
      <c r="J1422">
        <v>2471.8200000000002</v>
      </c>
      <c r="M1422" s="7"/>
    </row>
    <row r="1423" spans="2:13" customFormat="1" x14ac:dyDescent="0.25">
      <c r="B1423" t="s">
        <v>846</v>
      </c>
      <c r="C1423" t="s">
        <v>72</v>
      </c>
      <c r="D1423" t="s">
        <v>891</v>
      </c>
      <c r="E1423" t="s">
        <v>292</v>
      </c>
      <c r="F1423" t="s">
        <v>198</v>
      </c>
      <c r="H1423">
        <v>0</v>
      </c>
      <c r="I1423">
        <v>35.96</v>
      </c>
      <c r="J1423">
        <v>803.49</v>
      </c>
      <c r="M1423" s="7"/>
    </row>
    <row r="1424" spans="2:13" customFormat="1" x14ac:dyDescent="0.25">
      <c r="B1424" t="s">
        <v>846</v>
      </c>
      <c r="C1424" t="s">
        <v>73</v>
      </c>
      <c r="D1424" t="s">
        <v>891</v>
      </c>
      <c r="E1424" t="s">
        <v>293</v>
      </c>
      <c r="F1424" t="s">
        <v>199</v>
      </c>
      <c r="H1424">
        <v>3057.98</v>
      </c>
      <c r="I1424">
        <v>548583.39</v>
      </c>
      <c r="J1424">
        <v>545976.03</v>
      </c>
      <c r="M1424" s="7"/>
    </row>
    <row r="1425" spans="2:13" customFormat="1" x14ac:dyDescent="0.25">
      <c r="B1425" t="s">
        <v>846</v>
      </c>
      <c r="C1425" t="s">
        <v>74</v>
      </c>
      <c r="D1425" t="s">
        <v>891</v>
      </c>
      <c r="E1425" t="s">
        <v>294</v>
      </c>
      <c r="F1425" t="s">
        <v>200</v>
      </c>
      <c r="H1425">
        <v>0</v>
      </c>
      <c r="I1425">
        <v>70</v>
      </c>
      <c r="J1425">
        <v>29334.53</v>
      </c>
      <c r="M1425" s="7"/>
    </row>
    <row r="1426" spans="2:13" customFormat="1" x14ac:dyDescent="0.25">
      <c r="B1426" t="s">
        <v>846</v>
      </c>
      <c r="C1426" t="s">
        <v>75</v>
      </c>
      <c r="D1426" t="s">
        <v>891</v>
      </c>
      <c r="E1426" t="s">
        <v>295</v>
      </c>
      <c r="F1426" t="s">
        <v>201</v>
      </c>
      <c r="H1426">
        <v>0</v>
      </c>
      <c r="I1426">
        <v>0</v>
      </c>
      <c r="J1426">
        <v>4063.03</v>
      </c>
      <c r="M1426" s="7"/>
    </row>
    <row r="1427" spans="2:13" customFormat="1" x14ac:dyDescent="0.25">
      <c r="B1427" t="s">
        <v>846</v>
      </c>
      <c r="C1427" t="s">
        <v>76</v>
      </c>
      <c r="D1427" t="s">
        <v>891</v>
      </c>
      <c r="E1427" t="s">
        <v>296</v>
      </c>
      <c r="F1427" t="s">
        <v>202</v>
      </c>
      <c r="H1427">
        <v>0</v>
      </c>
      <c r="I1427">
        <v>0</v>
      </c>
      <c r="J1427">
        <v>2437.8200000000002</v>
      </c>
      <c r="M1427" s="7"/>
    </row>
    <row r="1428" spans="2:13" customFormat="1" x14ac:dyDescent="0.25">
      <c r="B1428" t="s">
        <v>846</v>
      </c>
      <c r="C1428" t="s">
        <v>613</v>
      </c>
      <c r="D1428" t="s">
        <v>891</v>
      </c>
      <c r="E1428" t="s">
        <v>614</v>
      </c>
      <c r="F1428" t="s">
        <v>615</v>
      </c>
      <c r="H1428">
        <v>0</v>
      </c>
      <c r="I1428">
        <v>0</v>
      </c>
      <c r="J1428">
        <v>991.81</v>
      </c>
      <c r="M1428" s="7"/>
    </row>
    <row r="1429" spans="2:13" customFormat="1" x14ac:dyDescent="0.25">
      <c r="B1429" t="s">
        <v>587</v>
      </c>
      <c r="C1429" t="s">
        <v>26</v>
      </c>
      <c r="D1429" t="s">
        <v>891</v>
      </c>
      <c r="E1429" t="s">
        <v>211</v>
      </c>
      <c r="F1429" t="s">
        <v>116</v>
      </c>
      <c r="H1429">
        <v>174451.82</v>
      </c>
      <c r="I1429">
        <v>174451.82</v>
      </c>
      <c r="J1429">
        <v>0</v>
      </c>
      <c r="M1429" s="7"/>
    </row>
    <row r="1430" spans="2:13" customFormat="1" x14ac:dyDescent="0.25">
      <c r="B1430" t="s">
        <v>587</v>
      </c>
      <c r="C1430" t="s">
        <v>27</v>
      </c>
      <c r="D1430" t="s">
        <v>891</v>
      </c>
      <c r="E1430" t="s">
        <v>212</v>
      </c>
      <c r="F1430" t="s">
        <v>117</v>
      </c>
      <c r="H1430">
        <v>3943.82</v>
      </c>
      <c r="I1430">
        <v>6436.22</v>
      </c>
      <c r="J1430">
        <v>20215.169999999998</v>
      </c>
      <c r="M1430" s="7"/>
    </row>
    <row r="1431" spans="2:13" customFormat="1" x14ac:dyDescent="0.25">
      <c r="B1431" t="s">
        <v>587</v>
      </c>
      <c r="C1431" t="s">
        <v>28</v>
      </c>
      <c r="D1431" t="s">
        <v>891</v>
      </c>
      <c r="E1431" t="s">
        <v>213</v>
      </c>
      <c r="F1431" t="s">
        <v>118</v>
      </c>
      <c r="H1431">
        <v>83137.679999999993</v>
      </c>
      <c r="I1431">
        <v>82624.320000000007</v>
      </c>
      <c r="J1431">
        <v>-50.1</v>
      </c>
      <c r="M1431" s="7"/>
    </row>
    <row r="1432" spans="2:13" customFormat="1" x14ac:dyDescent="0.25">
      <c r="B1432" t="s">
        <v>587</v>
      </c>
      <c r="C1432" t="s">
        <v>537</v>
      </c>
      <c r="D1432" t="s">
        <v>891</v>
      </c>
      <c r="E1432" t="s">
        <v>538</v>
      </c>
      <c r="F1432" t="s">
        <v>539</v>
      </c>
      <c r="H1432">
        <v>0</v>
      </c>
      <c r="I1432">
        <v>0.01</v>
      </c>
      <c r="J1432">
        <v>0</v>
      </c>
      <c r="M1432" s="7"/>
    </row>
    <row r="1433" spans="2:13" customFormat="1" x14ac:dyDescent="0.25">
      <c r="B1433" t="s">
        <v>587</v>
      </c>
      <c r="C1433" t="s">
        <v>29</v>
      </c>
      <c r="D1433" t="s">
        <v>891</v>
      </c>
      <c r="E1433" t="s">
        <v>214</v>
      </c>
      <c r="F1433" t="s">
        <v>119</v>
      </c>
      <c r="H1433">
        <v>157694</v>
      </c>
      <c r="I1433">
        <v>174501.82</v>
      </c>
      <c r="J1433">
        <v>39291.5</v>
      </c>
      <c r="M1433" s="7"/>
    </row>
    <row r="1434" spans="2:13" customFormat="1" x14ac:dyDescent="0.25">
      <c r="B1434" t="s">
        <v>587</v>
      </c>
      <c r="C1434" t="s">
        <v>30</v>
      </c>
      <c r="D1434" t="s">
        <v>891</v>
      </c>
      <c r="E1434" t="s">
        <v>215</v>
      </c>
      <c r="F1434" t="s">
        <v>120</v>
      </c>
      <c r="H1434">
        <v>617254.03</v>
      </c>
      <c r="I1434">
        <v>616278.30000000005</v>
      </c>
      <c r="J1434">
        <v>210177.21</v>
      </c>
      <c r="M1434" s="7"/>
    </row>
    <row r="1435" spans="2:13" customFormat="1" x14ac:dyDescent="0.25">
      <c r="B1435" t="s">
        <v>587</v>
      </c>
      <c r="C1435" t="s">
        <v>81</v>
      </c>
      <c r="D1435" t="s">
        <v>891</v>
      </c>
      <c r="E1435" t="s">
        <v>216</v>
      </c>
      <c r="F1435" t="s">
        <v>121</v>
      </c>
      <c r="H1435">
        <v>30120</v>
      </c>
      <c r="I1435">
        <v>14736.61</v>
      </c>
      <c r="J1435">
        <v>24456.32</v>
      </c>
      <c r="M1435" s="7"/>
    </row>
    <row r="1436" spans="2:13" customFormat="1" x14ac:dyDescent="0.25">
      <c r="B1436" t="s">
        <v>587</v>
      </c>
      <c r="C1436" t="s">
        <v>31</v>
      </c>
      <c r="D1436" t="s">
        <v>891</v>
      </c>
      <c r="E1436" t="s">
        <v>217</v>
      </c>
      <c r="F1436" t="s">
        <v>122</v>
      </c>
      <c r="H1436">
        <v>634637.68999999994</v>
      </c>
      <c r="I1436">
        <v>634637.68999999994</v>
      </c>
      <c r="J1436">
        <v>0</v>
      </c>
      <c r="M1436" s="7"/>
    </row>
    <row r="1437" spans="2:13" customFormat="1" x14ac:dyDescent="0.25">
      <c r="B1437" t="s">
        <v>587</v>
      </c>
      <c r="C1437" t="s">
        <v>32</v>
      </c>
      <c r="D1437" t="s">
        <v>891</v>
      </c>
      <c r="E1437" t="s">
        <v>218</v>
      </c>
      <c r="F1437" t="s">
        <v>123</v>
      </c>
      <c r="H1437">
        <v>16389</v>
      </c>
      <c r="I1437">
        <v>8500</v>
      </c>
      <c r="J1437">
        <v>8792.5</v>
      </c>
      <c r="M1437" s="7"/>
    </row>
    <row r="1438" spans="2:13" customFormat="1" x14ac:dyDescent="0.25">
      <c r="B1438" t="s">
        <v>587</v>
      </c>
      <c r="C1438" t="s">
        <v>33</v>
      </c>
      <c r="D1438" t="s">
        <v>891</v>
      </c>
      <c r="E1438" t="s">
        <v>219</v>
      </c>
      <c r="F1438" t="s">
        <v>124</v>
      </c>
      <c r="H1438">
        <v>173150.12</v>
      </c>
      <c r="I1438">
        <v>181187.12</v>
      </c>
      <c r="J1438">
        <v>64363.69</v>
      </c>
      <c r="M1438" s="7"/>
    </row>
    <row r="1439" spans="2:13" customFormat="1" x14ac:dyDescent="0.25">
      <c r="B1439" t="s">
        <v>587</v>
      </c>
      <c r="C1439" t="s">
        <v>34</v>
      </c>
      <c r="D1439" t="s">
        <v>891</v>
      </c>
      <c r="E1439" t="s">
        <v>220</v>
      </c>
      <c r="F1439" t="s">
        <v>125</v>
      </c>
      <c r="H1439">
        <v>138032.82</v>
      </c>
      <c r="I1439">
        <v>146635.64000000001</v>
      </c>
      <c r="J1439">
        <v>58608.71</v>
      </c>
      <c r="M1439" s="7"/>
    </row>
    <row r="1440" spans="2:13" customFormat="1" x14ac:dyDescent="0.25">
      <c r="B1440" t="s">
        <v>587</v>
      </c>
      <c r="C1440" t="s">
        <v>205</v>
      </c>
      <c r="D1440" t="s">
        <v>891</v>
      </c>
      <c r="E1440" t="s">
        <v>298</v>
      </c>
      <c r="F1440" t="s">
        <v>206</v>
      </c>
      <c r="H1440">
        <v>32970.15</v>
      </c>
      <c r="I1440">
        <v>43290.97</v>
      </c>
      <c r="J1440">
        <v>45407.81</v>
      </c>
      <c r="M1440" s="7"/>
    </row>
    <row r="1441" spans="2:13" customFormat="1" x14ac:dyDescent="0.25">
      <c r="B1441" t="s">
        <v>587</v>
      </c>
      <c r="C1441" t="s">
        <v>301</v>
      </c>
      <c r="D1441" t="s">
        <v>891</v>
      </c>
      <c r="E1441" t="s">
        <v>302</v>
      </c>
      <c r="F1441" t="s">
        <v>303</v>
      </c>
      <c r="H1441">
        <v>8863.2900000000009</v>
      </c>
      <c r="I1441">
        <v>9546.8700000000008</v>
      </c>
      <c r="J1441">
        <v>683.58</v>
      </c>
      <c r="M1441" s="7"/>
    </row>
    <row r="1442" spans="2:13" customFormat="1" x14ac:dyDescent="0.25">
      <c r="B1442" t="s">
        <v>587</v>
      </c>
      <c r="C1442" t="s">
        <v>35</v>
      </c>
      <c r="D1442" t="s">
        <v>891</v>
      </c>
      <c r="E1442" t="s">
        <v>221</v>
      </c>
      <c r="F1442" t="s">
        <v>127</v>
      </c>
      <c r="H1442">
        <v>1394.43</v>
      </c>
      <c r="I1442">
        <v>1394.13</v>
      </c>
      <c r="J1442">
        <v>0</v>
      </c>
      <c r="M1442" s="7"/>
    </row>
    <row r="1443" spans="2:13" customFormat="1" x14ac:dyDescent="0.25">
      <c r="B1443" t="s">
        <v>587</v>
      </c>
      <c r="C1443" t="s">
        <v>36</v>
      </c>
      <c r="D1443" t="s">
        <v>891</v>
      </c>
      <c r="E1443" t="s">
        <v>222</v>
      </c>
      <c r="F1443" t="s">
        <v>128</v>
      </c>
      <c r="H1443">
        <v>248.93</v>
      </c>
      <c r="I1443">
        <v>533.02</v>
      </c>
      <c r="J1443">
        <v>5949.91</v>
      </c>
      <c r="M1443" s="7"/>
    </row>
    <row r="1444" spans="2:13" customFormat="1" x14ac:dyDescent="0.25">
      <c r="B1444" t="s">
        <v>587</v>
      </c>
      <c r="C1444" t="s">
        <v>37</v>
      </c>
      <c r="D1444" t="s">
        <v>891</v>
      </c>
      <c r="E1444" t="s">
        <v>223</v>
      </c>
      <c r="F1444" t="s">
        <v>129</v>
      </c>
      <c r="H1444">
        <v>1146.58</v>
      </c>
      <c r="I1444">
        <v>2455.16</v>
      </c>
      <c r="J1444">
        <v>26817.49</v>
      </c>
      <c r="M1444" s="7"/>
    </row>
    <row r="1445" spans="2:13" customFormat="1" x14ac:dyDescent="0.25">
      <c r="B1445" t="s">
        <v>587</v>
      </c>
      <c r="C1445" t="s">
        <v>413</v>
      </c>
      <c r="D1445" t="s">
        <v>891</v>
      </c>
      <c r="E1445" t="s">
        <v>414</v>
      </c>
      <c r="F1445" t="s">
        <v>415</v>
      </c>
      <c r="H1445">
        <v>0</v>
      </c>
      <c r="I1445">
        <v>0</v>
      </c>
      <c r="J1445">
        <v>1.43</v>
      </c>
      <c r="M1445" s="7"/>
    </row>
    <row r="1446" spans="2:13" customFormat="1" x14ac:dyDescent="0.25">
      <c r="B1446" t="s">
        <v>587</v>
      </c>
      <c r="C1446" t="s">
        <v>304</v>
      </c>
      <c r="D1446" t="s">
        <v>891</v>
      </c>
      <c r="E1446" t="s">
        <v>305</v>
      </c>
      <c r="F1446" t="s">
        <v>306</v>
      </c>
      <c r="H1446">
        <v>514656.78</v>
      </c>
      <c r="I1446">
        <v>490608.5</v>
      </c>
      <c r="J1446">
        <v>188454.36</v>
      </c>
      <c r="M1446" s="7"/>
    </row>
    <row r="1447" spans="2:13" customFormat="1" x14ac:dyDescent="0.25">
      <c r="B1447" t="s">
        <v>587</v>
      </c>
      <c r="C1447" t="s">
        <v>38</v>
      </c>
      <c r="D1447" t="s">
        <v>891</v>
      </c>
      <c r="E1447" t="s">
        <v>224</v>
      </c>
      <c r="F1447" t="s">
        <v>130</v>
      </c>
      <c r="H1447">
        <v>41469.480000000003</v>
      </c>
      <c r="I1447">
        <v>33867.379999999997</v>
      </c>
      <c r="J1447">
        <v>40509.97</v>
      </c>
      <c r="M1447" s="7"/>
    </row>
    <row r="1448" spans="2:13" customFormat="1" x14ac:dyDescent="0.25">
      <c r="B1448" t="s">
        <v>587</v>
      </c>
      <c r="C1448" t="s">
        <v>39</v>
      </c>
      <c r="D1448" t="s">
        <v>891</v>
      </c>
      <c r="E1448" t="s">
        <v>225</v>
      </c>
      <c r="F1448" t="s">
        <v>131</v>
      </c>
      <c r="H1448">
        <v>5400.44</v>
      </c>
      <c r="I1448">
        <v>11957.12</v>
      </c>
      <c r="J1448">
        <v>32980.080000000002</v>
      </c>
      <c r="M1448" s="7"/>
    </row>
    <row r="1449" spans="2:13" customFormat="1" x14ac:dyDescent="0.25">
      <c r="B1449" t="s">
        <v>587</v>
      </c>
      <c r="C1449" t="s">
        <v>82</v>
      </c>
      <c r="D1449" t="s">
        <v>891</v>
      </c>
      <c r="E1449" t="s">
        <v>226</v>
      </c>
      <c r="F1449" t="s">
        <v>132</v>
      </c>
      <c r="H1449">
        <v>0</v>
      </c>
      <c r="I1449">
        <v>0</v>
      </c>
      <c r="J1449">
        <v>-712</v>
      </c>
      <c r="M1449" s="7"/>
    </row>
    <row r="1450" spans="2:13" customFormat="1" x14ac:dyDescent="0.25">
      <c r="B1450" t="s">
        <v>587</v>
      </c>
      <c r="C1450" t="s">
        <v>455</v>
      </c>
      <c r="D1450" t="s">
        <v>891</v>
      </c>
      <c r="E1450" t="s">
        <v>456</v>
      </c>
      <c r="F1450" t="s">
        <v>457</v>
      </c>
      <c r="H1450">
        <v>0</v>
      </c>
      <c r="I1450">
        <v>0</v>
      </c>
      <c r="J1450">
        <v>3456.7</v>
      </c>
      <c r="M1450" s="7"/>
    </row>
    <row r="1451" spans="2:13" customFormat="1" x14ac:dyDescent="0.25">
      <c r="B1451" t="s">
        <v>587</v>
      </c>
      <c r="C1451" t="s">
        <v>416</v>
      </c>
      <c r="D1451" t="s">
        <v>891</v>
      </c>
      <c r="E1451" t="s">
        <v>417</v>
      </c>
      <c r="F1451" t="s">
        <v>418</v>
      </c>
      <c r="H1451">
        <v>0</v>
      </c>
      <c r="I1451">
        <v>0</v>
      </c>
      <c r="J1451">
        <v>10227.549999999999</v>
      </c>
      <c r="M1451" s="7"/>
    </row>
    <row r="1452" spans="2:13" customFormat="1" x14ac:dyDescent="0.25">
      <c r="B1452" t="s">
        <v>587</v>
      </c>
      <c r="C1452" t="s">
        <v>458</v>
      </c>
      <c r="D1452" t="s">
        <v>891</v>
      </c>
      <c r="E1452" t="s">
        <v>459</v>
      </c>
      <c r="F1452" t="s">
        <v>460</v>
      </c>
      <c r="H1452">
        <v>0</v>
      </c>
      <c r="I1452">
        <v>0</v>
      </c>
      <c r="J1452">
        <v>16262.82</v>
      </c>
      <c r="M1452" s="7"/>
    </row>
    <row r="1453" spans="2:13" customFormat="1" x14ac:dyDescent="0.25">
      <c r="B1453" t="s">
        <v>587</v>
      </c>
      <c r="C1453" t="s">
        <v>515</v>
      </c>
      <c r="D1453" t="s">
        <v>891</v>
      </c>
      <c r="E1453" t="s">
        <v>516</v>
      </c>
      <c r="F1453" t="s">
        <v>517</v>
      </c>
      <c r="H1453">
        <v>0</v>
      </c>
      <c r="I1453">
        <v>0</v>
      </c>
      <c r="J1453">
        <v>580</v>
      </c>
      <c r="M1453" s="7"/>
    </row>
    <row r="1454" spans="2:13" customFormat="1" x14ac:dyDescent="0.25">
      <c r="B1454" t="s">
        <v>587</v>
      </c>
      <c r="C1454" t="s">
        <v>461</v>
      </c>
      <c r="D1454" t="s">
        <v>891</v>
      </c>
      <c r="E1454" t="s">
        <v>462</v>
      </c>
      <c r="F1454" t="s">
        <v>463</v>
      </c>
      <c r="H1454">
        <v>0</v>
      </c>
      <c r="I1454">
        <v>0</v>
      </c>
      <c r="J1454">
        <v>3731.62</v>
      </c>
      <c r="M1454" s="7"/>
    </row>
    <row r="1455" spans="2:13" customFormat="1" x14ac:dyDescent="0.25">
      <c r="B1455" t="s">
        <v>587</v>
      </c>
      <c r="C1455" t="s">
        <v>464</v>
      </c>
      <c r="D1455" t="s">
        <v>891</v>
      </c>
      <c r="E1455" t="s">
        <v>465</v>
      </c>
      <c r="F1455" t="s">
        <v>466</v>
      </c>
      <c r="H1455">
        <v>0</v>
      </c>
      <c r="I1455">
        <v>13950</v>
      </c>
      <c r="J1455">
        <v>13950</v>
      </c>
      <c r="M1455" s="7"/>
    </row>
    <row r="1456" spans="2:13" customFormat="1" x14ac:dyDescent="0.25">
      <c r="B1456" t="s">
        <v>587</v>
      </c>
      <c r="C1456" t="s">
        <v>467</v>
      </c>
      <c r="D1456" t="s">
        <v>891</v>
      </c>
      <c r="E1456" t="s">
        <v>468</v>
      </c>
      <c r="F1456" t="s">
        <v>469</v>
      </c>
      <c r="H1456">
        <v>13950</v>
      </c>
      <c r="I1456">
        <v>0</v>
      </c>
      <c r="J1456">
        <v>0</v>
      </c>
      <c r="M1456" s="7"/>
    </row>
    <row r="1457" spans="2:13" customFormat="1" x14ac:dyDescent="0.25">
      <c r="B1457" t="s">
        <v>587</v>
      </c>
      <c r="C1457" t="s">
        <v>470</v>
      </c>
      <c r="D1457" t="s">
        <v>891</v>
      </c>
      <c r="E1457" t="s">
        <v>471</v>
      </c>
      <c r="F1457" t="s">
        <v>472</v>
      </c>
      <c r="H1457">
        <v>28.81</v>
      </c>
      <c r="I1457">
        <v>0</v>
      </c>
      <c r="J1457">
        <v>-1400.51</v>
      </c>
      <c r="M1457" s="7"/>
    </row>
    <row r="1458" spans="2:13" customFormat="1" x14ac:dyDescent="0.25">
      <c r="B1458" t="s">
        <v>587</v>
      </c>
      <c r="C1458" t="s">
        <v>419</v>
      </c>
      <c r="D1458" t="s">
        <v>891</v>
      </c>
      <c r="E1458" t="s">
        <v>420</v>
      </c>
      <c r="F1458" t="s">
        <v>421</v>
      </c>
      <c r="H1458">
        <v>85.23</v>
      </c>
      <c r="I1458">
        <v>0</v>
      </c>
      <c r="J1458">
        <v>-19934.02</v>
      </c>
      <c r="M1458" s="7"/>
    </row>
    <row r="1459" spans="2:13" customFormat="1" x14ac:dyDescent="0.25">
      <c r="B1459" t="s">
        <v>587</v>
      </c>
      <c r="C1459" t="s">
        <v>473</v>
      </c>
      <c r="D1459" t="s">
        <v>891</v>
      </c>
      <c r="E1459" t="s">
        <v>474</v>
      </c>
      <c r="F1459" t="s">
        <v>475</v>
      </c>
      <c r="H1459">
        <v>271.05</v>
      </c>
      <c r="I1459">
        <v>0</v>
      </c>
      <c r="J1459">
        <v>-8297.83</v>
      </c>
      <c r="M1459" s="7"/>
    </row>
    <row r="1460" spans="2:13" customFormat="1" x14ac:dyDescent="0.25">
      <c r="B1460" t="s">
        <v>587</v>
      </c>
      <c r="C1460" t="s">
        <v>518</v>
      </c>
      <c r="D1460" t="s">
        <v>891</v>
      </c>
      <c r="E1460" t="s">
        <v>519</v>
      </c>
      <c r="F1460" t="s">
        <v>520</v>
      </c>
      <c r="H1460">
        <v>4.83</v>
      </c>
      <c r="I1460">
        <v>0</v>
      </c>
      <c r="J1460">
        <v>-67.62</v>
      </c>
      <c r="M1460" s="7"/>
    </row>
    <row r="1461" spans="2:13" customFormat="1" x14ac:dyDescent="0.25">
      <c r="B1461" t="s">
        <v>587</v>
      </c>
      <c r="C1461" t="s">
        <v>476</v>
      </c>
      <c r="D1461" t="s">
        <v>891</v>
      </c>
      <c r="E1461" t="s">
        <v>477</v>
      </c>
      <c r="F1461" t="s">
        <v>478</v>
      </c>
      <c r="H1461">
        <v>31.1</v>
      </c>
      <c r="I1461">
        <v>0</v>
      </c>
      <c r="J1461">
        <v>-301.58</v>
      </c>
      <c r="M1461" s="7"/>
    </row>
    <row r="1462" spans="2:13" customFormat="1" x14ac:dyDescent="0.25">
      <c r="B1462" t="s">
        <v>587</v>
      </c>
      <c r="C1462" t="s">
        <v>479</v>
      </c>
      <c r="D1462" t="s">
        <v>891</v>
      </c>
      <c r="E1462" t="s">
        <v>480</v>
      </c>
      <c r="F1462" t="s">
        <v>481</v>
      </c>
      <c r="H1462">
        <v>116.25</v>
      </c>
      <c r="I1462">
        <v>0</v>
      </c>
      <c r="J1462">
        <v>-116.25</v>
      </c>
      <c r="M1462" s="7"/>
    </row>
    <row r="1463" spans="2:13" customFormat="1" x14ac:dyDescent="0.25">
      <c r="B1463" t="s">
        <v>587</v>
      </c>
      <c r="C1463" t="s">
        <v>482</v>
      </c>
      <c r="D1463" t="s">
        <v>891</v>
      </c>
      <c r="E1463" t="s">
        <v>483</v>
      </c>
      <c r="F1463" t="s">
        <v>484</v>
      </c>
      <c r="H1463">
        <v>0</v>
      </c>
      <c r="I1463">
        <v>0</v>
      </c>
      <c r="J1463">
        <v>54978</v>
      </c>
      <c r="M1463" s="7"/>
    </row>
    <row r="1464" spans="2:13" customFormat="1" x14ac:dyDescent="0.25">
      <c r="B1464" t="s">
        <v>587</v>
      </c>
      <c r="C1464" t="s">
        <v>485</v>
      </c>
      <c r="D1464" t="s">
        <v>891</v>
      </c>
      <c r="E1464" t="s">
        <v>486</v>
      </c>
      <c r="F1464" t="s">
        <v>487</v>
      </c>
      <c r="H1464">
        <v>1145.3800000000001</v>
      </c>
      <c r="I1464">
        <v>0</v>
      </c>
      <c r="J1464">
        <v>-13744.52</v>
      </c>
      <c r="M1464" s="7"/>
    </row>
    <row r="1465" spans="2:13" customFormat="1" x14ac:dyDescent="0.25">
      <c r="B1465" t="s">
        <v>587</v>
      </c>
      <c r="C1465" t="s">
        <v>40</v>
      </c>
      <c r="D1465" t="s">
        <v>891</v>
      </c>
      <c r="E1465" t="s">
        <v>227</v>
      </c>
      <c r="F1465" t="s">
        <v>133</v>
      </c>
      <c r="H1465">
        <v>547577.03</v>
      </c>
      <c r="I1465">
        <v>554913.53</v>
      </c>
      <c r="J1465">
        <v>-22166.77</v>
      </c>
      <c r="M1465" s="7"/>
    </row>
    <row r="1466" spans="2:13" customFormat="1" x14ac:dyDescent="0.25">
      <c r="B1466" t="s">
        <v>587</v>
      </c>
      <c r="C1466" t="s">
        <v>83</v>
      </c>
      <c r="D1466" t="s">
        <v>891</v>
      </c>
      <c r="E1466" t="s">
        <v>228</v>
      </c>
      <c r="F1466" t="s">
        <v>134</v>
      </c>
      <c r="H1466">
        <v>11168.01</v>
      </c>
      <c r="I1466">
        <v>10298.48</v>
      </c>
      <c r="J1466">
        <v>-6681.43</v>
      </c>
      <c r="M1466" s="7"/>
    </row>
    <row r="1467" spans="2:13" customFormat="1" x14ac:dyDescent="0.25">
      <c r="B1467" t="s">
        <v>587</v>
      </c>
      <c r="C1467" t="s">
        <v>113</v>
      </c>
      <c r="D1467" t="s">
        <v>891</v>
      </c>
      <c r="E1467" t="s">
        <v>229</v>
      </c>
      <c r="F1467" t="s">
        <v>135</v>
      </c>
      <c r="H1467">
        <v>490608.5</v>
      </c>
      <c r="I1467">
        <v>491419.5</v>
      </c>
      <c r="J1467">
        <v>-162714.26</v>
      </c>
      <c r="M1467" s="7"/>
    </row>
    <row r="1468" spans="2:13" customFormat="1" x14ac:dyDescent="0.25">
      <c r="B1468" t="s">
        <v>587</v>
      </c>
      <c r="C1468" t="s">
        <v>84</v>
      </c>
      <c r="D1468" t="s">
        <v>891</v>
      </c>
      <c r="E1468" t="s">
        <v>230</v>
      </c>
      <c r="F1468" t="s">
        <v>136</v>
      </c>
      <c r="H1468">
        <v>11829.45</v>
      </c>
      <c r="I1468">
        <v>11829.45</v>
      </c>
      <c r="J1468">
        <v>-20972.5</v>
      </c>
      <c r="M1468" s="7"/>
    </row>
    <row r="1469" spans="2:13" customFormat="1" x14ac:dyDescent="0.25">
      <c r="B1469" t="s">
        <v>587</v>
      </c>
      <c r="C1469" t="s">
        <v>310</v>
      </c>
      <c r="D1469" t="s">
        <v>891</v>
      </c>
      <c r="E1469" t="s">
        <v>311</v>
      </c>
      <c r="F1469" t="s">
        <v>312</v>
      </c>
      <c r="H1469">
        <v>53982.01</v>
      </c>
      <c r="I1469">
        <v>53982.01</v>
      </c>
      <c r="J1469">
        <v>0</v>
      </c>
      <c r="M1469" s="7"/>
    </row>
    <row r="1470" spans="2:13" customFormat="1" x14ac:dyDescent="0.25">
      <c r="B1470" t="s">
        <v>587</v>
      </c>
      <c r="C1470" t="s">
        <v>316</v>
      </c>
      <c r="D1470" t="s">
        <v>891</v>
      </c>
      <c r="E1470" t="s">
        <v>317</v>
      </c>
      <c r="F1470" t="s">
        <v>318</v>
      </c>
      <c r="H1470">
        <v>2888.57</v>
      </c>
      <c r="I1470">
        <v>2945.83</v>
      </c>
      <c r="J1470">
        <v>-21891.27</v>
      </c>
      <c r="M1470" s="7"/>
    </row>
    <row r="1471" spans="2:13" customFormat="1" x14ac:dyDescent="0.25">
      <c r="B1471" t="s">
        <v>587</v>
      </c>
      <c r="C1471" t="s">
        <v>319</v>
      </c>
      <c r="D1471" t="s">
        <v>891</v>
      </c>
      <c r="E1471" t="s">
        <v>320</v>
      </c>
      <c r="F1471" t="s">
        <v>321</v>
      </c>
      <c r="H1471">
        <v>2138.2800000000002</v>
      </c>
      <c r="I1471">
        <v>921.27</v>
      </c>
      <c r="J1471">
        <v>-11314.95</v>
      </c>
      <c r="M1471" s="7"/>
    </row>
    <row r="1472" spans="2:13" customFormat="1" x14ac:dyDescent="0.25">
      <c r="B1472" t="s">
        <v>587</v>
      </c>
      <c r="C1472" t="s">
        <v>488</v>
      </c>
      <c r="D1472" t="s">
        <v>891</v>
      </c>
      <c r="E1472" t="s">
        <v>489</v>
      </c>
      <c r="F1472" t="s">
        <v>490</v>
      </c>
      <c r="H1472">
        <v>1537.71</v>
      </c>
      <c r="I1472">
        <v>1537.71</v>
      </c>
      <c r="J1472">
        <v>-851.98</v>
      </c>
      <c r="M1472" s="7"/>
    </row>
    <row r="1473" spans="2:13" customFormat="1" x14ac:dyDescent="0.25">
      <c r="B1473" t="s">
        <v>587</v>
      </c>
      <c r="C1473" t="s">
        <v>322</v>
      </c>
      <c r="D1473" t="s">
        <v>891</v>
      </c>
      <c r="E1473" t="s">
        <v>323</v>
      </c>
      <c r="F1473" t="s">
        <v>324</v>
      </c>
      <c r="H1473">
        <v>20741.75</v>
      </c>
      <c r="I1473">
        <v>22805.83</v>
      </c>
      <c r="J1473">
        <v>-9338.8700000000008</v>
      </c>
      <c r="M1473" s="7"/>
    </row>
    <row r="1474" spans="2:13" customFormat="1" x14ac:dyDescent="0.25">
      <c r="B1474" t="s">
        <v>587</v>
      </c>
      <c r="C1474" t="s">
        <v>325</v>
      </c>
      <c r="D1474" t="s">
        <v>891</v>
      </c>
      <c r="E1474" t="s">
        <v>326</v>
      </c>
      <c r="F1474" t="s">
        <v>327</v>
      </c>
      <c r="H1474">
        <v>7652.01</v>
      </c>
      <c r="I1474">
        <v>6339.86</v>
      </c>
      <c r="J1474">
        <v>-3630.1</v>
      </c>
      <c r="M1474" s="7"/>
    </row>
    <row r="1475" spans="2:13" customFormat="1" x14ac:dyDescent="0.25">
      <c r="B1475" t="s">
        <v>587</v>
      </c>
      <c r="C1475" t="s">
        <v>328</v>
      </c>
      <c r="D1475" t="s">
        <v>891</v>
      </c>
      <c r="E1475" t="s">
        <v>329</v>
      </c>
      <c r="F1475" t="s">
        <v>171</v>
      </c>
      <c r="H1475">
        <v>788.59</v>
      </c>
      <c r="I1475">
        <v>804.21</v>
      </c>
      <c r="J1475">
        <v>-5976.32</v>
      </c>
      <c r="M1475" s="7"/>
    </row>
    <row r="1476" spans="2:13" customFormat="1" x14ac:dyDescent="0.25">
      <c r="B1476" t="s">
        <v>587</v>
      </c>
      <c r="C1476" t="s">
        <v>330</v>
      </c>
      <c r="D1476" t="s">
        <v>891</v>
      </c>
      <c r="E1476" t="s">
        <v>331</v>
      </c>
      <c r="F1476" t="s">
        <v>332</v>
      </c>
      <c r="H1476">
        <v>583.76</v>
      </c>
      <c r="I1476">
        <v>251.52</v>
      </c>
      <c r="J1476">
        <v>-3088.99</v>
      </c>
      <c r="M1476" s="7"/>
    </row>
    <row r="1477" spans="2:13" customFormat="1" x14ac:dyDescent="0.25">
      <c r="B1477" t="s">
        <v>587</v>
      </c>
      <c r="C1477" t="s">
        <v>333</v>
      </c>
      <c r="D1477" t="s">
        <v>891</v>
      </c>
      <c r="E1477" t="s">
        <v>334</v>
      </c>
      <c r="F1477" t="s">
        <v>172</v>
      </c>
      <c r="H1477">
        <v>231.09</v>
      </c>
      <c r="I1477">
        <v>235.68</v>
      </c>
      <c r="J1477">
        <v>-1751.3</v>
      </c>
      <c r="M1477" s="7"/>
    </row>
    <row r="1478" spans="2:13" customFormat="1" x14ac:dyDescent="0.25">
      <c r="B1478" t="s">
        <v>587</v>
      </c>
      <c r="C1478" t="s">
        <v>335</v>
      </c>
      <c r="D1478" t="s">
        <v>891</v>
      </c>
      <c r="E1478" t="s">
        <v>336</v>
      </c>
      <c r="F1478" t="s">
        <v>337</v>
      </c>
      <c r="H1478">
        <v>171.06</v>
      </c>
      <c r="I1478">
        <v>73.7</v>
      </c>
      <c r="J1478">
        <v>-905.19</v>
      </c>
      <c r="M1478" s="7"/>
    </row>
    <row r="1479" spans="2:13" customFormat="1" x14ac:dyDescent="0.25">
      <c r="B1479" t="s">
        <v>587</v>
      </c>
      <c r="C1479" t="s">
        <v>41</v>
      </c>
      <c r="D1479" t="s">
        <v>891</v>
      </c>
      <c r="E1479" t="s">
        <v>231</v>
      </c>
      <c r="F1479" t="s">
        <v>137</v>
      </c>
      <c r="H1479">
        <v>1745.46</v>
      </c>
      <c r="I1479">
        <v>2265.8200000000002</v>
      </c>
      <c r="J1479">
        <v>-350.77</v>
      </c>
      <c r="M1479" s="7"/>
    </row>
    <row r="1480" spans="2:13" customFormat="1" x14ac:dyDescent="0.25">
      <c r="B1480" t="s">
        <v>587</v>
      </c>
      <c r="C1480" t="s">
        <v>42</v>
      </c>
      <c r="D1480" t="s">
        <v>891</v>
      </c>
      <c r="E1480" t="s">
        <v>232</v>
      </c>
      <c r="F1480" t="s">
        <v>138</v>
      </c>
      <c r="H1480">
        <v>248.93</v>
      </c>
      <c r="I1480">
        <v>248.93</v>
      </c>
      <c r="J1480">
        <v>0</v>
      </c>
      <c r="M1480" s="7"/>
    </row>
    <row r="1481" spans="2:13" customFormat="1" x14ac:dyDescent="0.25">
      <c r="B1481" t="s">
        <v>587</v>
      </c>
      <c r="C1481" t="s">
        <v>43</v>
      </c>
      <c r="D1481" t="s">
        <v>891</v>
      </c>
      <c r="E1481" t="s">
        <v>233</v>
      </c>
      <c r="F1481" t="s">
        <v>139</v>
      </c>
      <c r="H1481">
        <v>1146.58</v>
      </c>
      <c r="I1481">
        <v>1146.58</v>
      </c>
      <c r="J1481">
        <v>0</v>
      </c>
      <c r="M1481" s="7"/>
    </row>
    <row r="1482" spans="2:13" customFormat="1" x14ac:dyDescent="0.25">
      <c r="B1482" t="s">
        <v>587</v>
      </c>
      <c r="C1482" t="s">
        <v>365</v>
      </c>
      <c r="D1482" t="s">
        <v>891</v>
      </c>
      <c r="E1482" t="s">
        <v>366</v>
      </c>
      <c r="F1482" t="s">
        <v>367</v>
      </c>
      <c r="H1482">
        <v>415.69</v>
      </c>
      <c r="I1482">
        <v>0</v>
      </c>
      <c r="J1482">
        <v>-415.69</v>
      </c>
      <c r="M1482" s="7"/>
    </row>
    <row r="1483" spans="2:13" customFormat="1" x14ac:dyDescent="0.25">
      <c r="B1483" t="s">
        <v>587</v>
      </c>
      <c r="C1483" t="s">
        <v>368</v>
      </c>
      <c r="D1483" t="s">
        <v>891</v>
      </c>
      <c r="E1483" t="s">
        <v>369</v>
      </c>
      <c r="F1483" t="s">
        <v>370</v>
      </c>
      <c r="H1483">
        <v>249.41</v>
      </c>
      <c r="I1483">
        <v>0</v>
      </c>
      <c r="J1483">
        <v>-249.41</v>
      </c>
      <c r="M1483" s="7"/>
    </row>
    <row r="1484" spans="2:13" customFormat="1" x14ac:dyDescent="0.25">
      <c r="B1484" t="s">
        <v>587</v>
      </c>
      <c r="C1484" t="s">
        <v>491</v>
      </c>
      <c r="D1484" t="s">
        <v>891</v>
      </c>
      <c r="E1484" t="s">
        <v>492</v>
      </c>
      <c r="F1484" t="s">
        <v>493</v>
      </c>
      <c r="H1484">
        <v>0</v>
      </c>
      <c r="I1484">
        <v>0</v>
      </c>
      <c r="J1484">
        <v>-1.56</v>
      </c>
      <c r="M1484" s="7"/>
    </row>
    <row r="1485" spans="2:13" customFormat="1" x14ac:dyDescent="0.25">
      <c r="B1485" t="s">
        <v>587</v>
      </c>
      <c r="C1485" t="s">
        <v>79</v>
      </c>
      <c r="D1485" t="s">
        <v>891</v>
      </c>
      <c r="E1485" t="s">
        <v>234</v>
      </c>
      <c r="F1485" t="s">
        <v>140</v>
      </c>
      <c r="H1485">
        <v>0</v>
      </c>
      <c r="I1485">
        <v>0</v>
      </c>
      <c r="J1485">
        <v>-521.45000000000005</v>
      </c>
      <c r="M1485" s="7"/>
    </row>
    <row r="1486" spans="2:13" customFormat="1" x14ac:dyDescent="0.25">
      <c r="B1486" t="s">
        <v>587</v>
      </c>
      <c r="C1486" t="s">
        <v>44</v>
      </c>
      <c r="D1486" t="s">
        <v>891</v>
      </c>
      <c r="E1486" t="s">
        <v>235</v>
      </c>
      <c r="F1486" t="s">
        <v>141</v>
      </c>
      <c r="H1486">
        <v>33.96</v>
      </c>
      <c r="I1486">
        <v>24.9</v>
      </c>
      <c r="J1486">
        <v>-33.96</v>
      </c>
      <c r="M1486" s="7"/>
    </row>
    <row r="1487" spans="2:13" customFormat="1" x14ac:dyDescent="0.25">
      <c r="B1487" t="s">
        <v>587</v>
      </c>
      <c r="C1487" t="s">
        <v>45</v>
      </c>
      <c r="D1487" t="s">
        <v>891</v>
      </c>
      <c r="E1487" t="s">
        <v>236</v>
      </c>
      <c r="F1487" t="s">
        <v>142</v>
      </c>
      <c r="H1487">
        <v>105.26</v>
      </c>
      <c r="I1487">
        <v>77.19</v>
      </c>
      <c r="J1487">
        <v>-816.76</v>
      </c>
      <c r="M1487" s="7"/>
    </row>
    <row r="1488" spans="2:13" customFormat="1" x14ac:dyDescent="0.25">
      <c r="B1488" t="s">
        <v>587</v>
      </c>
      <c r="C1488" t="s">
        <v>338</v>
      </c>
      <c r="D1488" t="s">
        <v>891</v>
      </c>
      <c r="E1488" t="s">
        <v>339</v>
      </c>
      <c r="F1488" t="s">
        <v>340</v>
      </c>
      <c r="H1488">
        <v>312.08999999999997</v>
      </c>
      <c r="I1488">
        <v>328.07</v>
      </c>
      <c r="J1488">
        <v>-312.08999999999997</v>
      </c>
      <c r="M1488" s="7"/>
    </row>
    <row r="1489" spans="2:13" customFormat="1" x14ac:dyDescent="0.25">
      <c r="B1489" t="s">
        <v>587</v>
      </c>
      <c r="C1489" t="s">
        <v>341</v>
      </c>
      <c r="D1489" t="s">
        <v>891</v>
      </c>
      <c r="E1489" t="s">
        <v>342</v>
      </c>
      <c r="F1489" t="s">
        <v>343</v>
      </c>
      <c r="H1489">
        <v>0</v>
      </c>
      <c r="I1489">
        <v>0</v>
      </c>
      <c r="J1489">
        <v>-60</v>
      </c>
      <c r="M1489" s="7"/>
    </row>
    <row r="1490" spans="2:13" customFormat="1" x14ac:dyDescent="0.25">
      <c r="B1490" t="s">
        <v>587</v>
      </c>
      <c r="C1490" t="s">
        <v>46</v>
      </c>
      <c r="D1490" t="s">
        <v>891</v>
      </c>
      <c r="E1490" t="s">
        <v>237</v>
      </c>
      <c r="F1490" t="s">
        <v>143</v>
      </c>
      <c r="H1490">
        <v>0</v>
      </c>
      <c r="I1490">
        <v>0</v>
      </c>
      <c r="J1490">
        <v>-1200000</v>
      </c>
      <c r="M1490" s="7"/>
    </row>
    <row r="1491" spans="2:13" customFormat="1" x14ac:dyDescent="0.25">
      <c r="B1491" t="s">
        <v>587</v>
      </c>
      <c r="C1491" t="s">
        <v>47</v>
      </c>
      <c r="D1491" t="s">
        <v>891</v>
      </c>
      <c r="E1491" t="s">
        <v>238</v>
      </c>
      <c r="F1491" t="s">
        <v>144</v>
      </c>
      <c r="H1491">
        <v>0</v>
      </c>
      <c r="I1491">
        <v>0</v>
      </c>
      <c r="J1491">
        <v>318196.81</v>
      </c>
      <c r="M1491" s="7"/>
    </row>
    <row r="1492" spans="2:13" customFormat="1" x14ac:dyDescent="0.25">
      <c r="B1492" t="s">
        <v>587</v>
      </c>
      <c r="C1492" t="s">
        <v>588</v>
      </c>
      <c r="D1492" t="s">
        <v>891</v>
      </c>
      <c r="E1492" t="s">
        <v>589</v>
      </c>
      <c r="F1492" t="s">
        <v>590</v>
      </c>
      <c r="H1492">
        <v>0</v>
      </c>
      <c r="I1492">
        <v>0</v>
      </c>
      <c r="J1492">
        <v>-13318.55</v>
      </c>
      <c r="M1492" s="7"/>
    </row>
    <row r="1493" spans="2:13" customFormat="1" x14ac:dyDescent="0.25">
      <c r="B1493" t="s">
        <v>587</v>
      </c>
      <c r="C1493" t="s">
        <v>85</v>
      </c>
      <c r="D1493" t="s">
        <v>891</v>
      </c>
      <c r="E1493" t="s">
        <v>240</v>
      </c>
      <c r="F1493" t="s">
        <v>146</v>
      </c>
      <c r="H1493">
        <v>0</v>
      </c>
      <c r="I1493">
        <v>0</v>
      </c>
      <c r="J1493">
        <v>235327.22</v>
      </c>
      <c r="M1493" s="7"/>
    </row>
    <row r="1494" spans="2:13" customFormat="1" x14ac:dyDescent="0.25">
      <c r="B1494" t="s">
        <v>587</v>
      </c>
      <c r="C1494" t="s">
        <v>371</v>
      </c>
      <c r="D1494" t="s">
        <v>891</v>
      </c>
      <c r="E1494" t="s">
        <v>372</v>
      </c>
      <c r="F1494" t="s">
        <v>373</v>
      </c>
      <c r="H1494">
        <v>548839.15</v>
      </c>
      <c r="I1494">
        <v>0</v>
      </c>
      <c r="J1494">
        <v>-3761723.73</v>
      </c>
      <c r="M1494" s="7"/>
    </row>
    <row r="1495" spans="2:13" customFormat="1" x14ac:dyDescent="0.25">
      <c r="B1495" t="s">
        <v>587</v>
      </c>
      <c r="C1495" t="s">
        <v>374</v>
      </c>
      <c r="D1495" t="s">
        <v>891</v>
      </c>
      <c r="E1495" t="s">
        <v>375</v>
      </c>
      <c r="F1495" t="s">
        <v>376</v>
      </c>
      <c r="H1495">
        <v>16579.71</v>
      </c>
      <c r="I1495">
        <v>0</v>
      </c>
      <c r="J1495">
        <v>-103990.14</v>
      </c>
      <c r="M1495" s="7"/>
    </row>
    <row r="1496" spans="2:13" customFormat="1" x14ac:dyDescent="0.25">
      <c r="B1496" t="s">
        <v>587</v>
      </c>
      <c r="C1496" t="s">
        <v>434</v>
      </c>
      <c r="D1496" t="s">
        <v>891</v>
      </c>
      <c r="E1496" t="s">
        <v>435</v>
      </c>
      <c r="F1496" t="s">
        <v>436</v>
      </c>
      <c r="H1496">
        <v>10500.82</v>
      </c>
      <c r="I1496">
        <v>0</v>
      </c>
      <c r="J1496">
        <v>-14041.84</v>
      </c>
      <c r="M1496" s="7"/>
    </row>
    <row r="1497" spans="2:13" customFormat="1" x14ac:dyDescent="0.25">
      <c r="B1497" t="s">
        <v>587</v>
      </c>
      <c r="C1497" t="s">
        <v>48</v>
      </c>
      <c r="D1497" t="s">
        <v>891</v>
      </c>
      <c r="E1497" t="s">
        <v>241</v>
      </c>
      <c r="F1497" t="s">
        <v>147</v>
      </c>
      <c r="H1497">
        <v>7495.26</v>
      </c>
      <c r="I1497">
        <v>0</v>
      </c>
      <c r="J1497">
        <v>-48021.43</v>
      </c>
      <c r="M1497" s="7"/>
    </row>
    <row r="1498" spans="2:13" customFormat="1" x14ac:dyDescent="0.25">
      <c r="B1498" t="s">
        <v>587</v>
      </c>
      <c r="C1498" t="s">
        <v>86</v>
      </c>
      <c r="D1498" t="s">
        <v>891</v>
      </c>
      <c r="E1498" t="s">
        <v>242</v>
      </c>
      <c r="F1498" t="s">
        <v>148</v>
      </c>
      <c r="H1498">
        <v>51127.6</v>
      </c>
      <c r="I1498">
        <v>0</v>
      </c>
      <c r="J1498">
        <v>-353428.24</v>
      </c>
      <c r="M1498" s="7"/>
    </row>
    <row r="1499" spans="2:13" customFormat="1" x14ac:dyDescent="0.25">
      <c r="B1499" t="s">
        <v>587</v>
      </c>
      <c r="C1499" t="s">
        <v>49</v>
      </c>
      <c r="D1499" t="s">
        <v>891</v>
      </c>
      <c r="E1499" t="s">
        <v>243</v>
      </c>
      <c r="F1499" t="s">
        <v>149</v>
      </c>
      <c r="H1499">
        <v>0</v>
      </c>
      <c r="I1499">
        <v>1745.46</v>
      </c>
      <c r="J1499">
        <v>13013.01</v>
      </c>
      <c r="M1499" s="7"/>
    </row>
    <row r="1500" spans="2:13" customFormat="1" x14ac:dyDescent="0.25">
      <c r="B1500" t="s">
        <v>587</v>
      </c>
      <c r="C1500" t="s">
        <v>50</v>
      </c>
      <c r="D1500" t="s">
        <v>891</v>
      </c>
      <c r="E1500" t="s">
        <v>244</v>
      </c>
      <c r="F1500" t="s">
        <v>150</v>
      </c>
      <c r="H1500">
        <v>0</v>
      </c>
      <c r="I1500">
        <v>248.93</v>
      </c>
      <c r="J1500">
        <v>1646.65</v>
      </c>
      <c r="M1500" s="7"/>
    </row>
    <row r="1501" spans="2:13" customFormat="1" x14ac:dyDescent="0.25">
      <c r="B1501" t="s">
        <v>587</v>
      </c>
      <c r="C1501" t="s">
        <v>51</v>
      </c>
      <c r="D1501" t="s">
        <v>891</v>
      </c>
      <c r="E1501" t="s">
        <v>245</v>
      </c>
      <c r="F1501" t="s">
        <v>151</v>
      </c>
      <c r="H1501">
        <v>0</v>
      </c>
      <c r="I1501">
        <v>1146.58</v>
      </c>
      <c r="J1501">
        <v>7584.57</v>
      </c>
      <c r="M1501" s="7"/>
    </row>
    <row r="1502" spans="2:13" customFormat="1" x14ac:dyDescent="0.25">
      <c r="B1502" t="s">
        <v>587</v>
      </c>
      <c r="C1502" t="s">
        <v>87</v>
      </c>
      <c r="D1502" t="s">
        <v>891</v>
      </c>
      <c r="E1502" t="s">
        <v>246</v>
      </c>
      <c r="F1502" t="s">
        <v>152</v>
      </c>
      <c r="H1502">
        <v>17314.060000000001</v>
      </c>
      <c r="I1502">
        <v>16389</v>
      </c>
      <c r="J1502">
        <v>-8642.7199999999993</v>
      </c>
      <c r="M1502" s="7"/>
    </row>
    <row r="1503" spans="2:13" customFormat="1" x14ac:dyDescent="0.25">
      <c r="B1503" t="s">
        <v>587</v>
      </c>
      <c r="C1503" t="s">
        <v>88</v>
      </c>
      <c r="D1503" t="s">
        <v>891</v>
      </c>
      <c r="E1503" t="s">
        <v>248</v>
      </c>
      <c r="F1503" t="s">
        <v>154</v>
      </c>
      <c r="H1503">
        <v>0</v>
      </c>
      <c r="I1503">
        <v>0</v>
      </c>
      <c r="J1503">
        <v>-1887.73</v>
      </c>
      <c r="M1503" s="7"/>
    </row>
    <row r="1504" spans="2:13" customFormat="1" x14ac:dyDescent="0.25">
      <c r="B1504" t="s">
        <v>587</v>
      </c>
      <c r="C1504" t="s">
        <v>377</v>
      </c>
      <c r="D1504" t="s">
        <v>891</v>
      </c>
      <c r="E1504" t="s">
        <v>378</v>
      </c>
      <c r="F1504" t="s">
        <v>379</v>
      </c>
      <c r="H1504">
        <v>24889</v>
      </c>
      <c r="I1504">
        <v>531027.68000000005</v>
      </c>
      <c r="J1504">
        <v>3440695.18</v>
      </c>
      <c r="M1504" s="7"/>
    </row>
    <row r="1505" spans="2:13" customFormat="1" x14ac:dyDescent="0.25">
      <c r="B1505" t="s">
        <v>587</v>
      </c>
      <c r="C1505" t="s">
        <v>53</v>
      </c>
      <c r="D1505" t="s">
        <v>891</v>
      </c>
      <c r="E1505" t="s">
        <v>249</v>
      </c>
      <c r="F1505" t="s">
        <v>155</v>
      </c>
      <c r="H1505">
        <v>909.51</v>
      </c>
      <c r="I1505">
        <v>40633.120000000003</v>
      </c>
      <c r="J1505">
        <v>273529.37</v>
      </c>
      <c r="M1505" s="7"/>
    </row>
    <row r="1506" spans="2:13" customFormat="1" x14ac:dyDescent="0.25">
      <c r="B1506" t="s">
        <v>587</v>
      </c>
      <c r="C1506" t="s">
        <v>54</v>
      </c>
      <c r="D1506" t="s">
        <v>891</v>
      </c>
      <c r="E1506" t="s">
        <v>250</v>
      </c>
      <c r="F1506" t="s">
        <v>156</v>
      </c>
      <c r="H1506">
        <v>0</v>
      </c>
      <c r="I1506">
        <v>4060.04</v>
      </c>
      <c r="J1506">
        <v>22256.29</v>
      </c>
      <c r="M1506" s="7"/>
    </row>
    <row r="1507" spans="2:13" customFormat="1" x14ac:dyDescent="0.25">
      <c r="B1507" t="s">
        <v>587</v>
      </c>
      <c r="C1507" t="s">
        <v>89</v>
      </c>
      <c r="D1507" t="s">
        <v>891</v>
      </c>
      <c r="E1507" t="s">
        <v>251</v>
      </c>
      <c r="F1507" t="s">
        <v>157</v>
      </c>
      <c r="H1507">
        <v>0</v>
      </c>
      <c r="I1507">
        <v>0</v>
      </c>
      <c r="J1507">
        <v>712</v>
      </c>
      <c r="M1507" s="7"/>
    </row>
    <row r="1508" spans="2:13" customFormat="1" x14ac:dyDescent="0.25">
      <c r="B1508" t="s">
        <v>587</v>
      </c>
      <c r="C1508" t="s">
        <v>55</v>
      </c>
      <c r="D1508" t="s">
        <v>891</v>
      </c>
      <c r="E1508" t="s">
        <v>252</v>
      </c>
      <c r="F1508" t="s">
        <v>158</v>
      </c>
      <c r="H1508">
        <v>0</v>
      </c>
      <c r="I1508">
        <v>26205.15</v>
      </c>
      <c r="J1508">
        <v>167500.64000000001</v>
      </c>
      <c r="M1508" s="7"/>
    </row>
    <row r="1509" spans="2:13" customFormat="1" x14ac:dyDescent="0.25">
      <c r="B1509" t="s">
        <v>587</v>
      </c>
      <c r="C1509" t="s">
        <v>56</v>
      </c>
      <c r="D1509" t="s">
        <v>891</v>
      </c>
      <c r="E1509" t="s">
        <v>253</v>
      </c>
      <c r="F1509" t="s">
        <v>159</v>
      </c>
      <c r="H1509">
        <v>1172.78</v>
      </c>
      <c r="I1509">
        <v>7141.2</v>
      </c>
      <c r="J1509">
        <v>54422.69</v>
      </c>
      <c r="M1509" s="7"/>
    </row>
    <row r="1510" spans="2:13" customFormat="1" x14ac:dyDescent="0.25">
      <c r="B1510" t="s">
        <v>587</v>
      </c>
      <c r="C1510" t="s">
        <v>57</v>
      </c>
      <c r="D1510" t="s">
        <v>891</v>
      </c>
      <c r="E1510" t="s">
        <v>254</v>
      </c>
      <c r="F1510" t="s">
        <v>160</v>
      </c>
      <c r="H1510">
        <v>73.7</v>
      </c>
      <c r="I1510">
        <v>2092.59</v>
      </c>
      <c r="J1510">
        <v>10879.63</v>
      </c>
      <c r="M1510" s="7"/>
    </row>
    <row r="1511" spans="2:13" customFormat="1" x14ac:dyDescent="0.25">
      <c r="B1511" t="s">
        <v>587</v>
      </c>
      <c r="C1511" t="s">
        <v>58</v>
      </c>
      <c r="D1511" t="s">
        <v>891</v>
      </c>
      <c r="E1511" t="s">
        <v>255</v>
      </c>
      <c r="F1511" t="s">
        <v>161</v>
      </c>
      <c r="H1511">
        <v>2945.83</v>
      </c>
      <c r="I1511">
        <v>2888.57</v>
      </c>
      <c r="J1511">
        <v>46446.12</v>
      </c>
      <c r="M1511" s="7"/>
    </row>
    <row r="1512" spans="2:13" customFormat="1" x14ac:dyDescent="0.25">
      <c r="B1512" t="s">
        <v>587</v>
      </c>
      <c r="C1512" t="s">
        <v>59</v>
      </c>
      <c r="D1512" t="s">
        <v>891</v>
      </c>
      <c r="E1512" t="s">
        <v>256</v>
      </c>
      <c r="F1512" t="s">
        <v>162</v>
      </c>
      <c r="H1512">
        <v>0</v>
      </c>
      <c r="I1512">
        <v>2138.2800000000002</v>
      </c>
      <c r="J1512">
        <v>15888.98</v>
      </c>
      <c r="M1512" s="7"/>
    </row>
    <row r="1513" spans="2:13" customFormat="1" x14ac:dyDescent="0.25">
      <c r="B1513" t="s">
        <v>587</v>
      </c>
      <c r="C1513" t="s">
        <v>90</v>
      </c>
      <c r="D1513" t="s">
        <v>891</v>
      </c>
      <c r="E1513" t="s">
        <v>257</v>
      </c>
      <c r="F1513" t="s">
        <v>163</v>
      </c>
      <c r="H1513">
        <v>0</v>
      </c>
      <c r="I1513">
        <v>0</v>
      </c>
      <c r="J1513">
        <v>5973.74</v>
      </c>
      <c r="M1513" s="7"/>
    </row>
    <row r="1514" spans="2:13" customFormat="1" x14ac:dyDescent="0.25">
      <c r="B1514" t="s">
        <v>587</v>
      </c>
      <c r="C1514" t="s">
        <v>60</v>
      </c>
      <c r="D1514" t="s">
        <v>891</v>
      </c>
      <c r="E1514" t="s">
        <v>258</v>
      </c>
      <c r="F1514" t="s">
        <v>164</v>
      </c>
      <c r="H1514">
        <v>0</v>
      </c>
      <c r="I1514">
        <v>0.54</v>
      </c>
      <c r="J1514">
        <v>13204.6</v>
      </c>
      <c r="M1514" s="7"/>
    </row>
    <row r="1515" spans="2:13" customFormat="1" x14ac:dyDescent="0.25">
      <c r="B1515" t="s">
        <v>587</v>
      </c>
      <c r="C1515" t="s">
        <v>61</v>
      </c>
      <c r="D1515" t="s">
        <v>891</v>
      </c>
      <c r="E1515" t="s">
        <v>259</v>
      </c>
      <c r="F1515" t="s">
        <v>165</v>
      </c>
      <c r="H1515">
        <v>0</v>
      </c>
      <c r="I1515">
        <v>0</v>
      </c>
      <c r="J1515">
        <v>5252.92</v>
      </c>
      <c r="M1515" s="7"/>
    </row>
    <row r="1516" spans="2:13" customFormat="1" x14ac:dyDescent="0.25">
      <c r="B1516" t="s">
        <v>587</v>
      </c>
      <c r="C1516" t="s">
        <v>344</v>
      </c>
      <c r="D1516" t="s">
        <v>891</v>
      </c>
      <c r="E1516" t="s">
        <v>345</v>
      </c>
      <c r="F1516" t="s">
        <v>346</v>
      </c>
      <c r="H1516">
        <v>139.56</v>
      </c>
      <c r="I1516">
        <v>1592.72</v>
      </c>
      <c r="J1516">
        <v>13017.92</v>
      </c>
      <c r="M1516" s="7"/>
    </row>
    <row r="1517" spans="2:13" customFormat="1" x14ac:dyDescent="0.25">
      <c r="B1517" t="s">
        <v>587</v>
      </c>
      <c r="C1517" t="s">
        <v>62</v>
      </c>
      <c r="D1517" t="s">
        <v>891</v>
      </c>
      <c r="E1517" t="s">
        <v>260</v>
      </c>
      <c r="F1517" t="s">
        <v>166</v>
      </c>
      <c r="H1517">
        <v>95.15</v>
      </c>
      <c r="I1517">
        <v>281.63</v>
      </c>
      <c r="J1517">
        <v>1609.48</v>
      </c>
      <c r="M1517" s="7"/>
    </row>
    <row r="1518" spans="2:13" customFormat="1" x14ac:dyDescent="0.25">
      <c r="B1518" t="s">
        <v>587</v>
      </c>
      <c r="C1518" t="s">
        <v>207</v>
      </c>
      <c r="D1518" t="s">
        <v>891</v>
      </c>
      <c r="E1518" t="s">
        <v>299</v>
      </c>
      <c r="F1518" t="s">
        <v>208</v>
      </c>
      <c r="H1518">
        <v>160</v>
      </c>
      <c r="I1518">
        <v>1599.2</v>
      </c>
      <c r="J1518">
        <v>6785.25</v>
      </c>
      <c r="M1518" s="7"/>
    </row>
    <row r="1519" spans="2:13" customFormat="1" x14ac:dyDescent="0.25">
      <c r="B1519" t="s">
        <v>587</v>
      </c>
      <c r="C1519" t="s">
        <v>63</v>
      </c>
      <c r="D1519" t="s">
        <v>891</v>
      </c>
      <c r="E1519" t="s">
        <v>261</v>
      </c>
      <c r="F1519" t="s">
        <v>167</v>
      </c>
      <c r="H1519">
        <v>0</v>
      </c>
      <c r="I1519">
        <v>0</v>
      </c>
      <c r="J1519">
        <v>-347.03</v>
      </c>
      <c r="M1519" s="7"/>
    </row>
    <row r="1520" spans="2:13" customFormat="1" x14ac:dyDescent="0.25">
      <c r="B1520" t="s">
        <v>587</v>
      </c>
      <c r="C1520" t="s">
        <v>380</v>
      </c>
      <c r="D1520" t="s">
        <v>891</v>
      </c>
      <c r="E1520" t="s">
        <v>381</v>
      </c>
      <c r="F1520" t="s">
        <v>382</v>
      </c>
      <c r="H1520">
        <v>200</v>
      </c>
      <c r="I1520">
        <v>95</v>
      </c>
      <c r="J1520">
        <v>-44.6</v>
      </c>
      <c r="M1520" s="7"/>
    </row>
    <row r="1521" spans="2:13" customFormat="1" x14ac:dyDescent="0.25">
      <c r="B1521" t="s">
        <v>587</v>
      </c>
      <c r="C1521" t="s">
        <v>91</v>
      </c>
      <c r="D1521" t="s">
        <v>891</v>
      </c>
      <c r="E1521" t="s">
        <v>262</v>
      </c>
      <c r="F1521" t="s">
        <v>168</v>
      </c>
      <c r="H1521">
        <v>0</v>
      </c>
      <c r="I1521">
        <v>754.06</v>
      </c>
      <c r="J1521">
        <v>4593.03</v>
      </c>
      <c r="M1521" s="7"/>
    </row>
    <row r="1522" spans="2:13" customFormat="1" x14ac:dyDescent="0.25">
      <c r="B1522" t="s">
        <v>587</v>
      </c>
      <c r="C1522" t="s">
        <v>383</v>
      </c>
      <c r="D1522" t="s">
        <v>891</v>
      </c>
      <c r="E1522" t="s">
        <v>384</v>
      </c>
      <c r="F1522" t="s">
        <v>385</v>
      </c>
      <c r="H1522">
        <v>0</v>
      </c>
      <c r="I1522">
        <v>0</v>
      </c>
      <c r="J1522">
        <v>1070.1600000000001</v>
      </c>
      <c r="M1522" s="7"/>
    </row>
    <row r="1523" spans="2:13" customFormat="1" x14ac:dyDescent="0.25">
      <c r="B1523" t="s">
        <v>587</v>
      </c>
      <c r="C1523" t="s">
        <v>386</v>
      </c>
      <c r="D1523" t="s">
        <v>891</v>
      </c>
      <c r="E1523" t="s">
        <v>387</v>
      </c>
      <c r="F1523" t="s">
        <v>388</v>
      </c>
      <c r="H1523">
        <v>0</v>
      </c>
      <c r="I1523">
        <v>923.11</v>
      </c>
      <c r="J1523">
        <v>5808.85</v>
      </c>
      <c r="M1523" s="7"/>
    </row>
    <row r="1524" spans="2:13" customFormat="1" x14ac:dyDescent="0.25">
      <c r="B1524" t="s">
        <v>587</v>
      </c>
      <c r="C1524" t="s">
        <v>92</v>
      </c>
      <c r="D1524" t="s">
        <v>891</v>
      </c>
      <c r="E1524" t="s">
        <v>263</v>
      </c>
      <c r="F1524" t="s">
        <v>169</v>
      </c>
      <c r="H1524">
        <v>0</v>
      </c>
      <c r="I1524">
        <v>0</v>
      </c>
      <c r="J1524">
        <v>-157.08000000000001</v>
      </c>
      <c r="M1524" s="7"/>
    </row>
    <row r="1525" spans="2:13" customFormat="1" x14ac:dyDescent="0.25">
      <c r="B1525" t="s">
        <v>587</v>
      </c>
      <c r="C1525" t="s">
        <v>93</v>
      </c>
      <c r="D1525" t="s">
        <v>891</v>
      </c>
      <c r="E1525" t="s">
        <v>264</v>
      </c>
      <c r="F1525" t="s">
        <v>170</v>
      </c>
      <c r="H1525">
        <v>0</v>
      </c>
      <c r="I1525">
        <v>2190</v>
      </c>
      <c r="J1525">
        <v>3755.9</v>
      </c>
      <c r="M1525" s="7"/>
    </row>
    <row r="1526" spans="2:13" customFormat="1" x14ac:dyDescent="0.25">
      <c r="B1526" t="s">
        <v>587</v>
      </c>
      <c r="C1526" t="s">
        <v>524</v>
      </c>
      <c r="D1526" t="s">
        <v>891</v>
      </c>
      <c r="E1526" t="s">
        <v>525</v>
      </c>
      <c r="F1526" t="s">
        <v>526</v>
      </c>
      <c r="H1526">
        <v>0</v>
      </c>
      <c r="I1526">
        <v>0</v>
      </c>
      <c r="J1526">
        <v>743.05</v>
      </c>
      <c r="M1526" s="7"/>
    </row>
    <row r="1527" spans="2:13" customFormat="1" x14ac:dyDescent="0.25">
      <c r="B1527" t="s">
        <v>587</v>
      </c>
      <c r="C1527" t="s">
        <v>350</v>
      </c>
      <c r="D1527" t="s">
        <v>891</v>
      </c>
      <c r="E1527" t="s">
        <v>351</v>
      </c>
      <c r="F1527" t="s">
        <v>352</v>
      </c>
      <c r="H1527">
        <v>0</v>
      </c>
      <c r="I1527">
        <v>0</v>
      </c>
      <c r="J1527">
        <v>-30855.01</v>
      </c>
      <c r="M1527" s="7"/>
    </row>
    <row r="1528" spans="2:13" customFormat="1" x14ac:dyDescent="0.25">
      <c r="B1528" t="s">
        <v>587</v>
      </c>
      <c r="C1528" t="s">
        <v>64</v>
      </c>
      <c r="D1528" t="s">
        <v>891</v>
      </c>
      <c r="E1528" t="s">
        <v>265</v>
      </c>
      <c r="F1528" t="s">
        <v>171</v>
      </c>
      <c r="H1528">
        <v>1039.9000000000001</v>
      </c>
      <c r="I1528">
        <v>1774.5</v>
      </c>
      <c r="J1528">
        <v>23769.67</v>
      </c>
      <c r="M1528" s="7"/>
    </row>
    <row r="1529" spans="2:13" customFormat="1" x14ac:dyDescent="0.25">
      <c r="B1529" t="s">
        <v>587</v>
      </c>
      <c r="C1529" t="s">
        <v>94</v>
      </c>
      <c r="D1529" t="s">
        <v>891</v>
      </c>
      <c r="E1529" t="s">
        <v>266</v>
      </c>
      <c r="F1529" t="s">
        <v>172</v>
      </c>
      <c r="H1529">
        <v>0</v>
      </c>
      <c r="I1529">
        <v>0</v>
      </c>
      <c r="J1529">
        <v>608.80999999999995</v>
      </c>
      <c r="M1529" s="7"/>
    </row>
    <row r="1530" spans="2:13" customFormat="1" x14ac:dyDescent="0.25">
      <c r="B1530" t="s">
        <v>587</v>
      </c>
      <c r="C1530" t="s">
        <v>353</v>
      </c>
      <c r="D1530" t="s">
        <v>891</v>
      </c>
      <c r="E1530" t="s">
        <v>354</v>
      </c>
      <c r="F1530" t="s">
        <v>355</v>
      </c>
      <c r="H1530">
        <v>0</v>
      </c>
      <c r="I1530">
        <v>0</v>
      </c>
      <c r="J1530">
        <v>0.01</v>
      </c>
      <c r="M1530" s="7"/>
    </row>
    <row r="1531" spans="2:13" customFormat="1" x14ac:dyDescent="0.25">
      <c r="B1531" t="s">
        <v>587</v>
      </c>
      <c r="C1531" t="s">
        <v>65</v>
      </c>
      <c r="D1531" t="s">
        <v>891</v>
      </c>
      <c r="E1531" t="s">
        <v>269</v>
      </c>
      <c r="F1531" t="s">
        <v>175</v>
      </c>
      <c r="H1531">
        <v>0</v>
      </c>
      <c r="I1531">
        <v>10471.15</v>
      </c>
      <c r="J1531">
        <v>51963.34</v>
      </c>
      <c r="M1531" s="7"/>
    </row>
    <row r="1532" spans="2:13" customFormat="1" x14ac:dyDescent="0.25">
      <c r="B1532" t="s">
        <v>587</v>
      </c>
      <c r="C1532" t="s">
        <v>97</v>
      </c>
      <c r="D1532" t="s">
        <v>891</v>
      </c>
      <c r="E1532" t="s">
        <v>270</v>
      </c>
      <c r="F1532" t="s">
        <v>176</v>
      </c>
      <c r="H1532">
        <v>0</v>
      </c>
      <c r="I1532">
        <v>114.67</v>
      </c>
      <c r="J1532">
        <v>560.73</v>
      </c>
      <c r="M1532" s="7"/>
    </row>
    <row r="1533" spans="2:13" customFormat="1" x14ac:dyDescent="0.25">
      <c r="B1533" t="s">
        <v>587</v>
      </c>
      <c r="C1533" t="s">
        <v>548</v>
      </c>
      <c r="D1533" t="s">
        <v>891</v>
      </c>
      <c r="E1533" t="s">
        <v>549</v>
      </c>
      <c r="F1533" t="s">
        <v>550</v>
      </c>
      <c r="H1533">
        <v>0</v>
      </c>
      <c r="I1533">
        <v>1755.67</v>
      </c>
      <c r="J1533">
        <v>7899.75</v>
      </c>
      <c r="M1533" s="7"/>
    </row>
    <row r="1534" spans="2:13" customFormat="1" x14ac:dyDescent="0.25">
      <c r="B1534" t="s">
        <v>587</v>
      </c>
      <c r="C1534" t="s">
        <v>66</v>
      </c>
      <c r="D1534" t="s">
        <v>891</v>
      </c>
      <c r="E1534" t="s">
        <v>272</v>
      </c>
      <c r="F1534" t="s">
        <v>178</v>
      </c>
      <c r="H1534">
        <v>0</v>
      </c>
      <c r="I1534">
        <v>260</v>
      </c>
      <c r="J1534">
        <v>910</v>
      </c>
      <c r="M1534" s="7"/>
    </row>
    <row r="1535" spans="2:13" customFormat="1" x14ac:dyDescent="0.25">
      <c r="B1535" t="s">
        <v>587</v>
      </c>
      <c r="C1535" t="s">
        <v>99</v>
      </c>
      <c r="D1535" t="s">
        <v>891</v>
      </c>
      <c r="E1535" t="s">
        <v>273</v>
      </c>
      <c r="F1535" t="s">
        <v>179</v>
      </c>
      <c r="H1535">
        <v>2277</v>
      </c>
      <c r="I1535">
        <v>0</v>
      </c>
      <c r="J1535">
        <v>0</v>
      </c>
      <c r="M1535" s="7"/>
    </row>
    <row r="1536" spans="2:13" customFormat="1" x14ac:dyDescent="0.25">
      <c r="B1536" t="s">
        <v>587</v>
      </c>
      <c r="C1536" t="s">
        <v>392</v>
      </c>
      <c r="D1536" t="s">
        <v>891</v>
      </c>
      <c r="E1536" t="s">
        <v>393</v>
      </c>
      <c r="F1536" t="s">
        <v>394</v>
      </c>
      <c r="H1536">
        <v>0</v>
      </c>
      <c r="I1536">
        <v>1177.83</v>
      </c>
      <c r="J1536">
        <v>8072.27</v>
      </c>
      <c r="M1536" s="7"/>
    </row>
    <row r="1537" spans="2:13" customFormat="1" x14ac:dyDescent="0.25">
      <c r="B1537" t="s">
        <v>587</v>
      </c>
      <c r="C1537" t="s">
        <v>591</v>
      </c>
      <c r="D1537" t="s">
        <v>891</v>
      </c>
      <c r="E1537" t="s">
        <v>592</v>
      </c>
      <c r="F1537" t="s">
        <v>593</v>
      </c>
      <c r="H1537">
        <v>0</v>
      </c>
      <c r="I1537">
        <v>180.47</v>
      </c>
      <c r="J1537">
        <v>1585.75</v>
      </c>
      <c r="M1537" s="7"/>
    </row>
    <row r="1538" spans="2:13" customFormat="1" x14ac:dyDescent="0.25">
      <c r="B1538" t="s">
        <v>587</v>
      </c>
      <c r="C1538" t="s">
        <v>100</v>
      </c>
      <c r="D1538" t="s">
        <v>891</v>
      </c>
      <c r="E1538" t="s">
        <v>274</v>
      </c>
      <c r="F1538" t="s">
        <v>180</v>
      </c>
      <c r="H1538">
        <v>1592</v>
      </c>
      <c r="I1538">
        <v>2241.61</v>
      </c>
      <c r="J1538">
        <v>12527.21</v>
      </c>
      <c r="M1538" s="7"/>
    </row>
    <row r="1539" spans="2:13" customFormat="1" x14ac:dyDescent="0.25">
      <c r="B1539" t="s">
        <v>587</v>
      </c>
      <c r="C1539" t="s">
        <v>101</v>
      </c>
      <c r="D1539" t="s">
        <v>891</v>
      </c>
      <c r="E1539" t="s">
        <v>275</v>
      </c>
      <c r="F1539" t="s">
        <v>181</v>
      </c>
      <c r="H1539">
        <v>0</v>
      </c>
      <c r="I1539">
        <v>290</v>
      </c>
      <c r="J1539">
        <v>290</v>
      </c>
      <c r="M1539" s="7"/>
    </row>
    <row r="1540" spans="2:13" customFormat="1" x14ac:dyDescent="0.25">
      <c r="B1540" t="s">
        <v>587</v>
      </c>
      <c r="C1540" t="s">
        <v>67</v>
      </c>
      <c r="D1540" t="s">
        <v>891</v>
      </c>
      <c r="E1540" t="s">
        <v>276</v>
      </c>
      <c r="F1540" t="s">
        <v>182</v>
      </c>
      <c r="H1540">
        <v>0</v>
      </c>
      <c r="I1540">
        <v>761.99</v>
      </c>
      <c r="J1540">
        <v>26344.86</v>
      </c>
      <c r="M1540" s="7"/>
    </row>
    <row r="1541" spans="2:13" customFormat="1" x14ac:dyDescent="0.25">
      <c r="B1541" t="s">
        <v>587</v>
      </c>
      <c r="C1541" t="s">
        <v>102</v>
      </c>
      <c r="D1541" t="s">
        <v>891</v>
      </c>
      <c r="E1541" t="s">
        <v>277</v>
      </c>
      <c r="F1541" t="s">
        <v>183</v>
      </c>
      <c r="H1541">
        <v>0</v>
      </c>
      <c r="I1541">
        <v>0</v>
      </c>
      <c r="J1541">
        <v>9138.66</v>
      </c>
      <c r="M1541" s="7"/>
    </row>
    <row r="1542" spans="2:13" customFormat="1" x14ac:dyDescent="0.25">
      <c r="B1542" t="s">
        <v>587</v>
      </c>
      <c r="C1542" t="s">
        <v>103</v>
      </c>
      <c r="D1542" t="s">
        <v>891</v>
      </c>
      <c r="E1542" t="s">
        <v>278</v>
      </c>
      <c r="F1542" t="s">
        <v>184</v>
      </c>
      <c r="H1542">
        <v>0</v>
      </c>
      <c r="I1542">
        <v>0</v>
      </c>
      <c r="J1542">
        <v>280</v>
      </c>
      <c r="M1542" s="7"/>
    </row>
    <row r="1543" spans="2:13" customFormat="1" x14ac:dyDescent="0.25">
      <c r="B1543" t="s">
        <v>587</v>
      </c>
      <c r="C1543" t="s">
        <v>68</v>
      </c>
      <c r="D1543" t="s">
        <v>891</v>
      </c>
      <c r="E1543" t="s">
        <v>279</v>
      </c>
      <c r="F1543" t="s">
        <v>185</v>
      </c>
      <c r="H1543">
        <v>0</v>
      </c>
      <c r="I1543">
        <v>257.54000000000002</v>
      </c>
      <c r="J1543">
        <v>7243.4</v>
      </c>
      <c r="M1543" s="7"/>
    </row>
    <row r="1544" spans="2:13" customFormat="1" x14ac:dyDescent="0.25">
      <c r="B1544" t="s">
        <v>587</v>
      </c>
      <c r="C1544" t="s">
        <v>594</v>
      </c>
      <c r="D1544" t="s">
        <v>891</v>
      </c>
      <c r="E1544" t="s">
        <v>595</v>
      </c>
      <c r="F1544" t="s">
        <v>596</v>
      </c>
      <c r="H1544">
        <v>0</v>
      </c>
      <c r="I1544">
        <v>300</v>
      </c>
      <c r="J1544">
        <v>300</v>
      </c>
      <c r="M1544" s="7"/>
    </row>
    <row r="1545" spans="2:13" customFormat="1" x14ac:dyDescent="0.25">
      <c r="B1545" t="s">
        <v>587</v>
      </c>
      <c r="C1545" t="s">
        <v>395</v>
      </c>
      <c r="D1545" t="s">
        <v>891</v>
      </c>
      <c r="E1545" t="s">
        <v>396</v>
      </c>
      <c r="F1545" t="s">
        <v>397</v>
      </c>
      <c r="H1545">
        <v>0</v>
      </c>
      <c r="I1545">
        <v>400</v>
      </c>
      <c r="J1545">
        <v>2800</v>
      </c>
      <c r="M1545" s="7"/>
    </row>
    <row r="1546" spans="2:13" customFormat="1" x14ac:dyDescent="0.25">
      <c r="B1546" t="s">
        <v>587</v>
      </c>
      <c r="C1546" t="s">
        <v>104</v>
      </c>
      <c r="D1546" t="s">
        <v>891</v>
      </c>
      <c r="E1546" t="s">
        <v>280</v>
      </c>
      <c r="F1546" t="s">
        <v>186</v>
      </c>
      <c r="H1546">
        <v>0</v>
      </c>
      <c r="I1546">
        <v>0</v>
      </c>
      <c r="J1546">
        <v>2437.1</v>
      </c>
      <c r="M1546" s="7"/>
    </row>
    <row r="1547" spans="2:13" customFormat="1" x14ac:dyDescent="0.25">
      <c r="B1547" t="s">
        <v>587</v>
      </c>
      <c r="C1547" t="s">
        <v>356</v>
      </c>
      <c r="D1547" t="s">
        <v>891</v>
      </c>
      <c r="E1547" t="s">
        <v>357</v>
      </c>
      <c r="F1547" t="s">
        <v>358</v>
      </c>
      <c r="H1547">
        <v>0</v>
      </c>
      <c r="I1547">
        <v>0</v>
      </c>
      <c r="J1547">
        <v>4425.5</v>
      </c>
      <c r="M1547" s="7"/>
    </row>
    <row r="1548" spans="2:13" customFormat="1" x14ac:dyDescent="0.25">
      <c r="B1548" t="s">
        <v>587</v>
      </c>
      <c r="C1548" t="s">
        <v>105</v>
      </c>
      <c r="D1548" t="s">
        <v>891</v>
      </c>
      <c r="E1548" t="s">
        <v>281</v>
      </c>
      <c r="F1548" t="s">
        <v>187</v>
      </c>
      <c r="H1548">
        <v>0</v>
      </c>
      <c r="I1548">
        <v>618.25</v>
      </c>
      <c r="J1548">
        <v>3636.36</v>
      </c>
      <c r="M1548" s="7"/>
    </row>
    <row r="1549" spans="2:13" customFormat="1" x14ac:dyDescent="0.25">
      <c r="B1549" t="s">
        <v>587</v>
      </c>
      <c r="C1549" t="s">
        <v>106</v>
      </c>
      <c r="D1549" t="s">
        <v>891</v>
      </c>
      <c r="E1549" t="s">
        <v>282</v>
      </c>
      <c r="F1549" t="s">
        <v>188</v>
      </c>
      <c r="H1549">
        <v>0</v>
      </c>
      <c r="I1549">
        <v>280.93</v>
      </c>
      <c r="J1549">
        <v>1226.71</v>
      </c>
      <c r="M1549" s="7"/>
    </row>
    <row r="1550" spans="2:13" customFormat="1" x14ac:dyDescent="0.25">
      <c r="B1550" t="s">
        <v>587</v>
      </c>
      <c r="C1550" t="s">
        <v>107</v>
      </c>
      <c r="D1550" t="s">
        <v>891</v>
      </c>
      <c r="E1550" t="s">
        <v>283</v>
      </c>
      <c r="F1550" t="s">
        <v>189</v>
      </c>
      <c r="H1550">
        <v>494.94</v>
      </c>
      <c r="I1550">
        <v>5350.67</v>
      </c>
      <c r="J1550">
        <v>34124.97</v>
      </c>
      <c r="M1550" s="7"/>
    </row>
    <row r="1551" spans="2:13" customFormat="1" x14ac:dyDescent="0.25">
      <c r="B1551" t="s">
        <v>587</v>
      </c>
      <c r="C1551" t="s">
        <v>359</v>
      </c>
      <c r="D1551" t="s">
        <v>891</v>
      </c>
      <c r="E1551" t="s">
        <v>360</v>
      </c>
      <c r="F1551" t="s">
        <v>361</v>
      </c>
      <c r="H1551">
        <v>0</v>
      </c>
      <c r="I1551">
        <v>239</v>
      </c>
      <c r="J1551">
        <v>1407.88</v>
      </c>
      <c r="M1551" s="7"/>
    </row>
    <row r="1552" spans="2:13" customFormat="1" x14ac:dyDescent="0.25">
      <c r="B1552" t="s">
        <v>587</v>
      </c>
      <c r="C1552" t="s">
        <v>69</v>
      </c>
      <c r="D1552" t="s">
        <v>891</v>
      </c>
      <c r="E1552" t="s">
        <v>284</v>
      </c>
      <c r="F1552" t="s">
        <v>190</v>
      </c>
      <c r="H1552">
        <v>0</v>
      </c>
      <c r="I1552">
        <v>0</v>
      </c>
      <c r="J1552">
        <v>188.71</v>
      </c>
      <c r="M1552" s="7"/>
    </row>
    <row r="1553" spans="2:13" customFormat="1" x14ac:dyDescent="0.25">
      <c r="B1553" t="s">
        <v>587</v>
      </c>
      <c r="C1553" t="s">
        <v>557</v>
      </c>
      <c r="D1553" t="s">
        <v>891</v>
      </c>
      <c r="E1553" t="s">
        <v>558</v>
      </c>
      <c r="F1553" t="s">
        <v>559</v>
      </c>
      <c r="H1553">
        <v>0</v>
      </c>
      <c r="I1553">
        <v>0</v>
      </c>
      <c r="J1553">
        <v>3083.25</v>
      </c>
      <c r="M1553" s="7"/>
    </row>
    <row r="1554" spans="2:13" customFormat="1" x14ac:dyDescent="0.25">
      <c r="B1554" t="s">
        <v>587</v>
      </c>
      <c r="C1554" t="s">
        <v>70</v>
      </c>
      <c r="D1554" t="s">
        <v>891</v>
      </c>
      <c r="E1554" t="s">
        <v>286</v>
      </c>
      <c r="F1554" t="s">
        <v>192</v>
      </c>
      <c r="H1554">
        <v>0</v>
      </c>
      <c r="I1554">
        <v>385</v>
      </c>
      <c r="J1554">
        <v>15432.24</v>
      </c>
      <c r="M1554" s="7"/>
    </row>
    <row r="1555" spans="2:13" customFormat="1" x14ac:dyDescent="0.25">
      <c r="B1555" t="s">
        <v>587</v>
      </c>
      <c r="C1555" t="s">
        <v>597</v>
      </c>
      <c r="D1555" t="s">
        <v>891</v>
      </c>
      <c r="E1555" t="s">
        <v>598</v>
      </c>
      <c r="F1555" t="s">
        <v>599</v>
      </c>
      <c r="H1555">
        <v>0</v>
      </c>
      <c r="I1555">
        <v>0</v>
      </c>
      <c r="J1555">
        <v>1600</v>
      </c>
      <c r="M1555" s="7"/>
    </row>
    <row r="1556" spans="2:13" customFormat="1" x14ac:dyDescent="0.25">
      <c r="B1556" t="s">
        <v>587</v>
      </c>
      <c r="C1556" t="s">
        <v>109</v>
      </c>
      <c r="D1556" t="s">
        <v>891</v>
      </c>
      <c r="E1556" t="s">
        <v>287</v>
      </c>
      <c r="F1556" t="s">
        <v>193</v>
      </c>
      <c r="H1556">
        <v>0</v>
      </c>
      <c r="I1556">
        <v>4412.84</v>
      </c>
      <c r="J1556">
        <v>16082.72</v>
      </c>
      <c r="M1556" s="7"/>
    </row>
    <row r="1557" spans="2:13" customFormat="1" x14ac:dyDescent="0.25">
      <c r="B1557" t="s">
        <v>587</v>
      </c>
      <c r="C1557" t="s">
        <v>110</v>
      </c>
      <c r="D1557" t="s">
        <v>891</v>
      </c>
      <c r="E1557" t="s">
        <v>288</v>
      </c>
      <c r="F1557" t="s">
        <v>194</v>
      </c>
      <c r="H1557">
        <v>0</v>
      </c>
      <c r="I1557">
        <v>2263.5</v>
      </c>
      <c r="J1557">
        <v>2663.5</v>
      </c>
      <c r="M1557" s="7"/>
    </row>
    <row r="1558" spans="2:13" customFormat="1" x14ac:dyDescent="0.25">
      <c r="B1558" t="s">
        <v>587</v>
      </c>
      <c r="C1558" t="s">
        <v>440</v>
      </c>
      <c r="D1558" t="s">
        <v>891</v>
      </c>
      <c r="E1558" t="s">
        <v>441</v>
      </c>
      <c r="F1558" t="s">
        <v>442</v>
      </c>
      <c r="H1558">
        <v>0</v>
      </c>
      <c r="I1558">
        <v>0</v>
      </c>
      <c r="J1558">
        <v>3275.1</v>
      </c>
      <c r="M1558" s="7"/>
    </row>
    <row r="1559" spans="2:13" customFormat="1" x14ac:dyDescent="0.25">
      <c r="B1559" t="s">
        <v>587</v>
      </c>
      <c r="C1559" t="s">
        <v>111</v>
      </c>
      <c r="D1559" t="s">
        <v>891</v>
      </c>
      <c r="E1559" t="s">
        <v>289</v>
      </c>
      <c r="F1559" t="s">
        <v>195</v>
      </c>
      <c r="H1559">
        <v>0</v>
      </c>
      <c r="I1559">
        <v>0</v>
      </c>
      <c r="J1559">
        <v>-0.1</v>
      </c>
      <c r="M1559" s="7"/>
    </row>
    <row r="1560" spans="2:13" customFormat="1" x14ac:dyDescent="0.25">
      <c r="B1560" t="s">
        <v>587</v>
      </c>
      <c r="C1560" t="s">
        <v>398</v>
      </c>
      <c r="D1560" t="s">
        <v>891</v>
      </c>
      <c r="E1560" t="s">
        <v>399</v>
      </c>
      <c r="F1560" t="s">
        <v>400</v>
      </c>
      <c r="H1560">
        <v>0</v>
      </c>
      <c r="I1560">
        <v>537.27</v>
      </c>
      <c r="J1560">
        <v>3512.45</v>
      </c>
      <c r="M1560" s="7"/>
    </row>
    <row r="1561" spans="2:13" customFormat="1" x14ac:dyDescent="0.25">
      <c r="B1561" t="s">
        <v>587</v>
      </c>
      <c r="C1561" t="s">
        <v>443</v>
      </c>
      <c r="D1561" t="s">
        <v>891</v>
      </c>
      <c r="E1561" t="s">
        <v>444</v>
      </c>
      <c r="F1561" t="s">
        <v>445</v>
      </c>
      <c r="H1561">
        <v>0</v>
      </c>
      <c r="I1561">
        <v>1145.3800000000001</v>
      </c>
      <c r="J1561">
        <v>13744.52</v>
      </c>
      <c r="M1561" s="7"/>
    </row>
    <row r="1562" spans="2:13" customFormat="1" x14ac:dyDescent="0.25">
      <c r="B1562" t="s">
        <v>587</v>
      </c>
      <c r="C1562" t="s">
        <v>401</v>
      </c>
      <c r="D1562" t="s">
        <v>891</v>
      </c>
      <c r="E1562" t="s">
        <v>402</v>
      </c>
      <c r="F1562" t="s">
        <v>403</v>
      </c>
      <c r="H1562">
        <v>0</v>
      </c>
      <c r="I1562">
        <v>0</v>
      </c>
      <c r="J1562">
        <v>1266.52</v>
      </c>
      <c r="M1562" s="7"/>
    </row>
    <row r="1563" spans="2:13" customFormat="1" x14ac:dyDescent="0.25">
      <c r="B1563" t="s">
        <v>587</v>
      </c>
      <c r="C1563" t="s">
        <v>446</v>
      </c>
      <c r="D1563" t="s">
        <v>891</v>
      </c>
      <c r="E1563" t="s">
        <v>447</v>
      </c>
      <c r="F1563" t="s">
        <v>448</v>
      </c>
      <c r="H1563">
        <v>0</v>
      </c>
      <c r="I1563">
        <v>0</v>
      </c>
      <c r="J1563">
        <v>700</v>
      </c>
      <c r="M1563" s="7"/>
    </row>
    <row r="1564" spans="2:13" customFormat="1" x14ac:dyDescent="0.25">
      <c r="B1564" t="s">
        <v>587</v>
      </c>
      <c r="C1564" t="s">
        <v>404</v>
      </c>
      <c r="D1564" t="s">
        <v>891</v>
      </c>
      <c r="E1564" t="s">
        <v>405</v>
      </c>
      <c r="F1564" t="s">
        <v>406</v>
      </c>
      <c r="H1564">
        <v>0</v>
      </c>
      <c r="I1564">
        <v>0</v>
      </c>
      <c r="J1564">
        <v>140.84</v>
      </c>
      <c r="M1564" s="7"/>
    </row>
    <row r="1565" spans="2:13" customFormat="1" x14ac:dyDescent="0.25">
      <c r="B1565" t="s">
        <v>587</v>
      </c>
      <c r="C1565" t="s">
        <v>71</v>
      </c>
      <c r="D1565" t="s">
        <v>891</v>
      </c>
      <c r="E1565" t="s">
        <v>291</v>
      </c>
      <c r="F1565" t="s">
        <v>197</v>
      </c>
      <c r="H1565">
        <v>0</v>
      </c>
      <c r="I1565">
        <v>608.91999999999996</v>
      </c>
      <c r="J1565">
        <v>5014.0600000000004</v>
      </c>
      <c r="M1565" s="7"/>
    </row>
    <row r="1566" spans="2:13" customFormat="1" x14ac:dyDescent="0.25">
      <c r="B1566" t="s">
        <v>587</v>
      </c>
      <c r="C1566" t="s">
        <v>72</v>
      </c>
      <c r="D1566" t="s">
        <v>891</v>
      </c>
      <c r="E1566" t="s">
        <v>292</v>
      </c>
      <c r="F1566" t="s">
        <v>198</v>
      </c>
      <c r="H1566">
        <v>0</v>
      </c>
      <c r="I1566">
        <v>56.52</v>
      </c>
      <c r="J1566">
        <v>2123.92</v>
      </c>
      <c r="M1566" s="7"/>
    </row>
    <row r="1567" spans="2:13" customFormat="1" x14ac:dyDescent="0.25">
      <c r="B1567" t="s">
        <v>587</v>
      </c>
      <c r="C1567" t="s">
        <v>73</v>
      </c>
      <c r="D1567" t="s">
        <v>891</v>
      </c>
      <c r="E1567" t="s">
        <v>293</v>
      </c>
      <c r="F1567" t="s">
        <v>199</v>
      </c>
      <c r="H1567">
        <v>0.01</v>
      </c>
      <c r="I1567">
        <v>387.76</v>
      </c>
      <c r="J1567">
        <v>1878.93</v>
      </c>
      <c r="M1567" s="7"/>
    </row>
    <row r="1568" spans="2:13" customFormat="1" x14ac:dyDescent="0.25">
      <c r="B1568" t="s">
        <v>587</v>
      </c>
      <c r="C1568" t="s">
        <v>74</v>
      </c>
      <c r="D1568" t="s">
        <v>891</v>
      </c>
      <c r="E1568" t="s">
        <v>294</v>
      </c>
      <c r="F1568" t="s">
        <v>200</v>
      </c>
      <c r="H1568">
        <v>0</v>
      </c>
      <c r="I1568">
        <v>4462.6899999999996</v>
      </c>
      <c r="J1568">
        <v>42392.93</v>
      </c>
      <c r="M1568" s="7"/>
    </row>
    <row r="1569" spans="2:13" customFormat="1" x14ac:dyDescent="0.25">
      <c r="B1569" t="s">
        <v>587</v>
      </c>
      <c r="C1569" t="s">
        <v>75</v>
      </c>
      <c r="D1569" t="s">
        <v>891</v>
      </c>
      <c r="E1569" t="s">
        <v>295</v>
      </c>
      <c r="F1569" t="s">
        <v>201</v>
      </c>
      <c r="H1569">
        <v>0</v>
      </c>
      <c r="I1569">
        <v>415.69</v>
      </c>
      <c r="J1569">
        <v>415.69</v>
      </c>
      <c r="M1569" s="7"/>
    </row>
    <row r="1570" spans="2:13" customFormat="1" x14ac:dyDescent="0.25">
      <c r="B1570" t="s">
        <v>587</v>
      </c>
      <c r="C1570" t="s">
        <v>76</v>
      </c>
      <c r="D1570" t="s">
        <v>891</v>
      </c>
      <c r="E1570" t="s">
        <v>296</v>
      </c>
      <c r="F1570" t="s">
        <v>202</v>
      </c>
      <c r="H1570">
        <v>0</v>
      </c>
      <c r="I1570">
        <v>249.41</v>
      </c>
      <c r="J1570">
        <v>249.41</v>
      </c>
      <c r="M1570" s="7"/>
    </row>
    <row r="1571" spans="2:13" customFormat="1" x14ac:dyDescent="0.25">
      <c r="B1571" t="s">
        <v>850</v>
      </c>
      <c r="C1571" t="s">
        <v>26</v>
      </c>
      <c r="D1571" t="s">
        <v>891</v>
      </c>
      <c r="E1571" t="s">
        <v>211</v>
      </c>
      <c r="F1571" t="s">
        <v>116</v>
      </c>
      <c r="H1571">
        <v>81930.16</v>
      </c>
      <c r="I1571">
        <v>81930.16</v>
      </c>
      <c r="J1571">
        <v>0</v>
      </c>
      <c r="M1571" s="7"/>
    </row>
    <row r="1572" spans="2:13" customFormat="1" x14ac:dyDescent="0.25">
      <c r="B1572" t="s">
        <v>850</v>
      </c>
      <c r="C1572" t="s">
        <v>27</v>
      </c>
      <c r="D1572" t="s">
        <v>891</v>
      </c>
      <c r="E1572" t="s">
        <v>212</v>
      </c>
      <c r="F1572" t="s">
        <v>117</v>
      </c>
      <c r="H1572">
        <v>9150.4500000000007</v>
      </c>
      <c r="I1572">
        <v>14641.5</v>
      </c>
      <c r="J1572">
        <v>5513.57</v>
      </c>
      <c r="M1572" s="7"/>
    </row>
    <row r="1573" spans="2:13" customFormat="1" x14ac:dyDescent="0.25">
      <c r="B1573" t="s">
        <v>850</v>
      </c>
      <c r="C1573" t="s">
        <v>28</v>
      </c>
      <c r="D1573" t="s">
        <v>891</v>
      </c>
      <c r="E1573" t="s">
        <v>213</v>
      </c>
      <c r="F1573" t="s">
        <v>118</v>
      </c>
      <c r="H1573">
        <v>81315.97</v>
      </c>
      <c r="I1573">
        <v>79080.42</v>
      </c>
      <c r="J1573">
        <v>2276.96</v>
      </c>
      <c r="M1573" s="7"/>
    </row>
    <row r="1574" spans="2:13" customFormat="1" x14ac:dyDescent="0.25">
      <c r="B1574" t="s">
        <v>850</v>
      </c>
      <c r="C1574" t="s">
        <v>29</v>
      </c>
      <c r="D1574" t="s">
        <v>891</v>
      </c>
      <c r="E1574" t="s">
        <v>214</v>
      </c>
      <c r="F1574" t="s">
        <v>119</v>
      </c>
      <c r="H1574">
        <v>76859.460000000006</v>
      </c>
      <c r="I1574">
        <v>86175.92</v>
      </c>
      <c r="J1574">
        <v>18287.36</v>
      </c>
      <c r="M1574" s="7"/>
    </row>
    <row r="1575" spans="2:13" customFormat="1" x14ac:dyDescent="0.25">
      <c r="B1575" t="s">
        <v>850</v>
      </c>
      <c r="C1575" t="s">
        <v>30</v>
      </c>
      <c r="D1575" t="s">
        <v>891</v>
      </c>
      <c r="E1575" t="s">
        <v>215</v>
      </c>
      <c r="F1575" t="s">
        <v>120</v>
      </c>
      <c r="H1575">
        <v>522274.73</v>
      </c>
      <c r="I1575">
        <v>539527.30000000005</v>
      </c>
      <c r="J1575">
        <v>108232.63</v>
      </c>
      <c r="M1575" s="7"/>
    </row>
    <row r="1576" spans="2:13" customFormat="1" x14ac:dyDescent="0.25">
      <c r="B1576" t="s">
        <v>850</v>
      </c>
      <c r="C1576" t="s">
        <v>81</v>
      </c>
      <c r="D1576" t="s">
        <v>891</v>
      </c>
      <c r="E1576" t="s">
        <v>216</v>
      </c>
      <c r="F1576" t="s">
        <v>121</v>
      </c>
      <c r="H1576">
        <v>90</v>
      </c>
      <c r="I1576">
        <v>20</v>
      </c>
      <c r="J1576">
        <v>0</v>
      </c>
      <c r="M1576" s="7"/>
    </row>
    <row r="1577" spans="2:13" customFormat="1" x14ac:dyDescent="0.25">
      <c r="B1577" t="s">
        <v>850</v>
      </c>
      <c r="C1577" t="s">
        <v>31</v>
      </c>
      <c r="D1577" t="s">
        <v>891</v>
      </c>
      <c r="E1577" t="s">
        <v>217</v>
      </c>
      <c r="F1577" t="s">
        <v>122</v>
      </c>
      <c r="H1577">
        <v>579935.75</v>
      </c>
      <c r="I1577">
        <v>579935.75</v>
      </c>
      <c r="J1577">
        <v>0</v>
      </c>
      <c r="M1577" s="7"/>
    </row>
    <row r="1578" spans="2:13" customFormat="1" x14ac:dyDescent="0.25">
      <c r="B1578" t="s">
        <v>850</v>
      </c>
      <c r="C1578" t="s">
        <v>32</v>
      </c>
      <c r="D1578" t="s">
        <v>891</v>
      </c>
      <c r="E1578" t="s">
        <v>218</v>
      </c>
      <c r="F1578" t="s">
        <v>123</v>
      </c>
      <c r="H1578">
        <v>12989</v>
      </c>
      <c r="I1578">
        <v>8000</v>
      </c>
      <c r="J1578">
        <v>8000</v>
      </c>
      <c r="M1578" s="7"/>
    </row>
    <row r="1579" spans="2:13" customFormat="1" x14ac:dyDescent="0.25">
      <c r="B1579" t="s">
        <v>850</v>
      </c>
      <c r="C1579" t="s">
        <v>33</v>
      </c>
      <c r="D1579" t="s">
        <v>891</v>
      </c>
      <c r="E1579" t="s">
        <v>219</v>
      </c>
      <c r="F1579" t="s">
        <v>124</v>
      </c>
      <c r="H1579">
        <v>159646.73000000001</v>
      </c>
      <c r="I1579">
        <v>159753.64000000001</v>
      </c>
      <c r="J1579">
        <v>6975.12</v>
      </c>
      <c r="M1579" s="7"/>
    </row>
    <row r="1580" spans="2:13" customFormat="1" x14ac:dyDescent="0.25">
      <c r="B1580" t="s">
        <v>850</v>
      </c>
      <c r="C1580" t="s">
        <v>34</v>
      </c>
      <c r="D1580" t="s">
        <v>891</v>
      </c>
      <c r="E1580" t="s">
        <v>220</v>
      </c>
      <c r="F1580" t="s">
        <v>125</v>
      </c>
      <c r="H1580">
        <v>169035.01</v>
      </c>
      <c r="I1580">
        <v>170109.85</v>
      </c>
      <c r="J1580">
        <v>168661.67</v>
      </c>
      <c r="M1580" s="7"/>
    </row>
    <row r="1581" spans="2:13" customFormat="1" x14ac:dyDescent="0.25">
      <c r="B1581" t="s">
        <v>850</v>
      </c>
      <c r="C1581" t="s">
        <v>205</v>
      </c>
      <c r="D1581" t="s">
        <v>891</v>
      </c>
      <c r="E1581" t="s">
        <v>298</v>
      </c>
      <c r="F1581" t="s">
        <v>206</v>
      </c>
      <c r="H1581">
        <v>38728.980000000003</v>
      </c>
      <c r="I1581">
        <v>74004.320000000007</v>
      </c>
      <c r="J1581">
        <v>73856.81</v>
      </c>
      <c r="M1581" s="7"/>
    </row>
    <row r="1582" spans="2:13" customFormat="1" x14ac:dyDescent="0.25">
      <c r="B1582" t="s">
        <v>850</v>
      </c>
      <c r="C1582" t="s">
        <v>301</v>
      </c>
      <c r="D1582" t="s">
        <v>891</v>
      </c>
      <c r="E1582" t="s">
        <v>302</v>
      </c>
      <c r="F1582" t="s">
        <v>303</v>
      </c>
      <c r="H1582">
        <v>9791.44</v>
      </c>
      <c r="I1582">
        <v>9791.44</v>
      </c>
      <c r="J1582">
        <v>0</v>
      </c>
      <c r="M1582" s="7"/>
    </row>
    <row r="1583" spans="2:13" customFormat="1" x14ac:dyDescent="0.25">
      <c r="B1583" t="s">
        <v>850</v>
      </c>
      <c r="C1583" t="s">
        <v>35</v>
      </c>
      <c r="D1583" t="s">
        <v>891</v>
      </c>
      <c r="E1583" t="s">
        <v>221</v>
      </c>
      <c r="F1583" t="s">
        <v>127</v>
      </c>
      <c r="H1583">
        <v>1985.45</v>
      </c>
      <c r="I1583">
        <v>1352.93</v>
      </c>
      <c r="J1583">
        <v>1887.7</v>
      </c>
      <c r="M1583" s="7"/>
    </row>
    <row r="1584" spans="2:13" customFormat="1" x14ac:dyDescent="0.25">
      <c r="B1584" t="s">
        <v>850</v>
      </c>
      <c r="C1584" t="s">
        <v>36</v>
      </c>
      <c r="D1584" t="s">
        <v>891</v>
      </c>
      <c r="E1584" t="s">
        <v>222</v>
      </c>
      <c r="F1584" t="s">
        <v>128</v>
      </c>
      <c r="H1584">
        <v>357.25</v>
      </c>
      <c r="I1584">
        <v>515.16999999999996</v>
      </c>
      <c r="J1584">
        <v>1633.48</v>
      </c>
      <c r="M1584" s="7"/>
    </row>
    <row r="1585" spans="2:13" customFormat="1" x14ac:dyDescent="0.25">
      <c r="B1585" t="s">
        <v>850</v>
      </c>
      <c r="C1585" t="s">
        <v>37</v>
      </c>
      <c r="D1585" t="s">
        <v>891</v>
      </c>
      <c r="E1585" t="s">
        <v>223</v>
      </c>
      <c r="F1585" t="s">
        <v>129</v>
      </c>
      <c r="H1585">
        <v>1645.44</v>
      </c>
      <c r="I1585">
        <v>2372.83</v>
      </c>
      <c r="J1585">
        <v>7524.08</v>
      </c>
      <c r="M1585" s="7"/>
    </row>
    <row r="1586" spans="2:13" customFormat="1" x14ac:dyDescent="0.25">
      <c r="B1586" t="s">
        <v>850</v>
      </c>
      <c r="C1586" t="s">
        <v>675</v>
      </c>
      <c r="D1586" t="s">
        <v>891</v>
      </c>
      <c r="E1586" t="s">
        <v>676</v>
      </c>
      <c r="F1586" t="s">
        <v>677</v>
      </c>
      <c r="H1586">
        <v>0</v>
      </c>
      <c r="I1586">
        <v>0</v>
      </c>
      <c r="J1586">
        <v>44.75</v>
      </c>
      <c r="M1586" s="7"/>
    </row>
    <row r="1587" spans="2:13" customFormat="1" x14ac:dyDescent="0.25">
      <c r="B1587" t="s">
        <v>850</v>
      </c>
      <c r="C1587" t="s">
        <v>413</v>
      </c>
      <c r="D1587" t="s">
        <v>891</v>
      </c>
      <c r="E1587" t="s">
        <v>414</v>
      </c>
      <c r="F1587" t="s">
        <v>415</v>
      </c>
      <c r="H1587">
        <v>0</v>
      </c>
      <c r="I1587">
        <v>0</v>
      </c>
      <c r="J1587">
        <v>42.02</v>
      </c>
      <c r="M1587" s="7"/>
    </row>
    <row r="1588" spans="2:13" customFormat="1" x14ac:dyDescent="0.25">
      <c r="B1588" t="s">
        <v>850</v>
      </c>
      <c r="C1588" t="s">
        <v>304</v>
      </c>
      <c r="D1588" t="s">
        <v>891</v>
      </c>
      <c r="E1588" t="s">
        <v>305</v>
      </c>
      <c r="F1588" t="s">
        <v>306</v>
      </c>
      <c r="H1588">
        <v>491697.82</v>
      </c>
      <c r="I1588">
        <v>437332</v>
      </c>
      <c r="J1588">
        <v>279822.18</v>
      </c>
      <c r="M1588" s="7"/>
    </row>
    <row r="1589" spans="2:13" customFormat="1" x14ac:dyDescent="0.25">
      <c r="B1589" t="s">
        <v>850</v>
      </c>
      <c r="C1589" t="s">
        <v>38</v>
      </c>
      <c r="D1589" t="s">
        <v>891</v>
      </c>
      <c r="E1589" t="s">
        <v>224</v>
      </c>
      <c r="F1589" t="s">
        <v>130</v>
      </c>
      <c r="H1589">
        <v>18591.66</v>
      </c>
      <c r="I1589">
        <v>30038.09</v>
      </c>
      <c r="J1589">
        <v>51632.76</v>
      </c>
      <c r="M1589" s="7"/>
    </row>
    <row r="1590" spans="2:13" customFormat="1" x14ac:dyDescent="0.25">
      <c r="B1590" t="s">
        <v>850</v>
      </c>
      <c r="C1590" t="s">
        <v>39</v>
      </c>
      <c r="D1590" t="s">
        <v>891</v>
      </c>
      <c r="E1590" t="s">
        <v>225</v>
      </c>
      <c r="F1590" t="s">
        <v>131</v>
      </c>
      <c r="H1590">
        <v>10534.53</v>
      </c>
      <c r="I1590">
        <v>15571.8</v>
      </c>
      <c r="J1590">
        <v>23409.67</v>
      </c>
      <c r="M1590" s="7"/>
    </row>
    <row r="1591" spans="2:13" customFormat="1" x14ac:dyDescent="0.25">
      <c r="B1591" t="s">
        <v>850</v>
      </c>
      <c r="C1591" t="s">
        <v>422</v>
      </c>
      <c r="D1591" t="s">
        <v>891</v>
      </c>
      <c r="E1591" t="s">
        <v>423</v>
      </c>
      <c r="F1591" t="s">
        <v>424</v>
      </c>
      <c r="H1591">
        <v>0</v>
      </c>
      <c r="I1591">
        <v>0</v>
      </c>
      <c r="J1591">
        <v>50615</v>
      </c>
      <c r="M1591" s="7"/>
    </row>
    <row r="1592" spans="2:13" customFormat="1" x14ac:dyDescent="0.25">
      <c r="B1592" t="s">
        <v>850</v>
      </c>
      <c r="C1592" t="s">
        <v>425</v>
      </c>
      <c r="D1592" t="s">
        <v>891</v>
      </c>
      <c r="E1592" t="s">
        <v>426</v>
      </c>
      <c r="F1592" t="s">
        <v>427</v>
      </c>
      <c r="H1592">
        <v>0</v>
      </c>
      <c r="I1592">
        <v>0</v>
      </c>
      <c r="J1592">
        <v>3500</v>
      </c>
      <c r="M1592" s="7"/>
    </row>
    <row r="1593" spans="2:13" customFormat="1" x14ac:dyDescent="0.25">
      <c r="B1593" t="s">
        <v>850</v>
      </c>
      <c r="C1593" t="s">
        <v>428</v>
      </c>
      <c r="D1593" t="s">
        <v>891</v>
      </c>
      <c r="E1593" t="s">
        <v>429</v>
      </c>
      <c r="F1593" t="s">
        <v>430</v>
      </c>
      <c r="H1593">
        <v>58.33</v>
      </c>
      <c r="I1593">
        <v>0</v>
      </c>
      <c r="J1593">
        <v>-58.33</v>
      </c>
      <c r="M1593" s="7"/>
    </row>
    <row r="1594" spans="2:13" customFormat="1" x14ac:dyDescent="0.25">
      <c r="B1594" t="s">
        <v>850</v>
      </c>
      <c r="C1594" t="s">
        <v>40</v>
      </c>
      <c r="D1594" t="s">
        <v>891</v>
      </c>
      <c r="E1594" t="s">
        <v>227</v>
      </c>
      <c r="F1594" t="s">
        <v>133</v>
      </c>
      <c r="H1594">
        <v>120812.64</v>
      </c>
      <c r="I1594">
        <v>64598.43</v>
      </c>
      <c r="J1594">
        <v>-74904.73</v>
      </c>
      <c r="M1594" s="7"/>
    </row>
    <row r="1595" spans="2:13" customFormat="1" x14ac:dyDescent="0.25">
      <c r="B1595" t="s">
        <v>850</v>
      </c>
      <c r="C1595" t="s">
        <v>83</v>
      </c>
      <c r="D1595" t="s">
        <v>891</v>
      </c>
      <c r="E1595" t="s">
        <v>228</v>
      </c>
      <c r="F1595" t="s">
        <v>134</v>
      </c>
      <c r="H1595">
        <v>13233</v>
      </c>
      <c r="I1595">
        <v>9719.6200000000008</v>
      </c>
      <c r="J1595">
        <v>-3513.38</v>
      </c>
      <c r="M1595" s="7"/>
    </row>
    <row r="1596" spans="2:13" customFormat="1" x14ac:dyDescent="0.25">
      <c r="B1596" t="s">
        <v>850</v>
      </c>
      <c r="C1596" t="s">
        <v>113</v>
      </c>
      <c r="D1596" t="s">
        <v>891</v>
      </c>
      <c r="E1596" t="s">
        <v>229</v>
      </c>
      <c r="F1596" t="s">
        <v>135</v>
      </c>
      <c r="H1596">
        <v>383113</v>
      </c>
      <c r="I1596">
        <v>410904.5</v>
      </c>
      <c r="J1596">
        <v>-54654</v>
      </c>
      <c r="M1596" s="7"/>
    </row>
    <row r="1597" spans="2:13" customFormat="1" x14ac:dyDescent="0.25">
      <c r="B1597" t="s">
        <v>850</v>
      </c>
      <c r="C1597" t="s">
        <v>84</v>
      </c>
      <c r="D1597" t="s">
        <v>891</v>
      </c>
      <c r="E1597" t="s">
        <v>230</v>
      </c>
      <c r="F1597" t="s">
        <v>136</v>
      </c>
      <c r="H1597">
        <v>0</v>
      </c>
      <c r="I1597">
        <v>0</v>
      </c>
      <c r="J1597">
        <v>-50615</v>
      </c>
      <c r="M1597" s="7"/>
    </row>
    <row r="1598" spans="2:13" customFormat="1" x14ac:dyDescent="0.25">
      <c r="B1598" t="s">
        <v>850</v>
      </c>
      <c r="C1598" t="s">
        <v>310</v>
      </c>
      <c r="D1598" t="s">
        <v>891</v>
      </c>
      <c r="E1598" t="s">
        <v>311</v>
      </c>
      <c r="F1598" t="s">
        <v>312</v>
      </c>
      <c r="H1598">
        <v>55549.760000000002</v>
      </c>
      <c r="I1598">
        <v>55549.760000000002</v>
      </c>
      <c r="J1598">
        <v>0</v>
      </c>
      <c r="M1598" s="7"/>
    </row>
    <row r="1599" spans="2:13" customFormat="1" x14ac:dyDescent="0.25">
      <c r="B1599" t="s">
        <v>850</v>
      </c>
      <c r="C1599" t="s">
        <v>316</v>
      </c>
      <c r="D1599" t="s">
        <v>891</v>
      </c>
      <c r="E1599" t="s">
        <v>317</v>
      </c>
      <c r="F1599" t="s">
        <v>318</v>
      </c>
      <c r="H1599">
        <v>3721.62</v>
      </c>
      <c r="I1599">
        <v>189.88</v>
      </c>
      <c r="J1599">
        <v>-7438.92</v>
      </c>
      <c r="M1599" s="7"/>
    </row>
    <row r="1600" spans="2:13" customFormat="1" x14ac:dyDescent="0.25">
      <c r="B1600" t="s">
        <v>850</v>
      </c>
      <c r="C1600" t="s">
        <v>319</v>
      </c>
      <c r="D1600" t="s">
        <v>891</v>
      </c>
      <c r="E1600" t="s">
        <v>320</v>
      </c>
      <c r="F1600" t="s">
        <v>321</v>
      </c>
      <c r="H1600">
        <v>2370.91</v>
      </c>
      <c r="I1600">
        <v>142.41</v>
      </c>
      <c r="J1600">
        <v>-5985.93</v>
      </c>
      <c r="M1600" s="7"/>
    </row>
    <row r="1601" spans="2:13" customFormat="1" x14ac:dyDescent="0.25">
      <c r="B1601" t="s">
        <v>850</v>
      </c>
      <c r="C1601" t="s">
        <v>322</v>
      </c>
      <c r="D1601" t="s">
        <v>891</v>
      </c>
      <c r="E1601" t="s">
        <v>323</v>
      </c>
      <c r="F1601" t="s">
        <v>324</v>
      </c>
      <c r="H1601">
        <v>17617.07</v>
      </c>
      <c r="I1601">
        <v>15170.72</v>
      </c>
      <c r="J1601">
        <v>-9720.1</v>
      </c>
      <c r="M1601" s="7"/>
    </row>
    <row r="1602" spans="2:13" customFormat="1" x14ac:dyDescent="0.25">
      <c r="B1602" t="s">
        <v>850</v>
      </c>
      <c r="C1602" t="s">
        <v>325</v>
      </c>
      <c r="D1602" t="s">
        <v>891</v>
      </c>
      <c r="E1602" t="s">
        <v>326</v>
      </c>
      <c r="F1602" t="s">
        <v>327</v>
      </c>
      <c r="H1602">
        <v>3650.12</v>
      </c>
      <c r="I1602">
        <v>3124.42</v>
      </c>
      <c r="J1602">
        <v>-2087.91</v>
      </c>
      <c r="M1602" s="7"/>
    </row>
    <row r="1603" spans="2:13" customFormat="1" x14ac:dyDescent="0.25">
      <c r="B1603" t="s">
        <v>850</v>
      </c>
      <c r="C1603" t="s">
        <v>328</v>
      </c>
      <c r="D1603" t="s">
        <v>891</v>
      </c>
      <c r="E1603" t="s">
        <v>329</v>
      </c>
      <c r="F1603" t="s">
        <v>171</v>
      </c>
      <c r="H1603">
        <v>1071.8399999999999</v>
      </c>
      <c r="I1603">
        <v>54.69</v>
      </c>
      <c r="J1603">
        <v>-2142.42</v>
      </c>
      <c r="M1603" s="7"/>
    </row>
    <row r="1604" spans="2:13" customFormat="1" x14ac:dyDescent="0.25">
      <c r="B1604" t="s">
        <v>850</v>
      </c>
      <c r="C1604" t="s">
        <v>330</v>
      </c>
      <c r="D1604" t="s">
        <v>891</v>
      </c>
      <c r="E1604" t="s">
        <v>331</v>
      </c>
      <c r="F1604" t="s">
        <v>332</v>
      </c>
      <c r="H1604">
        <v>682.82</v>
      </c>
      <c r="I1604">
        <v>41.01</v>
      </c>
      <c r="J1604">
        <v>-1723.94</v>
      </c>
      <c r="M1604" s="7"/>
    </row>
    <row r="1605" spans="2:13" customFormat="1" x14ac:dyDescent="0.25">
      <c r="B1605" t="s">
        <v>850</v>
      </c>
      <c r="C1605" t="s">
        <v>333</v>
      </c>
      <c r="D1605" t="s">
        <v>891</v>
      </c>
      <c r="E1605" t="s">
        <v>334</v>
      </c>
      <c r="F1605" t="s">
        <v>172</v>
      </c>
      <c r="H1605">
        <v>297.72000000000003</v>
      </c>
      <c r="I1605">
        <v>15.19</v>
      </c>
      <c r="J1605">
        <v>-595.12</v>
      </c>
      <c r="M1605" s="7"/>
    </row>
    <row r="1606" spans="2:13" customFormat="1" x14ac:dyDescent="0.25">
      <c r="B1606" t="s">
        <v>850</v>
      </c>
      <c r="C1606" t="s">
        <v>335</v>
      </c>
      <c r="D1606" t="s">
        <v>891</v>
      </c>
      <c r="E1606" t="s">
        <v>336</v>
      </c>
      <c r="F1606" t="s">
        <v>337</v>
      </c>
      <c r="H1606">
        <v>189.68</v>
      </c>
      <c r="I1606">
        <v>11.39</v>
      </c>
      <c r="J1606">
        <v>-478.87</v>
      </c>
      <c r="M1606" s="7"/>
    </row>
    <row r="1607" spans="2:13" customFormat="1" x14ac:dyDescent="0.25">
      <c r="B1607" t="s">
        <v>850</v>
      </c>
      <c r="C1607" t="s">
        <v>41</v>
      </c>
      <c r="D1607" t="s">
        <v>891</v>
      </c>
      <c r="E1607" t="s">
        <v>231</v>
      </c>
      <c r="F1607" t="s">
        <v>137</v>
      </c>
      <c r="H1607">
        <v>1987.55</v>
      </c>
      <c r="I1607">
        <v>1985.45</v>
      </c>
      <c r="J1607">
        <v>0</v>
      </c>
      <c r="M1607" s="7"/>
    </row>
    <row r="1608" spans="2:13" customFormat="1" x14ac:dyDescent="0.25">
      <c r="B1608" t="s">
        <v>850</v>
      </c>
      <c r="C1608" t="s">
        <v>42</v>
      </c>
      <c r="D1608" t="s">
        <v>891</v>
      </c>
      <c r="E1608" t="s">
        <v>232</v>
      </c>
      <c r="F1608" t="s">
        <v>138</v>
      </c>
      <c r="H1608">
        <v>344.33</v>
      </c>
      <c r="I1608">
        <v>344.33</v>
      </c>
      <c r="J1608">
        <v>0</v>
      </c>
      <c r="M1608" s="7"/>
    </row>
    <row r="1609" spans="2:13" customFormat="1" x14ac:dyDescent="0.25">
      <c r="B1609" t="s">
        <v>850</v>
      </c>
      <c r="C1609" t="s">
        <v>43</v>
      </c>
      <c r="D1609" t="s">
        <v>891</v>
      </c>
      <c r="E1609" t="s">
        <v>233</v>
      </c>
      <c r="F1609" t="s">
        <v>139</v>
      </c>
      <c r="H1609">
        <v>1586.01</v>
      </c>
      <c r="I1609">
        <v>1586.01</v>
      </c>
      <c r="J1609">
        <v>0</v>
      </c>
      <c r="M1609" s="7"/>
    </row>
    <row r="1610" spans="2:13" customFormat="1" x14ac:dyDescent="0.25">
      <c r="B1610" t="s">
        <v>850</v>
      </c>
      <c r="C1610" t="s">
        <v>79</v>
      </c>
      <c r="D1610" t="s">
        <v>891</v>
      </c>
      <c r="E1610" t="s">
        <v>234</v>
      </c>
      <c r="F1610" t="s">
        <v>140</v>
      </c>
      <c r="H1610">
        <v>106.66</v>
      </c>
      <c r="I1610">
        <v>0</v>
      </c>
      <c r="J1610">
        <v>-284.08</v>
      </c>
      <c r="M1610" s="7"/>
    </row>
    <row r="1611" spans="2:13" customFormat="1" x14ac:dyDescent="0.25">
      <c r="B1611" t="s">
        <v>850</v>
      </c>
      <c r="C1611" t="s">
        <v>44</v>
      </c>
      <c r="D1611" t="s">
        <v>891</v>
      </c>
      <c r="E1611" t="s">
        <v>235</v>
      </c>
      <c r="F1611" t="s">
        <v>141</v>
      </c>
      <c r="H1611">
        <v>36.24</v>
      </c>
      <c r="I1611">
        <v>12.6</v>
      </c>
      <c r="J1611">
        <v>-40.31</v>
      </c>
      <c r="M1611" s="7"/>
    </row>
    <row r="1612" spans="2:13" customFormat="1" x14ac:dyDescent="0.25">
      <c r="B1612" t="s">
        <v>850</v>
      </c>
      <c r="C1612" t="s">
        <v>45</v>
      </c>
      <c r="D1612" t="s">
        <v>891</v>
      </c>
      <c r="E1612" t="s">
        <v>236</v>
      </c>
      <c r="F1612" t="s">
        <v>142</v>
      </c>
      <c r="H1612">
        <v>98.1</v>
      </c>
      <c r="I1612">
        <v>39.06</v>
      </c>
      <c r="J1612">
        <v>-372.11</v>
      </c>
      <c r="M1612" s="7"/>
    </row>
    <row r="1613" spans="2:13" customFormat="1" x14ac:dyDescent="0.25">
      <c r="B1613" t="s">
        <v>850</v>
      </c>
      <c r="C1613" t="s">
        <v>338</v>
      </c>
      <c r="D1613" t="s">
        <v>891</v>
      </c>
      <c r="E1613" t="s">
        <v>339</v>
      </c>
      <c r="F1613" t="s">
        <v>340</v>
      </c>
      <c r="H1613">
        <v>312.08999999999997</v>
      </c>
      <c r="I1613">
        <v>312.08999999999997</v>
      </c>
      <c r="J1613">
        <v>-312.08999999999997</v>
      </c>
      <c r="M1613" s="7"/>
    </row>
    <row r="1614" spans="2:13" customFormat="1" x14ac:dyDescent="0.25">
      <c r="B1614" t="s">
        <v>850</v>
      </c>
      <c r="C1614" t="s">
        <v>46</v>
      </c>
      <c r="D1614" t="s">
        <v>891</v>
      </c>
      <c r="E1614" t="s">
        <v>237</v>
      </c>
      <c r="F1614" t="s">
        <v>143</v>
      </c>
      <c r="H1614">
        <v>0</v>
      </c>
      <c r="I1614">
        <v>0</v>
      </c>
      <c r="J1614">
        <v>-1200000</v>
      </c>
      <c r="M1614" s="7"/>
    </row>
    <row r="1615" spans="2:13" customFormat="1" x14ac:dyDescent="0.25">
      <c r="B1615" t="s">
        <v>850</v>
      </c>
      <c r="C1615" t="s">
        <v>47</v>
      </c>
      <c r="D1615" t="s">
        <v>891</v>
      </c>
      <c r="E1615" t="s">
        <v>238</v>
      </c>
      <c r="F1615" t="s">
        <v>144</v>
      </c>
      <c r="H1615">
        <v>0</v>
      </c>
      <c r="I1615">
        <v>0</v>
      </c>
      <c r="J1615">
        <v>863471.77</v>
      </c>
      <c r="M1615" s="7"/>
    </row>
    <row r="1616" spans="2:13" customFormat="1" x14ac:dyDescent="0.25">
      <c r="B1616" t="s">
        <v>850</v>
      </c>
      <c r="C1616" t="s">
        <v>80</v>
      </c>
      <c r="D1616" t="s">
        <v>891</v>
      </c>
      <c r="E1616" t="s">
        <v>239</v>
      </c>
      <c r="F1616" t="s">
        <v>145</v>
      </c>
      <c r="H1616">
        <v>0</v>
      </c>
      <c r="I1616">
        <v>0</v>
      </c>
      <c r="J1616">
        <v>-576215.65</v>
      </c>
      <c r="M1616" s="7"/>
    </row>
    <row r="1617" spans="2:13" customFormat="1" x14ac:dyDescent="0.25">
      <c r="B1617" t="s">
        <v>850</v>
      </c>
      <c r="C1617" t="s">
        <v>85</v>
      </c>
      <c r="D1617" t="s">
        <v>891</v>
      </c>
      <c r="E1617" t="s">
        <v>240</v>
      </c>
      <c r="F1617" t="s">
        <v>146</v>
      </c>
      <c r="H1617">
        <v>0</v>
      </c>
      <c r="I1617">
        <v>0</v>
      </c>
      <c r="J1617">
        <v>216838.32</v>
      </c>
      <c r="M1617" s="7"/>
    </row>
    <row r="1618" spans="2:13" customFormat="1" x14ac:dyDescent="0.25">
      <c r="B1618" t="s">
        <v>850</v>
      </c>
      <c r="C1618" t="s">
        <v>371</v>
      </c>
      <c r="D1618" t="s">
        <v>891</v>
      </c>
      <c r="E1618" t="s">
        <v>372</v>
      </c>
      <c r="F1618" t="s">
        <v>373</v>
      </c>
      <c r="H1618">
        <v>531618.93000000005</v>
      </c>
      <c r="I1618">
        <v>0</v>
      </c>
      <c r="J1618">
        <v>-1120407.3</v>
      </c>
      <c r="M1618" s="7"/>
    </row>
    <row r="1619" spans="2:13" customFormat="1" x14ac:dyDescent="0.25">
      <c r="B1619" t="s">
        <v>850</v>
      </c>
      <c r="C1619" t="s">
        <v>374</v>
      </c>
      <c r="D1619" t="s">
        <v>891</v>
      </c>
      <c r="E1619" t="s">
        <v>375</v>
      </c>
      <c r="F1619" t="s">
        <v>376</v>
      </c>
      <c r="H1619">
        <v>5952.99</v>
      </c>
      <c r="I1619">
        <v>0</v>
      </c>
      <c r="J1619">
        <v>-5952.99</v>
      </c>
      <c r="M1619" s="7"/>
    </row>
    <row r="1620" spans="2:13" customFormat="1" x14ac:dyDescent="0.25">
      <c r="B1620" t="s">
        <v>850</v>
      </c>
      <c r="C1620" t="s">
        <v>48</v>
      </c>
      <c r="D1620" t="s">
        <v>891</v>
      </c>
      <c r="E1620" t="s">
        <v>241</v>
      </c>
      <c r="F1620" t="s">
        <v>147</v>
      </c>
      <c r="H1620">
        <v>14007.87</v>
      </c>
      <c r="I1620">
        <v>0</v>
      </c>
      <c r="J1620">
        <v>-24065.33</v>
      </c>
      <c r="M1620" s="7"/>
    </row>
    <row r="1621" spans="2:13" customFormat="1" x14ac:dyDescent="0.25">
      <c r="B1621" t="s">
        <v>850</v>
      </c>
      <c r="C1621" t="s">
        <v>86</v>
      </c>
      <c r="D1621" t="s">
        <v>891</v>
      </c>
      <c r="E1621" t="s">
        <v>242</v>
      </c>
      <c r="F1621" t="s">
        <v>148</v>
      </c>
      <c r="H1621">
        <v>27455.96</v>
      </c>
      <c r="I1621">
        <v>0</v>
      </c>
      <c r="J1621">
        <v>-39927.93</v>
      </c>
      <c r="M1621" s="7"/>
    </row>
    <row r="1622" spans="2:13" customFormat="1" x14ac:dyDescent="0.25">
      <c r="B1622" t="s">
        <v>850</v>
      </c>
      <c r="C1622" t="s">
        <v>49</v>
      </c>
      <c r="D1622" t="s">
        <v>891</v>
      </c>
      <c r="E1622" t="s">
        <v>243</v>
      </c>
      <c r="F1622" t="s">
        <v>149</v>
      </c>
      <c r="H1622">
        <v>0</v>
      </c>
      <c r="I1622">
        <v>1987.55</v>
      </c>
      <c r="J1622">
        <v>4764.1099999999997</v>
      </c>
      <c r="M1622" s="7"/>
    </row>
    <row r="1623" spans="2:13" customFormat="1" x14ac:dyDescent="0.25">
      <c r="B1623" t="s">
        <v>850</v>
      </c>
      <c r="C1623" t="s">
        <v>50</v>
      </c>
      <c r="D1623" t="s">
        <v>891</v>
      </c>
      <c r="E1623" t="s">
        <v>244</v>
      </c>
      <c r="F1623" t="s">
        <v>150</v>
      </c>
      <c r="H1623">
        <v>0</v>
      </c>
      <c r="I1623">
        <v>344.33</v>
      </c>
      <c r="J1623">
        <v>555.44000000000005</v>
      </c>
      <c r="M1623" s="7"/>
    </row>
    <row r="1624" spans="2:13" customFormat="1" x14ac:dyDescent="0.25">
      <c r="B1624" t="s">
        <v>850</v>
      </c>
      <c r="C1624" t="s">
        <v>51</v>
      </c>
      <c r="D1624" t="s">
        <v>891</v>
      </c>
      <c r="E1624" t="s">
        <v>245</v>
      </c>
      <c r="F1624" t="s">
        <v>151</v>
      </c>
      <c r="H1624">
        <v>0</v>
      </c>
      <c r="I1624">
        <v>1586.01</v>
      </c>
      <c r="J1624">
        <v>2558.41</v>
      </c>
      <c r="M1624" s="7"/>
    </row>
    <row r="1625" spans="2:13" customFormat="1" x14ac:dyDescent="0.25">
      <c r="B1625" t="s">
        <v>850</v>
      </c>
      <c r="C1625" t="s">
        <v>87</v>
      </c>
      <c r="D1625" t="s">
        <v>891</v>
      </c>
      <c r="E1625" t="s">
        <v>246</v>
      </c>
      <c r="F1625" t="s">
        <v>152</v>
      </c>
      <c r="H1625">
        <v>13335.53</v>
      </c>
      <c r="I1625">
        <v>12989</v>
      </c>
      <c r="J1625">
        <v>-469.99</v>
      </c>
      <c r="M1625" s="7"/>
    </row>
    <row r="1626" spans="2:13" customFormat="1" x14ac:dyDescent="0.25">
      <c r="B1626" t="s">
        <v>850</v>
      </c>
      <c r="C1626" t="s">
        <v>377</v>
      </c>
      <c r="D1626" t="s">
        <v>891</v>
      </c>
      <c r="E1626" t="s">
        <v>378</v>
      </c>
      <c r="F1626" t="s">
        <v>379</v>
      </c>
      <c r="H1626">
        <v>20989</v>
      </c>
      <c r="I1626">
        <v>504686.82</v>
      </c>
      <c r="J1626">
        <v>1014607.53</v>
      </c>
      <c r="M1626" s="7"/>
    </row>
    <row r="1627" spans="2:13" customFormat="1" x14ac:dyDescent="0.25">
      <c r="B1627" t="s">
        <v>850</v>
      </c>
      <c r="C1627" t="s">
        <v>53</v>
      </c>
      <c r="D1627" t="s">
        <v>891</v>
      </c>
      <c r="E1627" t="s">
        <v>249</v>
      </c>
      <c r="F1627" t="s">
        <v>155</v>
      </c>
      <c r="H1627">
        <v>0</v>
      </c>
      <c r="I1627">
        <v>17109.45</v>
      </c>
      <c r="J1627">
        <v>25371.22</v>
      </c>
      <c r="M1627" s="7"/>
    </row>
    <row r="1628" spans="2:13" customFormat="1" x14ac:dyDescent="0.25">
      <c r="B1628" t="s">
        <v>850</v>
      </c>
      <c r="C1628" t="s">
        <v>54</v>
      </c>
      <c r="D1628" t="s">
        <v>891</v>
      </c>
      <c r="E1628" t="s">
        <v>250</v>
      </c>
      <c r="F1628" t="s">
        <v>156</v>
      </c>
      <c r="H1628">
        <v>0</v>
      </c>
      <c r="I1628">
        <v>8920.02</v>
      </c>
      <c r="J1628">
        <v>15259.44</v>
      </c>
      <c r="M1628" s="7"/>
    </row>
    <row r="1629" spans="2:13" customFormat="1" x14ac:dyDescent="0.25">
      <c r="B1629" t="s">
        <v>850</v>
      </c>
      <c r="C1629" t="s">
        <v>55</v>
      </c>
      <c r="D1629" t="s">
        <v>891</v>
      </c>
      <c r="E1629" t="s">
        <v>252</v>
      </c>
      <c r="F1629" t="s">
        <v>158</v>
      </c>
      <c r="H1629">
        <v>7.93</v>
      </c>
      <c r="I1629">
        <v>25436.48</v>
      </c>
      <c r="J1629">
        <v>35618.47</v>
      </c>
      <c r="M1629" s="7"/>
    </row>
    <row r="1630" spans="2:13" customFormat="1" x14ac:dyDescent="0.25">
      <c r="B1630" t="s">
        <v>850</v>
      </c>
      <c r="C1630" t="s">
        <v>56</v>
      </c>
      <c r="D1630" t="s">
        <v>891</v>
      </c>
      <c r="E1630" t="s">
        <v>253</v>
      </c>
      <c r="F1630" t="s">
        <v>159</v>
      </c>
      <c r="H1630">
        <v>183.42</v>
      </c>
      <c r="I1630">
        <v>7516.74</v>
      </c>
      <c r="J1630">
        <v>13308.88</v>
      </c>
      <c r="M1630" s="7"/>
    </row>
    <row r="1631" spans="2:13" customFormat="1" x14ac:dyDescent="0.25">
      <c r="B1631" t="s">
        <v>850</v>
      </c>
      <c r="C1631" t="s">
        <v>57</v>
      </c>
      <c r="D1631" t="s">
        <v>891</v>
      </c>
      <c r="E1631" t="s">
        <v>254</v>
      </c>
      <c r="F1631" t="s">
        <v>160</v>
      </c>
      <c r="H1631">
        <v>11.39</v>
      </c>
      <c r="I1631">
        <v>2087.91</v>
      </c>
      <c r="J1631">
        <v>1524.73</v>
      </c>
      <c r="M1631" s="7"/>
    </row>
    <row r="1632" spans="2:13" customFormat="1" x14ac:dyDescent="0.25">
      <c r="B1632" t="s">
        <v>850</v>
      </c>
      <c r="C1632" t="s">
        <v>58</v>
      </c>
      <c r="D1632" t="s">
        <v>891</v>
      </c>
      <c r="E1632" t="s">
        <v>255</v>
      </c>
      <c r="F1632" t="s">
        <v>161</v>
      </c>
      <c r="H1632">
        <v>189.88</v>
      </c>
      <c r="I1632">
        <v>3875.8</v>
      </c>
      <c r="J1632">
        <v>8341.74</v>
      </c>
      <c r="M1632" s="7"/>
    </row>
    <row r="1633" spans="2:13" customFormat="1" x14ac:dyDescent="0.25">
      <c r="B1633" t="s">
        <v>850</v>
      </c>
      <c r="C1633" t="s">
        <v>59</v>
      </c>
      <c r="D1633" t="s">
        <v>891</v>
      </c>
      <c r="E1633" t="s">
        <v>256</v>
      </c>
      <c r="F1633" t="s">
        <v>162</v>
      </c>
      <c r="H1633">
        <v>0</v>
      </c>
      <c r="I1633">
        <v>2486.54</v>
      </c>
      <c r="J1633">
        <v>6942.26</v>
      </c>
      <c r="M1633" s="7"/>
    </row>
    <row r="1634" spans="2:13" customFormat="1" x14ac:dyDescent="0.25">
      <c r="B1634" t="s">
        <v>850</v>
      </c>
      <c r="C1634" t="s">
        <v>60</v>
      </c>
      <c r="D1634" t="s">
        <v>891</v>
      </c>
      <c r="E1634" t="s">
        <v>258</v>
      </c>
      <c r="F1634" t="s">
        <v>164</v>
      </c>
      <c r="H1634">
        <v>0</v>
      </c>
      <c r="I1634">
        <v>44.66</v>
      </c>
      <c r="J1634">
        <v>44.66</v>
      </c>
      <c r="M1634" s="7"/>
    </row>
    <row r="1635" spans="2:13" customFormat="1" x14ac:dyDescent="0.25">
      <c r="B1635" t="s">
        <v>850</v>
      </c>
      <c r="C1635" t="s">
        <v>344</v>
      </c>
      <c r="D1635" t="s">
        <v>891</v>
      </c>
      <c r="E1635" t="s">
        <v>345</v>
      </c>
      <c r="F1635" t="s">
        <v>346</v>
      </c>
      <c r="H1635">
        <v>74.37</v>
      </c>
      <c r="I1635">
        <v>1538.1</v>
      </c>
      <c r="J1635">
        <v>2582.0100000000002</v>
      </c>
      <c r="M1635" s="7"/>
    </row>
    <row r="1636" spans="2:13" customFormat="1" x14ac:dyDescent="0.25">
      <c r="B1636" t="s">
        <v>850</v>
      </c>
      <c r="C1636" t="s">
        <v>62</v>
      </c>
      <c r="D1636" t="s">
        <v>891</v>
      </c>
      <c r="E1636" t="s">
        <v>260</v>
      </c>
      <c r="F1636" t="s">
        <v>166</v>
      </c>
      <c r="H1636">
        <v>889.82</v>
      </c>
      <c r="I1636">
        <v>1189.8900000000001</v>
      </c>
      <c r="J1636">
        <v>831.15</v>
      </c>
      <c r="M1636" s="7"/>
    </row>
    <row r="1637" spans="2:13" customFormat="1" x14ac:dyDescent="0.25">
      <c r="B1637" t="s">
        <v>850</v>
      </c>
      <c r="C1637" t="s">
        <v>207</v>
      </c>
      <c r="D1637" t="s">
        <v>891</v>
      </c>
      <c r="E1637" t="s">
        <v>299</v>
      </c>
      <c r="F1637" t="s">
        <v>208</v>
      </c>
      <c r="H1637">
        <v>120</v>
      </c>
      <c r="I1637">
        <v>1199.4000000000001</v>
      </c>
      <c r="J1637">
        <v>396.9</v>
      </c>
      <c r="M1637" s="7"/>
    </row>
    <row r="1638" spans="2:13" customFormat="1" x14ac:dyDescent="0.25">
      <c r="B1638" t="s">
        <v>850</v>
      </c>
      <c r="C1638" t="s">
        <v>63</v>
      </c>
      <c r="D1638" t="s">
        <v>891</v>
      </c>
      <c r="E1638" t="s">
        <v>261</v>
      </c>
      <c r="F1638" t="s">
        <v>167</v>
      </c>
      <c r="H1638">
        <v>2517.79</v>
      </c>
      <c r="I1638">
        <v>5554.8</v>
      </c>
      <c r="J1638">
        <v>5039.17</v>
      </c>
      <c r="M1638" s="7"/>
    </row>
    <row r="1639" spans="2:13" customFormat="1" x14ac:dyDescent="0.25">
      <c r="B1639" t="s">
        <v>850</v>
      </c>
      <c r="C1639" t="s">
        <v>380</v>
      </c>
      <c r="D1639" t="s">
        <v>891</v>
      </c>
      <c r="E1639" t="s">
        <v>381</v>
      </c>
      <c r="F1639" t="s">
        <v>382</v>
      </c>
      <c r="H1639">
        <v>0</v>
      </c>
      <c r="I1639">
        <v>0</v>
      </c>
      <c r="J1639">
        <v>1550</v>
      </c>
      <c r="M1639" s="7"/>
    </row>
    <row r="1640" spans="2:13" customFormat="1" x14ac:dyDescent="0.25">
      <c r="B1640" t="s">
        <v>850</v>
      </c>
      <c r="C1640" t="s">
        <v>93</v>
      </c>
      <c r="D1640" t="s">
        <v>891</v>
      </c>
      <c r="E1640" t="s">
        <v>264</v>
      </c>
      <c r="F1640" t="s">
        <v>170</v>
      </c>
      <c r="H1640">
        <v>0</v>
      </c>
      <c r="I1640">
        <v>133</v>
      </c>
      <c r="J1640">
        <v>133</v>
      </c>
      <c r="M1640" s="7"/>
    </row>
    <row r="1641" spans="2:13" customFormat="1" x14ac:dyDescent="0.25">
      <c r="B1641" t="s">
        <v>850</v>
      </c>
      <c r="C1641" t="s">
        <v>350</v>
      </c>
      <c r="D1641" t="s">
        <v>891</v>
      </c>
      <c r="E1641" t="s">
        <v>351</v>
      </c>
      <c r="F1641" t="s">
        <v>352</v>
      </c>
      <c r="H1641">
        <v>0</v>
      </c>
      <c r="I1641">
        <v>0</v>
      </c>
      <c r="J1641">
        <v>3040.18</v>
      </c>
      <c r="M1641" s="7"/>
    </row>
    <row r="1642" spans="2:13" customFormat="1" x14ac:dyDescent="0.25">
      <c r="B1642" t="s">
        <v>850</v>
      </c>
      <c r="C1642" t="s">
        <v>64</v>
      </c>
      <c r="D1642" t="s">
        <v>891</v>
      </c>
      <c r="E1642" t="s">
        <v>265</v>
      </c>
      <c r="F1642" t="s">
        <v>171</v>
      </c>
      <c r="H1642">
        <v>69.88</v>
      </c>
      <c r="I1642">
        <v>1972.25</v>
      </c>
      <c r="J1642">
        <v>4080.56</v>
      </c>
      <c r="M1642" s="7"/>
    </row>
    <row r="1643" spans="2:13" customFormat="1" x14ac:dyDescent="0.25">
      <c r="B1643" t="s">
        <v>850</v>
      </c>
      <c r="C1643" t="s">
        <v>94</v>
      </c>
      <c r="D1643" t="s">
        <v>891</v>
      </c>
      <c r="E1643" t="s">
        <v>266</v>
      </c>
      <c r="F1643" t="s">
        <v>172</v>
      </c>
      <c r="H1643">
        <v>0</v>
      </c>
      <c r="I1643">
        <v>0</v>
      </c>
      <c r="J1643">
        <v>243.22</v>
      </c>
      <c r="M1643" s="7"/>
    </row>
    <row r="1644" spans="2:13" customFormat="1" x14ac:dyDescent="0.25">
      <c r="B1644" t="s">
        <v>850</v>
      </c>
      <c r="C1644" t="s">
        <v>353</v>
      </c>
      <c r="D1644" t="s">
        <v>891</v>
      </c>
      <c r="E1644" t="s">
        <v>354</v>
      </c>
      <c r="F1644" t="s">
        <v>355</v>
      </c>
      <c r="H1644">
        <v>0</v>
      </c>
      <c r="I1644">
        <v>0</v>
      </c>
      <c r="J1644">
        <v>-61.85</v>
      </c>
      <c r="M1644" s="7"/>
    </row>
    <row r="1645" spans="2:13" customFormat="1" x14ac:dyDescent="0.25">
      <c r="B1645" t="s">
        <v>850</v>
      </c>
      <c r="C1645" t="s">
        <v>95</v>
      </c>
      <c r="D1645" t="s">
        <v>891</v>
      </c>
      <c r="E1645" t="s">
        <v>267</v>
      </c>
      <c r="F1645" t="s">
        <v>173</v>
      </c>
      <c r="H1645">
        <v>0</v>
      </c>
      <c r="I1645">
        <v>0</v>
      </c>
      <c r="J1645">
        <v>-269.26</v>
      </c>
      <c r="M1645" s="7"/>
    </row>
    <row r="1646" spans="2:13" customFormat="1" x14ac:dyDescent="0.25">
      <c r="B1646" t="s">
        <v>850</v>
      </c>
      <c r="C1646" t="s">
        <v>65</v>
      </c>
      <c r="D1646" t="s">
        <v>891</v>
      </c>
      <c r="E1646" t="s">
        <v>269</v>
      </c>
      <c r="F1646" t="s">
        <v>175</v>
      </c>
      <c r="H1646">
        <v>0</v>
      </c>
      <c r="I1646">
        <v>0</v>
      </c>
      <c r="J1646">
        <v>-3425.16</v>
      </c>
      <c r="M1646" s="7"/>
    </row>
    <row r="1647" spans="2:13" customFormat="1" x14ac:dyDescent="0.25">
      <c r="B1647" t="s">
        <v>850</v>
      </c>
      <c r="C1647" t="s">
        <v>97</v>
      </c>
      <c r="D1647" t="s">
        <v>891</v>
      </c>
      <c r="E1647" t="s">
        <v>270</v>
      </c>
      <c r="F1647" t="s">
        <v>176</v>
      </c>
      <c r="H1647">
        <v>0</v>
      </c>
      <c r="I1647">
        <v>245.57</v>
      </c>
      <c r="J1647">
        <v>1157.24</v>
      </c>
      <c r="M1647" s="7"/>
    </row>
    <row r="1648" spans="2:13" customFormat="1" x14ac:dyDescent="0.25">
      <c r="B1648" t="s">
        <v>850</v>
      </c>
      <c r="C1648" t="s">
        <v>66</v>
      </c>
      <c r="D1648" t="s">
        <v>891</v>
      </c>
      <c r="E1648" t="s">
        <v>272</v>
      </c>
      <c r="F1648" t="s">
        <v>178</v>
      </c>
      <c r="H1648">
        <v>0</v>
      </c>
      <c r="I1648">
        <v>0</v>
      </c>
      <c r="J1648">
        <v>329</v>
      </c>
      <c r="M1648" s="7"/>
    </row>
    <row r="1649" spans="2:13" customFormat="1" x14ac:dyDescent="0.25">
      <c r="B1649" t="s">
        <v>850</v>
      </c>
      <c r="C1649" t="s">
        <v>99</v>
      </c>
      <c r="D1649" t="s">
        <v>891</v>
      </c>
      <c r="E1649" t="s">
        <v>273</v>
      </c>
      <c r="F1649" t="s">
        <v>179</v>
      </c>
      <c r="H1649">
        <v>1343.2</v>
      </c>
      <c r="I1649">
        <v>0</v>
      </c>
      <c r="J1649">
        <v>0</v>
      </c>
      <c r="M1649" s="7"/>
    </row>
    <row r="1650" spans="2:13" customFormat="1" x14ac:dyDescent="0.25">
      <c r="B1650" t="s">
        <v>850</v>
      </c>
      <c r="C1650" t="s">
        <v>392</v>
      </c>
      <c r="D1650" t="s">
        <v>891</v>
      </c>
      <c r="E1650" t="s">
        <v>393</v>
      </c>
      <c r="F1650" t="s">
        <v>394</v>
      </c>
      <c r="H1650">
        <v>0</v>
      </c>
      <c r="I1650">
        <v>0</v>
      </c>
      <c r="J1650">
        <v>1147</v>
      </c>
      <c r="M1650" s="7"/>
    </row>
    <row r="1651" spans="2:13" customFormat="1" x14ac:dyDescent="0.25">
      <c r="B1651" t="s">
        <v>850</v>
      </c>
      <c r="C1651" t="s">
        <v>100</v>
      </c>
      <c r="D1651" t="s">
        <v>891</v>
      </c>
      <c r="E1651" t="s">
        <v>274</v>
      </c>
      <c r="F1651" t="s">
        <v>180</v>
      </c>
      <c r="H1651">
        <v>536</v>
      </c>
      <c r="I1651">
        <v>1031.3800000000001</v>
      </c>
      <c r="J1651">
        <v>3610.13</v>
      </c>
      <c r="M1651" s="7"/>
    </row>
    <row r="1652" spans="2:13" customFormat="1" x14ac:dyDescent="0.25">
      <c r="B1652" t="s">
        <v>850</v>
      </c>
      <c r="C1652" t="s">
        <v>101</v>
      </c>
      <c r="D1652" t="s">
        <v>891</v>
      </c>
      <c r="E1652" t="s">
        <v>275</v>
      </c>
      <c r="F1652" t="s">
        <v>181</v>
      </c>
      <c r="H1652">
        <v>0</v>
      </c>
      <c r="I1652">
        <v>290</v>
      </c>
      <c r="J1652">
        <v>290</v>
      </c>
      <c r="M1652" s="7"/>
    </row>
    <row r="1653" spans="2:13" customFormat="1" x14ac:dyDescent="0.25">
      <c r="B1653" t="s">
        <v>850</v>
      </c>
      <c r="C1653" t="s">
        <v>67</v>
      </c>
      <c r="D1653" t="s">
        <v>891</v>
      </c>
      <c r="E1653" t="s">
        <v>276</v>
      </c>
      <c r="F1653" t="s">
        <v>182</v>
      </c>
      <c r="H1653">
        <v>0</v>
      </c>
      <c r="I1653">
        <v>844.27</v>
      </c>
      <c r="J1653">
        <v>5494.27</v>
      </c>
      <c r="M1653" s="7"/>
    </row>
    <row r="1654" spans="2:13" customFormat="1" x14ac:dyDescent="0.25">
      <c r="B1654" t="s">
        <v>850</v>
      </c>
      <c r="C1654" t="s">
        <v>497</v>
      </c>
      <c r="D1654" t="s">
        <v>891</v>
      </c>
      <c r="E1654" t="s">
        <v>498</v>
      </c>
      <c r="F1654" t="s">
        <v>499</v>
      </c>
      <c r="H1654">
        <v>0</v>
      </c>
      <c r="I1654">
        <v>1749.62</v>
      </c>
      <c r="J1654">
        <v>1749.62</v>
      </c>
      <c r="M1654" s="7"/>
    </row>
    <row r="1655" spans="2:13" customFormat="1" x14ac:dyDescent="0.25">
      <c r="B1655" t="s">
        <v>850</v>
      </c>
      <c r="C1655" t="s">
        <v>102</v>
      </c>
      <c r="D1655" t="s">
        <v>891</v>
      </c>
      <c r="E1655" t="s">
        <v>277</v>
      </c>
      <c r="F1655" t="s">
        <v>183</v>
      </c>
      <c r="H1655">
        <v>0</v>
      </c>
      <c r="I1655">
        <v>0</v>
      </c>
      <c r="J1655">
        <v>8659.92</v>
      </c>
      <c r="M1655" s="7"/>
    </row>
    <row r="1656" spans="2:13" customFormat="1" x14ac:dyDescent="0.25">
      <c r="B1656" t="s">
        <v>850</v>
      </c>
      <c r="C1656" t="s">
        <v>103</v>
      </c>
      <c r="D1656" t="s">
        <v>891</v>
      </c>
      <c r="E1656" t="s">
        <v>278</v>
      </c>
      <c r="F1656" t="s">
        <v>184</v>
      </c>
      <c r="H1656">
        <v>0</v>
      </c>
      <c r="I1656">
        <v>280</v>
      </c>
      <c r="J1656">
        <v>280</v>
      </c>
      <c r="M1656" s="7"/>
    </row>
    <row r="1657" spans="2:13" customFormat="1" x14ac:dyDescent="0.25">
      <c r="B1657" t="s">
        <v>850</v>
      </c>
      <c r="C1657" t="s">
        <v>68</v>
      </c>
      <c r="D1657" t="s">
        <v>891</v>
      </c>
      <c r="E1657" t="s">
        <v>279</v>
      </c>
      <c r="F1657" t="s">
        <v>185</v>
      </c>
      <c r="H1657">
        <v>0</v>
      </c>
      <c r="I1657">
        <v>0</v>
      </c>
      <c r="J1657">
        <v>1384.39</v>
      </c>
      <c r="M1657" s="7"/>
    </row>
    <row r="1658" spans="2:13" customFormat="1" x14ac:dyDescent="0.25">
      <c r="B1658" t="s">
        <v>850</v>
      </c>
      <c r="C1658" t="s">
        <v>395</v>
      </c>
      <c r="D1658" t="s">
        <v>891</v>
      </c>
      <c r="E1658" t="s">
        <v>396</v>
      </c>
      <c r="F1658" t="s">
        <v>397</v>
      </c>
      <c r="H1658">
        <v>0</v>
      </c>
      <c r="I1658">
        <v>5326.66</v>
      </c>
      <c r="J1658">
        <v>10132.9</v>
      </c>
      <c r="M1658" s="7"/>
    </row>
    <row r="1659" spans="2:13" customFormat="1" x14ac:dyDescent="0.25">
      <c r="B1659" t="s">
        <v>850</v>
      </c>
      <c r="C1659" t="s">
        <v>104</v>
      </c>
      <c r="D1659" t="s">
        <v>891</v>
      </c>
      <c r="E1659" t="s">
        <v>280</v>
      </c>
      <c r="F1659" t="s">
        <v>186</v>
      </c>
      <c r="H1659">
        <v>0</v>
      </c>
      <c r="I1659">
        <v>5170.3999999999996</v>
      </c>
      <c r="J1659">
        <v>5726.36</v>
      </c>
      <c r="M1659" s="7"/>
    </row>
    <row r="1660" spans="2:13" customFormat="1" x14ac:dyDescent="0.25">
      <c r="B1660" t="s">
        <v>850</v>
      </c>
      <c r="C1660" t="s">
        <v>356</v>
      </c>
      <c r="D1660" t="s">
        <v>891</v>
      </c>
      <c r="E1660" t="s">
        <v>357</v>
      </c>
      <c r="F1660" t="s">
        <v>358</v>
      </c>
      <c r="H1660">
        <v>0</v>
      </c>
      <c r="I1660">
        <v>742.4</v>
      </c>
      <c r="J1660">
        <v>742.4</v>
      </c>
      <c r="M1660" s="7"/>
    </row>
    <row r="1661" spans="2:13" customFormat="1" x14ac:dyDescent="0.25">
      <c r="B1661" t="s">
        <v>850</v>
      </c>
      <c r="C1661" t="s">
        <v>105</v>
      </c>
      <c r="D1661" t="s">
        <v>891</v>
      </c>
      <c r="E1661" t="s">
        <v>281</v>
      </c>
      <c r="F1661" t="s">
        <v>187</v>
      </c>
      <c r="H1661">
        <v>0</v>
      </c>
      <c r="I1661">
        <v>464.74</v>
      </c>
      <c r="J1661">
        <v>2667.27</v>
      </c>
      <c r="M1661" s="7"/>
    </row>
    <row r="1662" spans="2:13" customFormat="1" x14ac:dyDescent="0.25">
      <c r="B1662" t="s">
        <v>850</v>
      </c>
      <c r="C1662" t="s">
        <v>107</v>
      </c>
      <c r="D1662" t="s">
        <v>891</v>
      </c>
      <c r="E1662" t="s">
        <v>283</v>
      </c>
      <c r="F1662" t="s">
        <v>189</v>
      </c>
      <c r="H1662">
        <v>958.86</v>
      </c>
      <c r="I1662">
        <v>10366</v>
      </c>
      <c r="J1662">
        <v>9407.14</v>
      </c>
      <c r="M1662" s="7"/>
    </row>
    <row r="1663" spans="2:13" customFormat="1" x14ac:dyDescent="0.25">
      <c r="B1663" t="s">
        <v>850</v>
      </c>
      <c r="C1663" t="s">
        <v>359</v>
      </c>
      <c r="D1663" t="s">
        <v>891</v>
      </c>
      <c r="E1663" t="s">
        <v>360</v>
      </c>
      <c r="F1663" t="s">
        <v>361</v>
      </c>
      <c r="H1663">
        <v>0</v>
      </c>
      <c r="I1663">
        <v>123.76</v>
      </c>
      <c r="J1663">
        <v>123.76</v>
      </c>
      <c r="M1663" s="7"/>
    </row>
    <row r="1664" spans="2:13" customFormat="1" x14ac:dyDescent="0.25">
      <c r="B1664" t="s">
        <v>850</v>
      </c>
      <c r="C1664" t="s">
        <v>69</v>
      </c>
      <c r="D1664" t="s">
        <v>891</v>
      </c>
      <c r="E1664" t="s">
        <v>284</v>
      </c>
      <c r="F1664" t="s">
        <v>190</v>
      </c>
      <c r="H1664">
        <v>0</v>
      </c>
      <c r="I1664">
        <v>197.5</v>
      </c>
      <c r="J1664">
        <v>574.91999999999996</v>
      </c>
      <c r="M1664" s="7"/>
    </row>
    <row r="1665" spans="2:13" customFormat="1" x14ac:dyDescent="0.25">
      <c r="B1665" t="s">
        <v>850</v>
      </c>
      <c r="C1665" t="s">
        <v>108</v>
      </c>
      <c r="D1665" t="s">
        <v>891</v>
      </c>
      <c r="E1665" t="s">
        <v>285</v>
      </c>
      <c r="F1665" t="s">
        <v>191</v>
      </c>
      <c r="H1665">
        <v>0</v>
      </c>
      <c r="I1665">
        <v>0</v>
      </c>
      <c r="J1665">
        <v>240</v>
      </c>
      <c r="M1665" s="7"/>
    </row>
    <row r="1666" spans="2:13" customFormat="1" x14ac:dyDescent="0.25">
      <c r="B1666" t="s">
        <v>850</v>
      </c>
      <c r="C1666" t="s">
        <v>70</v>
      </c>
      <c r="D1666" t="s">
        <v>891</v>
      </c>
      <c r="E1666" t="s">
        <v>286</v>
      </c>
      <c r="F1666" t="s">
        <v>192</v>
      </c>
      <c r="H1666">
        <v>0</v>
      </c>
      <c r="I1666">
        <v>940</v>
      </c>
      <c r="J1666">
        <v>9533</v>
      </c>
      <c r="M1666" s="7"/>
    </row>
    <row r="1667" spans="2:13" customFormat="1" x14ac:dyDescent="0.25">
      <c r="B1667" t="s">
        <v>850</v>
      </c>
      <c r="C1667" t="s">
        <v>109</v>
      </c>
      <c r="D1667" t="s">
        <v>891</v>
      </c>
      <c r="E1667" t="s">
        <v>287</v>
      </c>
      <c r="F1667" t="s">
        <v>193</v>
      </c>
      <c r="H1667">
        <v>0</v>
      </c>
      <c r="I1667">
        <v>4766.18</v>
      </c>
      <c r="J1667">
        <v>11446.18</v>
      </c>
      <c r="M1667" s="7"/>
    </row>
    <row r="1668" spans="2:13" customFormat="1" x14ac:dyDescent="0.25">
      <c r="B1668" t="s">
        <v>850</v>
      </c>
      <c r="C1668" t="s">
        <v>110</v>
      </c>
      <c r="D1668" t="s">
        <v>891</v>
      </c>
      <c r="E1668" t="s">
        <v>288</v>
      </c>
      <c r="F1668" t="s">
        <v>194</v>
      </c>
      <c r="H1668">
        <v>0</v>
      </c>
      <c r="I1668">
        <v>0</v>
      </c>
      <c r="J1668">
        <v>550</v>
      </c>
      <c r="M1668" s="7"/>
    </row>
    <row r="1669" spans="2:13" customFormat="1" x14ac:dyDescent="0.25">
      <c r="B1669" t="s">
        <v>850</v>
      </c>
      <c r="C1669" t="s">
        <v>437</v>
      </c>
      <c r="D1669" t="s">
        <v>891</v>
      </c>
      <c r="E1669" t="s">
        <v>438</v>
      </c>
      <c r="F1669" t="s">
        <v>439</v>
      </c>
      <c r="H1669">
        <v>0</v>
      </c>
      <c r="I1669">
        <v>0</v>
      </c>
      <c r="J1669">
        <v>824.54</v>
      </c>
      <c r="M1669" s="7"/>
    </row>
    <row r="1670" spans="2:13" customFormat="1" x14ac:dyDescent="0.25">
      <c r="B1670" t="s">
        <v>850</v>
      </c>
      <c r="C1670" t="s">
        <v>111</v>
      </c>
      <c r="D1670" t="s">
        <v>891</v>
      </c>
      <c r="E1670" t="s">
        <v>289</v>
      </c>
      <c r="F1670" t="s">
        <v>195</v>
      </c>
      <c r="H1670">
        <v>0</v>
      </c>
      <c r="I1670">
        <v>0</v>
      </c>
      <c r="J1670">
        <v>7168.87</v>
      </c>
      <c r="M1670" s="7"/>
    </row>
    <row r="1671" spans="2:13" customFormat="1" x14ac:dyDescent="0.25">
      <c r="B1671" t="s">
        <v>850</v>
      </c>
      <c r="C1671" t="s">
        <v>203</v>
      </c>
      <c r="D1671" t="s">
        <v>891</v>
      </c>
      <c r="E1671" t="s">
        <v>297</v>
      </c>
      <c r="F1671" t="s">
        <v>204</v>
      </c>
      <c r="H1671">
        <v>0</v>
      </c>
      <c r="I1671">
        <v>0</v>
      </c>
      <c r="J1671">
        <v>112.6</v>
      </c>
      <c r="M1671" s="7"/>
    </row>
    <row r="1672" spans="2:13" customFormat="1" x14ac:dyDescent="0.25">
      <c r="B1672" t="s">
        <v>850</v>
      </c>
      <c r="C1672" t="s">
        <v>398</v>
      </c>
      <c r="D1672" t="s">
        <v>891</v>
      </c>
      <c r="E1672" t="s">
        <v>399</v>
      </c>
      <c r="F1672" t="s">
        <v>400</v>
      </c>
      <c r="H1672">
        <v>0</v>
      </c>
      <c r="I1672">
        <v>0</v>
      </c>
      <c r="J1672">
        <v>55079.01</v>
      </c>
      <c r="M1672" s="7"/>
    </row>
    <row r="1673" spans="2:13" customFormat="1" x14ac:dyDescent="0.25">
      <c r="B1673" t="s">
        <v>850</v>
      </c>
      <c r="C1673" t="s">
        <v>443</v>
      </c>
      <c r="D1673" t="s">
        <v>891</v>
      </c>
      <c r="E1673" t="s">
        <v>444</v>
      </c>
      <c r="F1673" t="s">
        <v>445</v>
      </c>
      <c r="H1673">
        <v>0</v>
      </c>
      <c r="I1673">
        <v>58.33</v>
      </c>
      <c r="J1673">
        <v>58.33</v>
      </c>
      <c r="M1673" s="7"/>
    </row>
    <row r="1674" spans="2:13" customFormat="1" x14ac:dyDescent="0.25">
      <c r="B1674" t="s">
        <v>850</v>
      </c>
      <c r="C1674" t="s">
        <v>563</v>
      </c>
      <c r="D1674" t="s">
        <v>891</v>
      </c>
      <c r="E1674" t="s">
        <v>564</v>
      </c>
      <c r="F1674" t="s">
        <v>565</v>
      </c>
      <c r="H1674">
        <v>0</v>
      </c>
      <c r="I1674">
        <v>0</v>
      </c>
      <c r="J1674">
        <v>840</v>
      </c>
      <c r="M1674" s="7"/>
    </row>
    <row r="1675" spans="2:13" customFormat="1" x14ac:dyDescent="0.25">
      <c r="B1675" t="s">
        <v>850</v>
      </c>
      <c r="C1675" t="s">
        <v>401</v>
      </c>
      <c r="D1675" t="s">
        <v>891</v>
      </c>
      <c r="E1675" t="s">
        <v>402</v>
      </c>
      <c r="F1675" t="s">
        <v>403</v>
      </c>
      <c r="H1675">
        <v>0</v>
      </c>
      <c r="I1675">
        <v>0</v>
      </c>
      <c r="J1675">
        <v>1266.52</v>
      </c>
      <c r="M1675" s="7"/>
    </row>
    <row r="1676" spans="2:13" customFormat="1" x14ac:dyDescent="0.25">
      <c r="B1676" t="s">
        <v>850</v>
      </c>
      <c r="C1676" t="s">
        <v>566</v>
      </c>
      <c r="D1676" t="s">
        <v>891</v>
      </c>
      <c r="E1676" t="s">
        <v>567</v>
      </c>
      <c r="F1676" t="s">
        <v>568</v>
      </c>
      <c r="H1676">
        <v>0</v>
      </c>
      <c r="I1676">
        <v>0</v>
      </c>
      <c r="J1676">
        <v>950</v>
      </c>
      <c r="M1676" s="7"/>
    </row>
    <row r="1677" spans="2:13" customFormat="1" x14ac:dyDescent="0.25">
      <c r="B1677" t="s">
        <v>850</v>
      </c>
      <c r="C1677" t="s">
        <v>407</v>
      </c>
      <c r="D1677" t="s">
        <v>891</v>
      </c>
      <c r="E1677" t="s">
        <v>408</v>
      </c>
      <c r="F1677" t="s">
        <v>409</v>
      </c>
      <c r="H1677">
        <v>0</v>
      </c>
      <c r="I1677">
        <v>0</v>
      </c>
      <c r="J1677">
        <v>5340</v>
      </c>
      <c r="M1677" s="7"/>
    </row>
    <row r="1678" spans="2:13" customFormat="1" x14ac:dyDescent="0.25">
      <c r="B1678" t="s">
        <v>850</v>
      </c>
      <c r="C1678" t="s">
        <v>569</v>
      </c>
      <c r="D1678" t="s">
        <v>891</v>
      </c>
      <c r="E1678" t="s">
        <v>570</v>
      </c>
      <c r="F1678" t="s">
        <v>571</v>
      </c>
      <c r="H1678">
        <v>0</v>
      </c>
      <c r="I1678">
        <v>0</v>
      </c>
      <c r="J1678">
        <v>47.64</v>
      </c>
      <c r="M1678" s="7"/>
    </row>
    <row r="1679" spans="2:13" customFormat="1" x14ac:dyDescent="0.25">
      <c r="B1679" t="s">
        <v>850</v>
      </c>
      <c r="C1679" t="s">
        <v>71</v>
      </c>
      <c r="D1679" t="s">
        <v>891</v>
      </c>
      <c r="E1679" t="s">
        <v>291</v>
      </c>
      <c r="F1679" t="s">
        <v>197</v>
      </c>
      <c r="H1679">
        <v>0</v>
      </c>
      <c r="I1679">
        <v>295.87</v>
      </c>
      <c r="J1679">
        <v>853.14</v>
      </c>
      <c r="M1679" s="7"/>
    </row>
    <row r="1680" spans="2:13" customFormat="1" x14ac:dyDescent="0.25">
      <c r="B1680" t="s">
        <v>850</v>
      </c>
      <c r="C1680" t="s">
        <v>72</v>
      </c>
      <c r="D1680" t="s">
        <v>891</v>
      </c>
      <c r="E1680" t="s">
        <v>292</v>
      </c>
      <c r="F1680" t="s">
        <v>198</v>
      </c>
      <c r="H1680">
        <v>0</v>
      </c>
      <c r="I1680">
        <v>876.89</v>
      </c>
      <c r="J1680">
        <v>1750.13</v>
      </c>
      <c r="M1680" s="7"/>
    </row>
    <row r="1681" spans="2:13" customFormat="1" x14ac:dyDescent="0.25">
      <c r="B1681" t="s">
        <v>850</v>
      </c>
      <c r="C1681" t="s">
        <v>73</v>
      </c>
      <c r="D1681" t="s">
        <v>891</v>
      </c>
      <c r="E1681" t="s">
        <v>293</v>
      </c>
      <c r="F1681" t="s">
        <v>199</v>
      </c>
      <c r="H1681">
        <v>312.38</v>
      </c>
      <c r="I1681">
        <v>642.67999999999995</v>
      </c>
      <c r="J1681">
        <v>-9415.5499999999993</v>
      </c>
      <c r="M1681" s="7"/>
    </row>
    <row r="1682" spans="2:13" customFormat="1" x14ac:dyDescent="0.25">
      <c r="B1682" t="s">
        <v>850</v>
      </c>
      <c r="C1682" t="s">
        <v>74</v>
      </c>
      <c r="D1682" t="s">
        <v>891</v>
      </c>
      <c r="E1682" t="s">
        <v>294</v>
      </c>
      <c r="F1682" t="s">
        <v>200</v>
      </c>
      <c r="H1682">
        <v>0</v>
      </c>
      <c r="I1682">
        <v>4948.84</v>
      </c>
      <c r="J1682">
        <v>7053.44</v>
      </c>
      <c r="M1682" s="7"/>
    </row>
    <row r="1683" spans="2:13" customFormat="1" x14ac:dyDescent="0.25">
      <c r="B1683" t="s">
        <v>850</v>
      </c>
      <c r="C1683" t="s">
        <v>613</v>
      </c>
      <c r="D1683" t="s">
        <v>891</v>
      </c>
      <c r="E1683" t="s">
        <v>614</v>
      </c>
      <c r="F1683" t="s">
        <v>615</v>
      </c>
      <c r="H1683">
        <v>0</v>
      </c>
      <c r="I1683">
        <v>0</v>
      </c>
      <c r="J1683">
        <v>-470.4</v>
      </c>
      <c r="M1683" s="7"/>
    </row>
    <row r="1684" spans="2:13" customFormat="1" x14ac:dyDescent="0.25">
      <c r="B1684" t="s">
        <v>851</v>
      </c>
      <c r="C1684" t="s">
        <v>26</v>
      </c>
      <c r="D1684" t="s">
        <v>891</v>
      </c>
      <c r="E1684" t="s">
        <v>211</v>
      </c>
      <c r="F1684" t="s">
        <v>116</v>
      </c>
      <c r="H1684">
        <v>88477.96</v>
      </c>
      <c r="I1684">
        <v>88477.96</v>
      </c>
      <c r="J1684">
        <v>0</v>
      </c>
      <c r="M1684" s="7"/>
    </row>
    <row r="1685" spans="2:13" customFormat="1" x14ac:dyDescent="0.25">
      <c r="B1685" t="s">
        <v>851</v>
      </c>
      <c r="C1685" t="s">
        <v>27</v>
      </c>
      <c r="D1685" t="s">
        <v>891</v>
      </c>
      <c r="E1685" t="s">
        <v>212</v>
      </c>
      <c r="F1685" t="s">
        <v>117</v>
      </c>
      <c r="H1685">
        <v>12469.32</v>
      </c>
      <c r="I1685">
        <v>9787.1200000000008</v>
      </c>
      <c r="J1685">
        <v>2179.5300000000002</v>
      </c>
      <c r="M1685" s="7"/>
    </row>
    <row r="1686" spans="2:13" customFormat="1" x14ac:dyDescent="0.25">
      <c r="B1686" t="s">
        <v>851</v>
      </c>
      <c r="C1686" t="s">
        <v>28</v>
      </c>
      <c r="D1686" t="s">
        <v>891</v>
      </c>
      <c r="E1686" t="s">
        <v>213</v>
      </c>
      <c r="F1686" t="s">
        <v>118</v>
      </c>
      <c r="H1686">
        <v>60028.480000000003</v>
      </c>
      <c r="I1686">
        <v>64137.19</v>
      </c>
      <c r="J1686">
        <v>1479.25</v>
      </c>
      <c r="M1686" s="7"/>
    </row>
    <row r="1687" spans="2:13" customFormat="1" x14ac:dyDescent="0.25">
      <c r="B1687" t="s">
        <v>851</v>
      </c>
      <c r="C1687" t="s">
        <v>29</v>
      </c>
      <c r="D1687" t="s">
        <v>891</v>
      </c>
      <c r="E1687" t="s">
        <v>214</v>
      </c>
      <c r="F1687" t="s">
        <v>119</v>
      </c>
      <c r="H1687">
        <v>102257.87</v>
      </c>
      <c r="I1687">
        <v>89886.04</v>
      </c>
      <c r="J1687">
        <v>2183</v>
      </c>
      <c r="M1687" s="7"/>
    </row>
    <row r="1688" spans="2:13" customFormat="1" x14ac:dyDescent="0.25">
      <c r="B1688" t="s">
        <v>851</v>
      </c>
      <c r="C1688" t="s">
        <v>30</v>
      </c>
      <c r="D1688" t="s">
        <v>891</v>
      </c>
      <c r="E1688" t="s">
        <v>215</v>
      </c>
      <c r="F1688" t="s">
        <v>120</v>
      </c>
      <c r="H1688">
        <v>688038.85</v>
      </c>
      <c r="I1688">
        <v>671091.66</v>
      </c>
      <c r="J1688">
        <v>78258.98</v>
      </c>
      <c r="M1688" s="7"/>
    </row>
    <row r="1689" spans="2:13" customFormat="1" x14ac:dyDescent="0.25">
      <c r="B1689" t="s">
        <v>851</v>
      </c>
      <c r="C1689" t="s">
        <v>81</v>
      </c>
      <c r="D1689" t="s">
        <v>891</v>
      </c>
      <c r="E1689" t="s">
        <v>216</v>
      </c>
      <c r="F1689" t="s">
        <v>121</v>
      </c>
      <c r="H1689">
        <v>80000</v>
      </c>
      <c r="I1689">
        <v>27976.23</v>
      </c>
      <c r="J1689">
        <v>40005.440000000002</v>
      </c>
      <c r="M1689" s="7"/>
    </row>
    <row r="1690" spans="2:13" customFormat="1" x14ac:dyDescent="0.25">
      <c r="B1690" t="s">
        <v>851</v>
      </c>
      <c r="C1690" t="s">
        <v>31</v>
      </c>
      <c r="D1690" t="s">
        <v>891</v>
      </c>
      <c r="E1690" t="s">
        <v>217</v>
      </c>
      <c r="F1690" t="s">
        <v>122</v>
      </c>
      <c r="H1690">
        <v>574892.47</v>
      </c>
      <c r="I1690">
        <v>574892.47</v>
      </c>
      <c r="J1690">
        <v>0</v>
      </c>
      <c r="M1690" s="7"/>
    </row>
    <row r="1691" spans="2:13" customFormat="1" x14ac:dyDescent="0.25">
      <c r="B1691" t="s">
        <v>851</v>
      </c>
      <c r="C1691" t="s">
        <v>32</v>
      </c>
      <c r="D1691" t="s">
        <v>891</v>
      </c>
      <c r="E1691" t="s">
        <v>218</v>
      </c>
      <c r="F1691" t="s">
        <v>123</v>
      </c>
      <c r="H1691">
        <v>13277.05</v>
      </c>
      <c r="I1691">
        <v>7500</v>
      </c>
      <c r="J1691">
        <v>7500</v>
      </c>
      <c r="M1691" s="7"/>
    </row>
    <row r="1692" spans="2:13" customFormat="1" x14ac:dyDescent="0.25">
      <c r="B1692" t="s">
        <v>851</v>
      </c>
      <c r="C1692" t="s">
        <v>33</v>
      </c>
      <c r="D1692" t="s">
        <v>891</v>
      </c>
      <c r="E1692" t="s">
        <v>219</v>
      </c>
      <c r="F1692" t="s">
        <v>124</v>
      </c>
      <c r="H1692">
        <v>144684.48000000001</v>
      </c>
      <c r="I1692">
        <v>143293.37</v>
      </c>
      <c r="J1692">
        <v>32874.83</v>
      </c>
      <c r="M1692" s="7"/>
    </row>
    <row r="1693" spans="2:13" customFormat="1" x14ac:dyDescent="0.25">
      <c r="B1693" t="s">
        <v>851</v>
      </c>
      <c r="C1693" t="s">
        <v>34</v>
      </c>
      <c r="D1693" t="s">
        <v>891</v>
      </c>
      <c r="E1693" t="s">
        <v>220</v>
      </c>
      <c r="F1693" t="s">
        <v>125</v>
      </c>
      <c r="H1693">
        <v>184968.24</v>
      </c>
      <c r="I1693">
        <v>226647.24</v>
      </c>
      <c r="J1693">
        <v>174223.28</v>
      </c>
      <c r="M1693" s="7"/>
    </row>
    <row r="1694" spans="2:13" customFormat="1" x14ac:dyDescent="0.25">
      <c r="B1694" t="s">
        <v>851</v>
      </c>
      <c r="C1694" t="s">
        <v>205</v>
      </c>
      <c r="D1694" t="s">
        <v>891</v>
      </c>
      <c r="E1694" t="s">
        <v>298</v>
      </c>
      <c r="F1694" t="s">
        <v>206</v>
      </c>
      <c r="H1694">
        <v>34646.339999999997</v>
      </c>
      <c r="I1694">
        <v>45593.9</v>
      </c>
      <c r="J1694">
        <v>45717.87</v>
      </c>
      <c r="M1694" s="7"/>
    </row>
    <row r="1695" spans="2:13" customFormat="1" x14ac:dyDescent="0.25">
      <c r="B1695" t="s">
        <v>851</v>
      </c>
      <c r="C1695" t="s">
        <v>301</v>
      </c>
      <c r="D1695" t="s">
        <v>891</v>
      </c>
      <c r="E1695" t="s">
        <v>302</v>
      </c>
      <c r="F1695" t="s">
        <v>303</v>
      </c>
      <c r="H1695">
        <v>10302.32</v>
      </c>
      <c r="I1695">
        <v>10302.32</v>
      </c>
      <c r="J1695">
        <v>0</v>
      </c>
      <c r="M1695" s="7"/>
    </row>
    <row r="1696" spans="2:13" customFormat="1" x14ac:dyDescent="0.25">
      <c r="B1696" t="s">
        <v>851</v>
      </c>
      <c r="C1696" t="s">
        <v>35</v>
      </c>
      <c r="D1696" t="s">
        <v>891</v>
      </c>
      <c r="E1696" t="s">
        <v>221</v>
      </c>
      <c r="F1696" t="s">
        <v>127</v>
      </c>
      <c r="H1696">
        <v>3802.76</v>
      </c>
      <c r="I1696">
        <v>2063.62</v>
      </c>
      <c r="J1696">
        <v>12471.59</v>
      </c>
      <c r="M1696" s="7"/>
    </row>
    <row r="1697" spans="2:13" customFormat="1" x14ac:dyDescent="0.25">
      <c r="B1697" t="s">
        <v>851</v>
      </c>
      <c r="C1697" t="s">
        <v>36</v>
      </c>
      <c r="D1697" t="s">
        <v>891</v>
      </c>
      <c r="E1697" t="s">
        <v>222</v>
      </c>
      <c r="F1697" t="s">
        <v>128</v>
      </c>
      <c r="H1697">
        <v>1350.23</v>
      </c>
      <c r="I1697">
        <v>840.98</v>
      </c>
      <c r="J1697">
        <v>10298.86</v>
      </c>
      <c r="M1697" s="7"/>
    </row>
    <row r="1698" spans="2:13" customFormat="1" x14ac:dyDescent="0.25">
      <c r="B1698" t="s">
        <v>851</v>
      </c>
      <c r="C1698" t="s">
        <v>37</v>
      </c>
      <c r="D1698" t="s">
        <v>891</v>
      </c>
      <c r="E1698" t="s">
        <v>223</v>
      </c>
      <c r="F1698" t="s">
        <v>129</v>
      </c>
      <c r="H1698">
        <v>6219.28</v>
      </c>
      <c r="I1698">
        <v>3873.61</v>
      </c>
      <c r="J1698">
        <v>47415.1</v>
      </c>
      <c r="M1698" s="7"/>
    </row>
    <row r="1699" spans="2:13" customFormat="1" x14ac:dyDescent="0.25">
      <c r="B1699" t="s">
        <v>851</v>
      </c>
      <c r="C1699" t="s">
        <v>413</v>
      </c>
      <c r="D1699" t="s">
        <v>891</v>
      </c>
      <c r="E1699" t="s">
        <v>414</v>
      </c>
      <c r="F1699" t="s">
        <v>415</v>
      </c>
      <c r="H1699">
        <v>0</v>
      </c>
      <c r="I1699">
        <v>0</v>
      </c>
      <c r="J1699">
        <v>0.1</v>
      </c>
      <c r="M1699" s="7"/>
    </row>
    <row r="1700" spans="2:13" customFormat="1" x14ac:dyDescent="0.25">
      <c r="B1700" t="s">
        <v>851</v>
      </c>
      <c r="C1700" t="s">
        <v>304</v>
      </c>
      <c r="D1700" t="s">
        <v>891</v>
      </c>
      <c r="E1700" t="s">
        <v>305</v>
      </c>
      <c r="F1700" t="s">
        <v>306</v>
      </c>
      <c r="H1700">
        <v>468117.87</v>
      </c>
      <c r="I1700">
        <v>431548.4</v>
      </c>
      <c r="J1700">
        <v>76457.86</v>
      </c>
      <c r="M1700" s="7"/>
    </row>
    <row r="1701" spans="2:13" customFormat="1" x14ac:dyDescent="0.25">
      <c r="B1701" t="s">
        <v>851</v>
      </c>
      <c r="C1701" t="s">
        <v>38</v>
      </c>
      <c r="D1701" t="s">
        <v>891</v>
      </c>
      <c r="E1701" t="s">
        <v>224</v>
      </c>
      <c r="F1701" t="s">
        <v>130</v>
      </c>
      <c r="H1701">
        <v>44617.41</v>
      </c>
      <c r="I1701">
        <v>47738.09</v>
      </c>
      <c r="J1701">
        <v>90923.08</v>
      </c>
      <c r="M1701" s="7"/>
    </row>
    <row r="1702" spans="2:13" customFormat="1" x14ac:dyDescent="0.25">
      <c r="B1702" t="s">
        <v>851</v>
      </c>
      <c r="C1702" t="s">
        <v>39</v>
      </c>
      <c r="D1702" t="s">
        <v>891</v>
      </c>
      <c r="E1702" t="s">
        <v>225</v>
      </c>
      <c r="F1702" t="s">
        <v>131</v>
      </c>
      <c r="H1702">
        <v>1081.57</v>
      </c>
      <c r="I1702">
        <v>0</v>
      </c>
      <c r="J1702">
        <v>16465.59</v>
      </c>
      <c r="M1702" s="7"/>
    </row>
    <row r="1703" spans="2:13" customFormat="1" x14ac:dyDescent="0.25">
      <c r="B1703" t="s">
        <v>851</v>
      </c>
      <c r="C1703" t="s">
        <v>82</v>
      </c>
      <c r="D1703" t="s">
        <v>891</v>
      </c>
      <c r="E1703" t="s">
        <v>226</v>
      </c>
      <c r="F1703" t="s">
        <v>132</v>
      </c>
      <c r="H1703">
        <v>0</v>
      </c>
      <c r="I1703">
        <v>0</v>
      </c>
      <c r="J1703">
        <v>-19851</v>
      </c>
      <c r="M1703" s="7"/>
    </row>
    <row r="1704" spans="2:13" customFormat="1" x14ac:dyDescent="0.25">
      <c r="B1704" t="s">
        <v>851</v>
      </c>
      <c r="C1704" t="s">
        <v>455</v>
      </c>
      <c r="D1704" t="s">
        <v>891</v>
      </c>
      <c r="E1704" t="s">
        <v>456</v>
      </c>
      <c r="F1704" t="s">
        <v>457</v>
      </c>
      <c r="H1704">
        <v>0</v>
      </c>
      <c r="I1704">
        <v>0</v>
      </c>
      <c r="J1704">
        <v>11041.5</v>
      </c>
      <c r="M1704" s="7"/>
    </row>
    <row r="1705" spans="2:13" customFormat="1" x14ac:dyDescent="0.25">
      <c r="B1705" t="s">
        <v>851</v>
      </c>
      <c r="C1705" t="s">
        <v>416</v>
      </c>
      <c r="D1705" t="s">
        <v>891</v>
      </c>
      <c r="E1705" t="s">
        <v>417</v>
      </c>
      <c r="F1705" t="s">
        <v>418</v>
      </c>
      <c r="H1705">
        <v>0</v>
      </c>
      <c r="I1705">
        <v>0</v>
      </c>
      <c r="J1705">
        <v>40139.199999999997</v>
      </c>
      <c r="M1705" s="7"/>
    </row>
    <row r="1706" spans="2:13" customFormat="1" x14ac:dyDescent="0.25">
      <c r="B1706" t="s">
        <v>851</v>
      </c>
      <c r="C1706" t="s">
        <v>458</v>
      </c>
      <c r="D1706" t="s">
        <v>891</v>
      </c>
      <c r="E1706" t="s">
        <v>459</v>
      </c>
      <c r="F1706" t="s">
        <v>460</v>
      </c>
      <c r="H1706">
        <v>0</v>
      </c>
      <c r="I1706">
        <v>0</v>
      </c>
      <c r="J1706">
        <v>11632.76</v>
      </c>
      <c r="M1706" s="7"/>
    </row>
    <row r="1707" spans="2:13" customFormat="1" x14ac:dyDescent="0.25">
      <c r="B1707" t="s">
        <v>851</v>
      </c>
      <c r="C1707" t="s">
        <v>515</v>
      </c>
      <c r="D1707" t="s">
        <v>891</v>
      </c>
      <c r="E1707" t="s">
        <v>516</v>
      </c>
      <c r="F1707" t="s">
        <v>517</v>
      </c>
      <c r="H1707">
        <v>0</v>
      </c>
      <c r="I1707">
        <v>0</v>
      </c>
      <c r="J1707">
        <v>1500</v>
      </c>
      <c r="M1707" s="7"/>
    </row>
    <row r="1708" spans="2:13" customFormat="1" x14ac:dyDescent="0.25">
      <c r="B1708" t="s">
        <v>851</v>
      </c>
      <c r="C1708" t="s">
        <v>461</v>
      </c>
      <c r="D1708" t="s">
        <v>891</v>
      </c>
      <c r="E1708" t="s">
        <v>462</v>
      </c>
      <c r="F1708" t="s">
        <v>463</v>
      </c>
      <c r="H1708">
        <v>0</v>
      </c>
      <c r="I1708">
        <v>0</v>
      </c>
      <c r="J1708">
        <v>5120.2299999999996</v>
      </c>
      <c r="M1708" s="7"/>
    </row>
    <row r="1709" spans="2:13" customFormat="1" x14ac:dyDescent="0.25">
      <c r="B1709" t="s">
        <v>851</v>
      </c>
      <c r="C1709" t="s">
        <v>464</v>
      </c>
      <c r="D1709" t="s">
        <v>891</v>
      </c>
      <c r="E1709" t="s">
        <v>465</v>
      </c>
      <c r="F1709" t="s">
        <v>466</v>
      </c>
      <c r="H1709">
        <v>0</v>
      </c>
      <c r="I1709">
        <v>75411.06</v>
      </c>
      <c r="J1709">
        <v>75411.06</v>
      </c>
      <c r="M1709" s="7"/>
    </row>
    <row r="1710" spans="2:13" customFormat="1" x14ac:dyDescent="0.25">
      <c r="B1710" t="s">
        <v>851</v>
      </c>
      <c r="C1710" t="s">
        <v>467</v>
      </c>
      <c r="D1710" t="s">
        <v>891</v>
      </c>
      <c r="E1710" t="s">
        <v>468</v>
      </c>
      <c r="F1710" t="s">
        <v>469</v>
      </c>
      <c r="H1710">
        <v>75411.06</v>
      </c>
      <c r="I1710">
        <v>4990.21</v>
      </c>
      <c r="J1710">
        <v>34931.47</v>
      </c>
      <c r="M1710" s="7"/>
    </row>
    <row r="1711" spans="2:13" customFormat="1" x14ac:dyDescent="0.25">
      <c r="B1711" t="s">
        <v>851</v>
      </c>
      <c r="C1711" t="s">
        <v>470</v>
      </c>
      <c r="D1711" t="s">
        <v>891</v>
      </c>
      <c r="E1711" t="s">
        <v>471</v>
      </c>
      <c r="F1711" t="s">
        <v>472</v>
      </c>
      <c r="H1711">
        <v>166.69</v>
      </c>
      <c r="I1711">
        <v>0</v>
      </c>
      <c r="J1711">
        <v>-2881.72</v>
      </c>
      <c r="M1711" s="7"/>
    </row>
    <row r="1712" spans="2:13" customFormat="1" x14ac:dyDescent="0.25">
      <c r="B1712" t="s">
        <v>851</v>
      </c>
      <c r="C1712" t="s">
        <v>419</v>
      </c>
      <c r="D1712" t="s">
        <v>891</v>
      </c>
      <c r="E1712" t="s">
        <v>420</v>
      </c>
      <c r="F1712" t="s">
        <v>421</v>
      </c>
      <c r="H1712">
        <v>346.66</v>
      </c>
      <c r="I1712">
        <v>0</v>
      </c>
      <c r="J1712">
        <v>-5561.39</v>
      </c>
      <c r="M1712" s="7"/>
    </row>
    <row r="1713" spans="2:13" customFormat="1" x14ac:dyDescent="0.25">
      <c r="B1713" t="s">
        <v>851</v>
      </c>
      <c r="C1713" t="s">
        <v>473</v>
      </c>
      <c r="D1713" t="s">
        <v>891</v>
      </c>
      <c r="E1713" t="s">
        <v>474</v>
      </c>
      <c r="F1713" t="s">
        <v>475</v>
      </c>
      <c r="H1713">
        <v>387.78</v>
      </c>
      <c r="I1713">
        <v>0</v>
      </c>
      <c r="J1713">
        <v>-3573.88</v>
      </c>
      <c r="M1713" s="7"/>
    </row>
    <row r="1714" spans="2:13" customFormat="1" x14ac:dyDescent="0.25">
      <c r="B1714" t="s">
        <v>851</v>
      </c>
      <c r="C1714" t="s">
        <v>852</v>
      </c>
      <c r="D1714" t="s">
        <v>891</v>
      </c>
      <c r="E1714" t="s">
        <v>853</v>
      </c>
      <c r="F1714" t="s">
        <v>854</v>
      </c>
      <c r="H1714">
        <v>111.4</v>
      </c>
      <c r="I1714">
        <v>0</v>
      </c>
      <c r="J1714">
        <v>-159.66999999999999</v>
      </c>
      <c r="M1714" s="7"/>
    </row>
    <row r="1715" spans="2:13" customFormat="1" x14ac:dyDescent="0.25">
      <c r="B1715" t="s">
        <v>851</v>
      </c>
      <c r="C1715" t="s">
        <v>518</v>
      </c>
      <c r="D1715" t="s">
        <v>891</v>
      </c>
      <c r="E1715" t="s">
        <v>519</v>
      </c>
      <c r="F1715" t="s">
        <v>520</v>
      </c>
      <c r="H1715">
        <v>470.65</v>
      </c>
      <c r="I1715">
        <v>0</v>
      </c>
      <c r="J1715">
        <v>-844.18</v>
      </c>
      <c r="M1715" s="7"/>
    </row>
    <row r="1716" spans="2:13" customFormat="1" x14ac:dyDescent="0.25">
      <c r="B1716" t="s">
        <v>851</v>
      </c>
      <c r="C1716" t="s">
        <v>476</v>
      </c>
      <c r="D1716" t="s">
        <v>891</v>
      </c>
      <c r="E1716" t="s">
        <v>477</v>
      </c>
      <c r="F1716" t="s">
        <v>478</v>
      </c>
      <c r="H1716">
        <v>42.67</v>
      </c>
      <c r="I1716">
        <v>0</v>
      </c>
      <c r="J1716">
        <v>-819.21</v>
      </c>
      <c r="M1716" s="7"/>
    </row>
    <row r="1717" spans="2:13" customFormat="1" x14ac:dyDescent="0.25">
      <c r="B1717" t="s">
        <v>851</v>
      </c>
      <c r="C1717" t="s">
        <v>479</v>
      </c>
      <c r="D1717" t="s">
        <v>891</v>
      </c>
      <c r="E1717" t="s">
        <v>480</v>
      </c>
      <c r="F1717" t="s">
        <v>481</v>
      </c>
      <c r="H1717">
        <v>628.42999999999995</v>
      </c>
      <c r="I1717">
        <v>0</v>
      </c>
      <c r="J1717">
        <v>-628.42999999999995</v>
      </c>
      <c r="M1717" s="7"/>
    </row>
    <row r="1718" spans="2:13" customFormat="1" x14ac:dyDescent="0.25">
      <c r="B1718" t="s">
        <v>851</v>
      </c>
      <c r="C1718" t="s">
        <v>482</v>
      </c>
      <c r="D1718" t="s">
        <v>891</v>
      </c>
      <c r="E1718" t="s">
        <v>483</v>
      </c>
      <c r="F1718" t="s">
        <v>484</v>
      </c>
      <c r="H1718">
        <v>0</v>
      </c>
      <c r="I1718">
        <v>0</v>
      </c>
      <c r="J1718">
        <v>54978</v>
      </c>
      <c r="M1718" s="7"/>
    </row>
    <row r="1719" spans="2:13" customFormat="1" x14ac:dyDescent="0.25">
      <c r="B1719" t="s">
        <v>851</v>
      </c>
      <c r="C1719" t="s">
        <v>485</v>
      </c>
      <c r="D1719" t="s">
        <v>891</v>
      </c>
      <c r="E1719" t="s">
        <v>486</v>
      </c>
      <c r="F1719" t="s">
        <v>487</v>
      </c>
      <c r="H1719">
        <v>1145.3800000000001</v>
      </c>
      <c r="I1719">
        <v>0</v>
      </c>
      <c r="J1719">
        <v>-13744.52</v>
      </c>
      <c r="M1719" s="7"/>
    </row>
    <row r="1720" spans="2:13" customFormat="1" x14ac:dyDescent="0.25">
      <c r="B1720" t="s">
        <v>851</v>
      </c>
      <c r="C1720" t="s">
        <v>40</v>
      </c>
      <c r="D1720" t="s">
        <v>891</v>
      </c>
      <c r="E1720" t="s">
        <v>227</v>
      </c>
      <c r="F1720" t="s">
        <v>133</v>
      </c>
      <c r="H1720">
        <v>487014.18</v>
      </c>
      <c r="I1720">
        <v>495200.63</v>
      </c>
      <c r="J1720">
        <v>-20413.169999999998</v>
      </c>
      <c r="M1720" s="7"/>
    </row>
    <row r="1721" spans="2:13" customFormat="1" x14ac:dyDescent="0.25">
      <c r="B1721" t="s">
        <v>851</v>
      </c>
      <c r="C1721" t="s">
        <v>83</v>
      </c>
      <c r="D1721" t="s">
        <v>891</v>
      </c>
      <c r="E1721" t="s">
        <v>228</v>
      </c>
      <c r="F1721" t="s">
        <v>134</v>
      </c>
      <c r="H1721">
        <v>20457.13</v>
      </c>
      <c r="I1721">
        <v>20628.13</v>
      </c>
      <c r="J1721">
        <v>-7539.11</v>
      </c>
      <c r="M1721" s="7"/>
    </row>
    <row r="1722" spans="2:13" customFormat="1" x14ac:dyDescent="0.25">
      <c r="B1722" t="s">
        <v>851</v>
      </c>
      <c r="C1722" t="s">
        <v>113</v>
      </c>
      <c r="D1722" t="s">
        <v>891</v>
      </c>
      <c r="E1722" t="s">
        <v>229</v>
      </c>
      <c r="F1722" t="s">
        <v>135</v>
      </c>
      <c r="H1722">
        <v>431548.4</v>
      </c>
      <c r="I1722">
        <v>514464.9</v>
      </c>
      <c r="J1722">
        <v>-54186.5</v>
      </c>
      <c r="M1722" s="7"/>
    </row>
    <row r="1723" spans="2:13" customFormat="1" x14ac:dyDescent="0.25">
      <c r="B1723" t="s">
        <v>851</v>
      </c>
      <c r="C1723" t="s">
        <v>84</v>
      </c>
      <c r="D1723" t="s">
        <v>891</v>
      </c>
      <c r="E1723" t="s">
        <v>230</v>
      </c>
      <c r="F1723" t="s">
        <v>136</v>
      </c>
      <c r="H1723">
        <v>24451.55</v>
      </c>
      <c r="I1723">
        <v>24451.55</v>
      </c>
      <c r="J1723">
        <v>0</v>
      </c>
      <c r="M1723" s="7"/>
    </row>
    <row r="1724" spans="2:13" customFormat="1" x14ac:dyDescent="0.25">
      <c r="B1724" t="s">
        <v>851</v>
      </c>
      <c r="C1724" t="s">
        <v>310</v>
      </c>
      <c r="D1724" t="s">
        <v>891</v>
      </c>
      <c r="E1724" t="s">
        <v>311</v>
      </c>
      <c r="F1724" t="s">
        <v>312</v>
      </c>
      <c r="H1724">
        <v>72225.399999999994</v>
      </c>
      <c r="I1724">
        <v>72225.399999999994</v>
      </c>
      <c r="J1724">
        <v>0</v>
      </c>
      <c r="M1724" s="7"/>
    </row>
    <row r="1725" spans="2:13" customFormat="1" x14ac:dyDescent="0.25">
      <c r="B1725" t="s">
        <v>851</v>
      </c>
      <c r="C1725" t="s">
        <v>313</v>
      </c>
      <c r="D1725" t="s">
        <v>891</v>
      </c>
      <c r="E1725" t="s">
        <v>314</v>
      </c>
      <c r="F1725" t="s">
        <v>315</v>
      </c>
      <c r="H1725">
        <v>61352.61</v>
      </c>
      <c r="I1725">
        <v>61352.61</v>
      </c>
      <c r="J1725">
        <v>0</v>
      </c>
      <c r="M1725" s="7"/>
    </row>
    <row r="1726" spans="2:13" customFormat="1" x14ac:dyDescent="0.25">
      <c r="B1726" t="s">
        <v>851</v>
      </c>
      <c r="C1726" t="s">
        <v>316</v>
      </c>
      <c r="D1726" t="s">
        <v>891</v>
      </c>
      <c r="E1726" t="s">
        <v>317</v>
      </c>
      <c r="F1726" t="s">
        <v>318</v>
      </c>
      <c r="H1726">
        <v>3687.92</v>
      </c>
      <c r="I1726">
        <v>8331.5499999999993</v>
      </c>
      <c r="J1726">
        <v>-16092.47</v>
      </c>
      <c r="M1726" s="7"/>
    </row>
    <row r="1727" spans="2:13" customFormat="1" x14ac:dyDescent="0.25">
      <c r="B1727" t="s">
        <v>851</v>
      </c>
      <c r="C1727" t="s">
        <v>319</v>
      </c>
      <c r="D1727" t="s">
        <v>891</v>
      </c>
      <c r="E1727" t="s">
        <v>320</v>
      </c>
      <c r="F1727" t="s">
        <v>321</v>
      </c>
      <c r="H1727">
        <v>2196.87</v>
      </c>
      <c r="I1727">
        <v>4129.0600000000004</v>
      </c>
      <c r="J1727">
        <v>-7634.69</v>
      </c>
      <c r="M1727" s="7"/>
    </row>
    <row r="1728" spans="2:13" customFormat="1" x14ac:dyDescent="0.25">
      <c r="B1728" t="s">
        <v>851</v>
      </c>
      <c r="C1728" t="s">
        <v>488</v>
      </c>
      <c r="D1728" t="s">
        <v>891</v>
      </c>
      <c r="E1728" t="s">
        <v>489</v>
      </c>
      <c r="F1728" t="s">
        <v>490</v>
      </c>
      <c r="H1728">
        <v>147.38999999999999</v>
      </c>
      <c r="I1728">
        <v>147.38999999999999</v>
      </c>
      <c r="J1728">
        <v>-294.77999999999997</v>
      </c>
      <c r="M1728" s="7"/>
    </row>
    <row r="1729" spans="2:13" customFormat="1" x14ac:dyDescent="0.25">
      <c r="B1729" t="s">
        <v>851</v>
      </c>
      <c r="C1729" t="s">
        <v>322</v>
      </c>
      <c r="D1729" t="s">
        <v>891</v>
      </c>
      <c r="E1729" t="s">
        <v>323</v>
      </c>
      <c r="F1729" t="s">
        <v>324</v>
      </c>
      <c r="H1729">
        <v>27455.58</v>
      </c>
      <c r="I1729">
        <v>28586.46</v>
      </c>
      <c r="J1729">
        <v>-10215.200000000001</v>
      </c>
      <c r="M1729" s="7"/>
    </row>
    <row r="1730" spans="2:13" customFormat="1" x14ac:dyDescent="0.25">
      <c r="B1730" t="s">
        <v>851</v>
      </c>
      <c r="C1730" t="s">
        <v>325</v>
      </c>
      <c r="D1730" t="s">
        <v>891</v>
      </c>
      <c r="E1730" t="s">
        <v>326</v>
      </c>
      <c r="F1730" t="s">
        <v>327</v>
      </c>
      <c r="H1730">
        <v>11531.17</v>
      </c>
      <c r="I1730">
        <v>12150.42</v>
      </c>
      <c r="J1730">
        <v>-1746.95</v>
      </c>
      <c r="M1730" s="7"/>
    </row>
    <row r="1731" spans="2:13" customFormat="1" x14ac:dyDescent="0.25">
      <c r="B1731" t="s">
        <v>851</v>
      </c>
      <c r="C1731" t="s">
        <v>328</v>
      </c>
      <c r="D1731" t="s">
        <v>891</v>
      </c>
      <c r="E1731" t="s">
        <v>329</v>
      </c>
      <c r="F1731" t="s">
        <v>171</v>
      </c>
      <c r="H1731">
        <v>1062.1500000000001</v>
      </c>
      <c r="I1731">
        <v>2399.5</v>
      </c>
      <c r="J1731">
        <v>-4634.63</v>
      </c>
      <c r="M1731" s="7"/>
    </row>
    <row r="1732" spans="2:13" customFormat="1" x14ac:dyDescent="0.25">
      <c r="B1732" t="s">
        <v>851</v>
      </c>
      <c r="C1732" t="s">
        <v>330</v>
      </c>
      <c r="D1732" t="s">
        <v>891</v>
      </c>
      <c r="E1732" t="s">
        <v>331</v>
      </c>
      <c r="F1732" t="s">
        <v>332</v>
      </c>
      <c r="H1732">
        <v>632.70000000000005</v>
      </c>
      <c r="I1732">
        <v>1189.18</v>
      </c>
      <c r="J1732">
        <v>-2198.79</v>
      </c>
      <c r="M1732" s="7"/>
    </row>
    <row r="1733" spans="2:13" customFormat="1" x14ac:dyDescent="0.25">
      <c r="B1733" t="s">
        <v>851</v>
      </c>
      <c r="C1733" t="s">
        <v>333</v>
      </c>
      <c r="D1733" t="s">
        <v>891</v>
      </c>
      <c r="E1733" t="s">
        <v>334</v>
      </c>
      <c r="F1733" t="s">
        <v>172</v>
      </c>
      <c r="H1733">
        <v>295.02999999999997</v>
      </c>
      <c r="I1733">
        <v>666.52</v>
      </c>
      <c r="J1733">
        <v>-1287.3900000000001</v>
      </c>
      <c r="M1733" s="7"/>
    </row>
    <row r="1734" spans="2:13" customFormat="1" x14ac:dyDescent="0.25">
      <c r="B1734" t="s">
        <v>851</v>
      </c>
      <c r="C1734" t="s">
        <v>335</v>
      </c>
      <c r="D1734" t="s">
        <v>891</v>
      </c>
      <c r="E1734" t="s">
        <v>336</v>
      </c>
      <c r="F1734" t="s">
        <v>337</v>
      </c>
      <c r="H1734">
        <v>175.74</v>
      </c>
      <c r="I1734">
        <v>330.31</v>
      </c>
      <c r="J1734">
        <v>-610.78</v>
      </c>
      <c r="M1734" s="7"/>
    </row>
    <row r="1735" spans="2:13" customFormat="1" x14ac:dyDescent="0.25">
      <c r="B1735" t="s">
        <v>851</v>
      </c>
      <c r="C1735" t="s">
        <v>503</v>
      </c>
      <c r="D1735" t="s">
        <v>891</v>
      </c>
      <c r="E1735" t="s">
        <v>504</v>
      </c>
      <c r="F1735" t="s">
        <v>505</v>
      </c>
      <c r="H1735">
        <v>613.39</v>
      </c>
      <c r="I1735">
        <v>613.39</v>
      </c>
      <c r="J1735">
        <v>0</v>
      </c>
      <c r="M1735" s="7"/>
    </row>
    <row r="1736" spans="2:13" customFormat="1" x14ac:dyDescent="0.25">
      <c r="B1736" t="s">
        <v>851</v>
      </c>
      <c r="C1736" t="s">
        <v>41</v>
      </c>
      <c r="D1736" t="s">
        <v>891</v>
      </c>
      <c r="E1736" t="s">
        <v>231</v>
      </c>
      <c r="F1736" t="s">
        <v>137</v>
      </c>
      <c r="H1736">
        <v>3802.76</v>
      </c>
      <c r="I1736">
        <v>3802.76</v>
      </c>
      <c r="J1736">
        <v>-2582.64</v>
      </c>
      <c r="M1736" s="7"/>
    </row>
    <row r="1737" spans="2:13" customFormat="1" x14ac:dyDescent="0.25">
      <c r="B1737" t="s">
        <v>851</v>
      </c>
      <c r="C1737" t="s">
        <v>42</v>
      </c>
      <c r="D1737" t="s">
        <v>891</v>
      </c>
      <c r="E1737" t="s">
        <v>232</v>
      </c>
      <c r="F1737" t="s">
        <v>138</v>
      </c>
      <c r="H1737">
        <v>355.16</v>
      </c>
      <c r="I1737">
        <v>355.16</v>
      </c>
      <c r="J1737">
        <v>0</v>
      </c>
      <c r="M1737" s="7"/>
    </row>
    <row r="1738" spans="2:13" customFormat="1" x14ac:dyDescent="0.25">
      <c r="B1738" t="s">
        <v>851</v>
      </c>
      <c r="C1738" t="s">
        <v>43</v>
      </c>
      <c r="D1738" t="s">
        <v>891</v>
      </c>
      <c r="E1738" t="s">
        <v>233</v>
      </c>
      <c r="F1738" t="s">
        <v>139</v>
      </c>
      <c r="H1738">
        <v>1635.88</v>
      </c>
      <c r="I1738">
        <v>1635.88</v>
      </c>
      <c r="J1738">
        <v>0</v>
      </c>
      <c r="M1738" s="7"/>
    </row>
    <row r="1739" spans="2:13" customFormat="1" x14ac:dyDescent="0.25">
      <c r="B1739" t="s">
        <v>851</v>
      </c>
      <c r="C1739" t="s">
        <v>491</v>
      </c>
      <c r="D1739" t="s">
        <v>891</v>
      </c>
      <c r="E1739" t="s">
        <v>492</v>
      </c>
      <c r="F1739" t="s">
        <v>493</v>
      </c>
      <c r="H1739">
        <v>0</v>
      </c>
      <c r="I1739">
        <v>122.27</v>
      </c>
      <c r="J1739">
        <v>0</v>
      </c>
      <c r="M1739" s="7"/>
    </row>
    <row r="1740" spans="2:13" customFormat="1" x14ac:dyDescent="0.25">
      <c r="B1740" t="s">
        <v>851</v>
      </c>
      <c r="C1740" t="s">
        <v>79</v>
      </c>
      <c r="D1740" t="s">
        <v>891</v>
      </c>
      <c r="E1740" t="s">
        <v>234</v>
      </c>
      <c r="F1740" t="s">
        <v>140</v>
      </c>
      <c r="H1740">
        <v>0</v>
      </c>
      <c r="I1740">
        <v>0</v>
      </c>
      <c r="J1740">
        <v>-644.03</v>
      </c>
      <c r="M1740" s="7"/>
    </row>
    <row r="1741" spans="2:13" customFormat="1" x14ac:dyDescent="0.25">
      <c r="B1741" t="s">
        <v>851</v>
      </c>
      <c r="C1741" t="s">
        <v>44</v>
      </c>
      <c r="D1741" t="s">
        <v>891</v>
      </c>
      <c r="E1741" t="s">
        <v>235</v>
      </c>
      <c r="F1741" t="s">
        <v>141</v>
      </c>
      <c r="H1741">
        <v>44.09</v>
      </c>
      <c r="I1741">
        <v>0</v>
      </c>
      <c r="J1741">
        <v>330.77</v>
      </c>
      <c r="M1741" s="7"/>
    </row>
    <row r="1742" spans="2:13" customFormat="1" x14ac:dyDescent="0.25">
      <c r="B1742" t="s">
        <v>851</v>
      </c>
      <c r="C1742" t="s">
        <v>45</v>
      </c>
      <c r="D1742" t="s">
        <v>891</v>
      </c>
      <c r="E1742" t="s">
        <v>236</v>
      </c>
      <c r="F1742" t="s">
        <v>142</v>
      </c>
      <c r="H1742">
        <v>152.01</v>
      </c>
      <c r="I1742">
        <v>35.69</v>
      </c>
      <c r="J1742">
        <v>-1278.4100000000001</v>
      </c>
      <c r="M1742" s="7"/>
    </row>
    <row r="1743" spans="2:13" customFormat="1" x14ac:dyDescent="0.25">
      <c r="B1743" t="s">
        <v>851</v>
      </c>
      <c r="C1743" t="s">
        <v>338</v>
      </c>
      <c r="D1743" t="s">
        <v>891</v>
      </c>
      <c r="E1743" t="s">
        <v>339</v>
      </c>
      <c r="F1743" t="s">
        <v>340</v>
      </c>
      <c r="H1743">
        <v>0</v>
      </c>
      <c r="I1743">
        <v>0</v>
      </c>
      <c r="J1743">
        <v>-209.89</v>
      </c>
      <c r="M1743" s="7"/>
    </row>
    <row r="1744" spans="2:13" customFormat="1" x14ac:dyDescent="0.25">
      <c r="B1744" t="s">
        <v>851</v>
      </c>
      <c r="C1744" t="s">
        <v>46</v>
      </c>
      <c r="D1744" t="s">
        <v>891</v>
      </c>
      <c r="E1744" t="s">
        <v>237</v>
      </c>
      <c r="F1744" t="s">
        <v>143</v>
      </c>
      <c r="H1744">
        <v>0</v>
      </c>
      <c r="I1744">
        <v>0</v>
      </c>
      <c r="J1744">
        <v>-100000</v>
      </c>
      <c r="M1744" s="7"/>
    </row>
    <row r="1745" spans="2:13" customFormat="1" x14ac:dyDescent="0.25">
      <c r="B1745" t="s">
        <v>851</v>
      </c>
      <c r="C1745" t="s">
        <v>47</v>
      </c>
      <c r="D1745" t="s">
        <v>891</v>
      </c>
      <c r="E1745" t="s">
        <v>238</v>
      </c>
      <c r="F1745" t="s">
        <v>144</v>
      </c>
      <c r="H1745">
        <v>59000</v>
      </c>
      <c r="I1745">
        <v>0</v>
      </c>
      <c r="J1745">
        <v>-478000</v>
      </c>
      <c r="M1745" s="7"/>
    </row>
    <row r="1746" spans="2:13" customFormat="1" x14ac:dyDescent="0.25">
      <c r="B1746" t="s">
        <v>851</v>
      </c>
      <c r="C1746" t="s">
        <v>80</v>
      </c>
      <c r="D1746" t="s">
        <v>891</v>
      </c>
      <c r="E1746" t="s">
        <v>239</v>
      </c>
      <c r="F1746" t="s">
        <v>145</v>
      </c>
      <c r="H1746">
        <v>0</v>
      </c>
      <c r="I1746">
        <v>0</v>
      </c>
      <c r="J1746">
        <v>-610000</v>
      </c>
      <c r="M1746" s="7"/>
    </row>
    <row r="1747" spans="2:13" customFormat="1" x14ac:dyDescent="0.25">
      <c r="B1747" t="s">
        <v>851</v>
      </c>
      <c r="C1747" t="s">
        <v>85</v>
      </c>
      <c r="D1747" t="s">
        <v>891</v>
      </c>
      <c r="E1747" t="s">
        <v>240</v>
      </c>
      <c r="F1747" t="s">
        <v>146</v>
      </c>
      <c r="H1747">
        <v>0</v>
      </c>
      <c r="I1747">
        <v>0</v>
      </c>
      <c r="J1747">
        <v>259654.76</v>
      </c>
      <c r="M1747" s="7"/>
    </row>
    <row r="1748" spans="2:13" customFormat="1" x14ac:dyDescent="0.25">
      <c r="B1748" t="s">
        <v>851</v>
      </c>
      <c r="C1748" t="s">
        <v>371</v>
      </c>
      <c r="D1748" t="s">
        <v>891</v>
      </c>
      <c r="E1748" t="s">
        <v>372</v>
      </c>
      <c r="F1748" t="s">
        <v>373</v>
      </c>
      <c r="H1748">
        <v>487778.07</v>
      </c>
      <c r="I1748">
        <v>0</v>
      </c>
      <c r="J1748">
        <v>-3622154.52</v>
      </c>
      <c r="M1748" s="7"/>
    </row>
    <row r="1749" spans="2:13" customFormat="1" x14ac:dyDescent="0.25">
      <c r="B1749" t="s">
        <v>851</v>
      </c>
      <c r="C1749" t="s">
        <v>374</v>
      </c>
      <c r="D1749" t="s">
        <v>891</v>
      </c>
      <c r="E1749" t="s">
        <v>375</v>
      </c>
      <c r="F1749" t="s">
        <v>376</v>
      </c>
      <c r="H1749">
        <v>14376.36</v>
      </c>
      <c r="I1749">
        <v>0</v>
      </c>
      <c r="J1749">
        <v>-104060.69</v>
      </c>
      <c r="M1749" s="7"/>
    </row>
    <row r="1750" spans="2:13" customFormat="1" x14ac:dyDescent="0.25">
      <c r="B1750" t="s">
        <v>851</v>
      </c>
      <c r="C1750" t="s">
        <v>434</v>
      </c>
      <c r="D1750" t="s">
        <v>891</v>
      </c>
      <c r="E1750" t="s">
        <v>435</v>
      </c>
      <c r="F1750" t="s">
        <v>436</v>
      </c>
      <c r="H1750">
        <v>14330.64</v>
      </c>
      <c r="I1750">
        <v>0</v>
      </c>
      <c r="J1750">
        <v>-177236.37</v>
      </c>
      <c r="M1750" s="7"/>
    </row>
    <row r="1751" spans="2:13" customFormat="1" x14ac:dyDescent="0.25">
      <c r="B1751" t="s">
        <v>851</v>
      </c>
      <c r="C1751" t="s">
        <v>48</v>
      </c>
      <c r="D1751" t="s">
        <v>891</v>
      </c>
      <c r="E1751" t="s">
        <v>241</v>
      </c>
      <c r="F1751" t="s">
        <v>147</v>
      </c>
      <c r="H1751">
        <v>2411.06</v>
      </c>
      <c r="I1751">
        <v>0</v>
      </c>
      <c r="J1751">
        <v>-9869.49</v>
      </c>
      <c r="M1751" s="7"/>
    </row>
    <row r="1752" spans="2:13" customFormat="1" x14ac:dyDescent="0.25">
      <c r="B1752" t="s">
        <v>851</v>
      </c>
      <c r="C1752" t="s">
        <v>86</v>
      </c>
      <c r="D1752" t="s">
        <v>891</v>
      </c>
      <c r="E1752" t="s">
        <v>242</v>
      </c>
      <c r="F1752" t="s">
        <v>148</v>
      </c>
      <c r="H1752">
        <v>55656.73</v>
      </c>
      <c r="I1752">
        <v>0</v>
      </c>
      <c r="J1752">
        <v>-295379.74</v>
      </c>
      <c r="M1752" s="7"/>
    </row>
    <row r="1753" spans="2:13" customFormat="1" x14ac:dyDescent="0.25">
      <c r="B1753" t="s">
        <v>851</v>
      </c>
      <c r="C1753" t="s">
        <v>49</v>
      </c>
      <c r="D1753" t="s">
        <v>891</v>
      </c>
      <c r="E1753" t="s">
        <v>243</v>
      </c>
      <c r="F1753" t="s">
        <v>149</v>
      </c>
      <c r="H1753">
        <v>0</v>
      </c>
      <c r="I1753">
        <v>3802.76</v>
      </c>
      <c r="J1753">
        <v>21986.240000000002</v>
      </c>
      <c r="M1753" s="7"/>
    </row>
    <row r="1754" spans="2:13" customFormat="1" x14ac:dyDescent="0.25">
      <c r="B1754" t="s">
        <v>851</v>
      </c>
      <c r="C1754" t="s">
        <v>50</v>
      </c>
      <c r="D1754" t="s">
        <v>891</v>
      </c>
      <c r="E1754" t="s">
        <v>244</v>
      </c>
      <c r="F1754" t="s">
        <v>150</v>
      </c>
      <c r="H1754">
        <v>0</v>
      </c>
      <c r="I1754">
        <v>355.16</v>
      </c>
      <c r="J1754">
        <v>1613.51</v>
      </c>
      <c r="M1754" s="7"/>
    </row>
    <row r="1755" spans="2:13" customFormat="1" x14ac:dyDescent="0.25">
      <c r="B1755" t="s">
        <v>851</v>
      </c>
      <c r="C1755" t="s">
        <v>51</v>
      </c>
      <c r="D1755" t="s">
        <v>891</v>
      </c>
      <c r="E1755" t="s">
        <v>245</v>
      </c>
      <c r="F1755" t="s">
        <v>151</v>
      </c>
      <c r="H1755">
        <v>0</v>
      </c>
      <c r="I1755">
        <v>1635.88</v>
      </c>
      <c r="J1755">
        <v>7454</v>
      </c>
      <c r="M1755" s="7"/>
    </row>
    <row r="1756" spans="2:13" customFormat="1" x14ac:dyDescent="0.25">
      <c r="B1756" t="s">
        <v>851</v>
      </c>
      <c r="C1756" t="s">
        <v>87</v>
      </c>
      <c r="D1756" t="s">
        <v>891</v>
      </c>
      <c r="E1756" t="s">
        <v>246</v>
      </c>
      <c r="F1756" t="s">
        <v>152</v>
      </c>
      <c r="H1756">
        <v>41388.9</v>
      </c>
      <c r="I1756">
        <v>40726.910000000003</v>
      </c>
      <c r="J1756">
        <v>-624.32000000000005</v>
      </c>
      <c r="M1756" s="7"/>
    </row>
    <row r="1757" spans="2:13" customFormat="1" x14ac:dyDescent="0.25">
      <c r="B1757" t="s">
        <v>851</v>
      </c>
      <c r="C1757" t="s">
        <v>52</v>
      </c>
      <c r="D1757" t="s">
        <v>891</v>
      </c>
      <c r="E1757" t="s">
        <v>247</v>
      </c>
      <c r="F1757" t="s">
        <v>153</v>
      </c>
      <c r="H1757">
        <v>0</v>
      </c>
      <c r="I1757">
        <v>0</v>
      </c>
      <c r="J1757">
        <v>-2195.6799999999998</v>
      </c>
      <c r="M1757" s="7"/>
    </row>
    <row r="1758" spans="2:13" customFormat="1" x14ac:dyDescent="0.25">
      <c r="B1758" t="s">
        <v>851</v>
      </c>
      <c r="C1758" t="s">
        <v>88</v>
      </c>
      <c r="D1758" t="s">
        <v>891</v>
      </c>
      <c r="E1758" t="s">
        <v>248</v>
      </c>
      <c r="F1758" t="s">
        <v>154</v>
      </c>
      <c r="H1758">
        <v>0</v>
      </c>
      <c r="I1758">
        <v>64.650000000000006</v>
      </c>
      <c r="J1758">
        <v>-860.82</v>
      </c>
      <c r="M1758" s="7"/>
    </row>
    <row r="1759" spans="2:13" customFormat="1" x14ac:dyDescent="0.25">
      <c r="B1759" t="s">
        <v>851</v>
      </c>
      <c r="C1759" t="s">
        <v>377</v>
      </c>
      <c r="D1759" t="s">
        <v>891</v>
      </c>
      <c r="E1759" t="s">
        <v>378</v>
      </c>
      <c r="F1759" t="s">
        <v>379</v>
      </c>
      <c r="H1759">
        <v>48226.91</v>
      </c>
      <c r="I1759">
        <v>481191.67999999999</v>
      </c>
      <c r="J1759">
        <v>3464145.04</v>
      </c>
      <c r="M1759" s="7"/>
    </row>
    <row r="1760" spans="2:13" customFormat="1" x14ac:dyDescent="0.25">
      <c r="B1760" t="s">
        <v>851</v>
      </c>
      <c r="C1760" t="s">
        <v>53</v>
      </c>
      <c r="D1760" t="s">
        <v>891</v>
      </c>
      <c r="E1760" t="s">
        <v>249</v>
      </c>
      <c r="F1760" t="s">
        <v>155</v>
      </c>
      <c r="H1760">
        <v>3582</v>
      </c>
      <c r="I1760">
        <v>47315.62</v>
      </c>
      <c r="J1760">
        <v>257046.09</v>
      </c>
      <c r="M1760" s="7"/>
    </row>
    <row r="1761" spans="2:13" customFormat="1" x14ac:dyDescent="0.25">
      <c r="B1761" t="s">
        <v>851</v>
      </c>
      <c r="C1761" t="s">
        <v>54</v>
      </c>
      <c r="D1761" t="s">
        <v>891</v>
      </c>
      <c r="E1761" t="s">
        <v>250</v>
      </c>
      <c r="F1761" t="s">
        <v>156</v>
      </c>
      <c r="H1761">
        <v>0</v>
      </c>
      <c r="I1761">
        <v>1284.81</v>
      </c>
      <c r="J1761">
        <v>5086.7</v>
      </c>
      <c r="M1761" s="7"/>
    </row>
    <row r="1762" spans="2:13" customFormat="1" x14ac:dyDescent="0.25">
      <c r="B1762" t="s">
        <v>851</v>
      </c>
      <c r="C1762" t="s">
        <v>89</v>
      </c>
      <c r="D1762" t="s">
        <v>891</v>
      </c>
      <c r="E1762" t="s">
        <v>251</v>
      </c>
      <c r="F1762" t="s">
        <v>157</v>
      </c>
      <c r="H1762">
        <v>0</v>
      </c>
      <c r="I1762">
        <v>0</v>
      </c>
      <c r="J1762">
        <v>19851</v>
      </c>
      <c r="M1762" s="7"/>
    </row>
    <row r="1763" spans="2:13" customFormat="1" x14ac:dyDescent="0.25">
      <c r="B1763" t="s">
        <v>851</v>
      </c>
      <c r="C1763" t="s">
        <v>55</v>
      </c>
      <c r="D1763" t="s">
        <v>891</v>
      </c>
      <c r="E1763" t="s">
        <v>252</v>
      </c>
      <c r="F1763" t="s">
        <v>158</v>
      </c>
      <c r="H1763">
        <v>605.36</v>
      </c>
      <c r="I1763">
        <v>28134.1</v>
      </c>
      <c r="J1763">
        <v>177141.43</v>
      </c>
      <c r="M1763" s="7"/>
    </row>
    <row r="1764" spans="2:13" customFormat="1" x14ac:dyDescent="0.25">
      <c r="B1764" t="s">
        <v>851</v>
      </c>
      <c r="C1764" t="s">
        <v>56</v>
      </c>
      <c r="D1764" t="s">
        <v>891</v>
      </c>
      <c r="E1764" t="s">
        <v>253</v>
      </c>
      <c r="F1764" t="s">
        <v>159</v>
      </c>
      <c r="H1764">
        <v>3533.98</v>
      </c>
      <c r="I1764">
        <v>8002.62</v>
      </c>
      <c r="J1764">
        <v>54172.76</v>
      </c>
      <c r="M1764" s="7"/>
    </row>
    <row r="1765" spans="2:13" customFormat="1" x14ac:dyDescent="0.25">
      <c r="B1765" t="s">
        <v>851</v>
      </c>
      <c r="C1765" t="s">
        <v>57</v>
      </c>
      <c r="D1765" t="s">
        <v>891</v>
      </c>
      <c r="E1765" t="s">
        <v>254</v>
      </c>
      <c r="F1765" t="s">
        <v>160</v>
      </c>
      <c r="H1765">
        <v>981.64</v>
      </c>
      <c r="I1765">
        <v>1746.95</v>
      </c>
      <c r="J1765">
        <v>8568.3700000000008</v>
      </c>
      <c r="M1765" s="7"/>
    </row>
    <row r="1766" spans="2:13" customFormat="1" x14ac:dyDescent="0.25">
      <c r="B1766" t="s">
        <v>851</v>
      </c>
      <c r="C1766" t="s">
        <v>58</v>
      </c>
      <c r="D1766" t="s">
        <v>891</v>
      </c>
      <c r="E1766" t="s">
        <v>255</v>
      </c>
      <c r="F1766" t="s">
        <v>161</v>
      </c>
      <c r="H1766">
        <v>189.88</v>
      </c>
      <c r="I1766">
        <v>3687.92</v>
      </c>
      <c r="J1766">
        <v>29861.14</v>
      </c>
      <c r="M1766" s="7"/>
    </row>
    <row r="1767" spans="2:13" customFormat="1" x14ac:dyDescent="0.25">
      <c r="B1767" t="s">
        <v>851</v>
      </c>
      <c r="C1767" t="s">
        <v>59</v>
      </c>
      <c r="D1767" t="s">
        <v>891</v>
      </c>
      <c r="E1767" t="s">
        <v>256</v>
      </c>
      <c r="F1767" t="s">
        <v>162</v>
      </c>
      <c r="H1767">
        <v>0</v>
      </c>
      <c r="I1767">
        <v>2196.87</v>
      </c>
      <c r="J1767">
        <v>8097.69</v>
      </c>
      <c r="M1767" s="7"/>
    </row>
    <row r="1768" spans="2:13" customFormat="1" x14ac:dyDescent="0.25">
      <c r="B1768" t="s">
        <v>851</v>
      </c>
      <c r="C1768" t="s">
        <v>90</v>
      </c>
      <c r="D1768" t="s">
        <v>891</v>
      </c>
      <c r="E1768" t="s">
        <v>257</v>
      </c>
      <c r="F1768" t="s">
        <v>163</v>
      </c>
      <c r="H1768">
        <v>113.93</v>
      </c>
      <c r="I1768">
        <v>12665.61</v>
      </c>
      <c r="J1768">
        <v>-6523.62</v>
      </c>
      <c r="M1768" s="7"/>
    </row>
    <row r="1769" spans="2:13" customFormat="1" x14ac:dyDescent="0.25">
      <c r="B1769" t="s">
        <v>851</v>
      </c>
      <c r="C1769" t="s">
        <v>60</v>
      </c>
      <c r="D1769" t="s">
        <v>891</v>
      </c>
      <c r="E1769" t="s">
        <v>258</v>
      </c>
      <c r="F1769" t="s">
        <v>164</v>
      </c>
      <c r="H1769">
        <v>0</v>
      </c>
      <c r="I1769">
        <v>940.91</v>
      </c>
      <c r="J1769">
        <v>4517.12</v>
      </c>
      <c r="M1769" s="7"/>
    </row>
    <row r="1770" spans="2:13" customFormat="1" x14ac:dyDescent="0.25">
      <c r="B1770" t="s">
        <v>851</v>
      </c>
      <c r="C1770" t="s">
        <v>61</v>
      </c>
      <c r="D1770" t="s">
        <v>891</v>
      </c>
      <c r="E1770" t="s">
        <v>259</v>
      </c>
      <c r="F1770" t="s">
        <v>165</v>
      </c>
      <c r="H1770">
        <v>0</v>
      </c>
      <c r="I1770">
        <v>3414.22</v>
      </c>
      <c r="J1770">
        <v>5890.04</v>
      </c>
      <c r="M1770" s="7"/>
    </row>
    <row r="1771" spans="2:13" customFormat="1" x14ac:dyDescent="0.25">
      <c r="B1771" t="s">
        <v>851</v>
      </c>
      <c r="C1771" t="s">
        <v>344</v>
      </c>
      <c r="D1771" t="s">
        <v>891</v>
      </c>
      <c r="E1771" t="s">
        <v>345</v>
      </c>
      <c r="F1771" t="s">
        <v>346</v>
      </c>
      <c r="H1771">
        <v>10.06</v>
      </c>
      <c r="I1771">
        <v>1461.21</v>
      </c>
      <c r="J1771">
        <v>8422.61</v>
      </c>
      <c r="M1771" s="7"/>
    </row>
    <row r="1772" spans="2:13" customFormat="1" x14ac:dyDescent="0.25">
      <c r="B1772" t="s">
        <v>851</v>
      </c>
      <c r="C1772" t="s">
        <v>62</v>
      </c>
      <c r="D1772" t="s">
        <v>891</v>
      </c>
      <c r="E1772" t="s">
        <v>260</v>
      </c>
      <c r="F1772" t="s">
        <v>166</v>
      </c>
      <c r="H1772">
        <v>339.61</v>
      </c>
      <c r="I1772">
        <v>217.19</v>
      </c>
      <c r="J1772">
        <v>3443.54</v>
      </c>
      <c r="M1772" s="7"/>
    </row>
    <row r="1773" spans="2:13" customFormat="1" x14ac:dyDescent="0.25">
      <c r="B1773" t="s">
        <v>851</v>
      </c>
      <c r="C1773" t="s">
        <v>207</v>
      </c>
      <c r="D1773" t="s">
        <v>891</v>
      </c>
      <c r="E1773" t="s">
        <v>299</v>
      </c>
      <c r="F1773" t="s">
        <v>208</v>
      </c>
      <c r="H1773">
        <v>100</v>
      </c>
      <c r="I1773">
        <v>999.5</v>
      </c>
      <c r="J1773">
        <v>4583.95</v>
      </c>
      <c r="M1773" s="7"/>
    </row>
    <row r="1774" spans="2:13" customFormat="1" x14ac:dyDescent="0.25">
      <c r="B1774" t="s">
        <v>851</v>
      </c>
      <c r="C1774" t="s">
        <v>63</v>
      </c>
      <c r="D1774" t="s">
        <v>891</v>
      </c>
      <c r="E1774" t="s">
        <v>261</v>
      </c>
      <c r="F1774" t="s">
        <v>167</v>
      </c>
      <c r="H1774">
        <v>3069.16</v>
      </c>
      <c r="I1774">
        <v>5941.99</v>
      </c>
      <c r="J1774">
        <v>18569.669999999998</v>
      </c>
      <c r="M1774" s="7"/>
    </row>
    <row r="1775" spans="2:13" customFormat="1" x14ac:dyDescent="0.25">
      <c r="B1775" t="s">
        <v>851</v>
      </c>
      <c r="C1775" t="s">
        <v>380</v>
      </c>
      <c r="D1775" t="s">
        <v>891</v>
      </c>
      <c r="E1775" t="s">
        <v>381</v>
      </c>
      <c r="F1775" t="s">
        <v>382</v>
      </c>
      <c r="H1775">
        <v>0</v>
      </c>
      <c r="I1775">
        <v>0</v>
      </c>
      <c r="J1775">
        <v>1597.88</v>
      </c>
      <c r="M1775" s="7"/>
    </row>
    <row r="1776" spans="2:13" customFormat="1" x14ac:dyDescent="0.25">
      <c r="B1776" t="s">
        <v>851</v>
      </c>
      <c r="C1776" t="s">
        <v>91</v>
      </c>
      <c r="D1776" t="s">
        <v>891</v>
      </c>
      <c r="E1776" t="s">
        <v>262</v>
      </c>
      <c r="F1776" t="s">
        <v>168</v>
      </c>
      <c r="H1776">
        <v>0</v>
      </c>
      <c r="I1776">
        <v>0</v>
      </c>
      <c r="J1776">
        <v>6175.82</v>
      </c>
      <c r="M1776" s="7"/>
    </row>
    <row r="1777" spans="2:13" customFormat="1" x14ac:dyDescent="0.25">
      <c r="B1777" t="s">
        <v>851</v>
      </c>
      <c r="C1777" t="s">
        <v>383</v>
      </c>
      <c r="D1777" t="s">
        <v>891</v>
      </c>
      <c r="E1777" t="s">
        <v>384</v>
      </c>
      <c r="F1777" t="s">
        <v>385</v>
      </c>
      <c r="H1777">
        <v>0</v>
      </c>
      <c r="I1777">
        <v>0</v>
      </c>
      <c r="J1777">
        <v>1070.1600000000001</v>
      </c>
      <c r="M1777" s="7"/>
    </row>
    <row r="1778" spans="2:13" customFormat="1" x14ac:dyDescent="0.25">
      <c r="B1778" t="s">
        <v>851</v>
      </c>
      <c r="C1778" t="s">
        <v>386</v>
      </c>
      <c r="D1778" t="s">
        <v>891</v>
      </c>
      <c r="E1778" t="s">
        <v>387</v>
      </c>
      <c r="F1778" t="s">
        <v>388</v>
      </c>
      <c r="H1778">
        <v>0</v>
      </c>
      <c r="I1778">
        <v>302.86</v>
      </c>
      <c r="J1778">
        <v>3700.6</v>
      </c>
      <c r="M1778" s="7"/>
    </row>
    <row r="1779" spans="2:13" customFormat="1" x14ac:dyDescent="0.25">
      <c r="B1779" t="s">
        <v>851</v>
      </c>
      <c r="C1779" t="s">
        <v>92</v>
      </c>
      <c r="D1779" t="s">
        <v>891</v>
      </c>
      <c r="E1779" t="s">
        <v>263</v>
      </c>
      <c r="F1779" t="s">
        <v>169</v>
      </c>
      <c r="H1779">
        <v>0</v>
      </c>
      <c r="I1779">
        <v>0</v>
      </c>
      <c r="J1779">
        <v>-549.79999999999995</v>
      </c>
      <c r="M1779" s="7"/>
    </row>
    <row r="1780" spans="2:13" customFormat="1" x14ac:dyDescent="0.25">
      <c r="B1780" t="s">
        <v>851</v>
      </c>
      <c r="C1780" t="s">
        <v>93</v>
      </c>
      <c r="D1780" t="s">
        <v>891</v>
      </c>
      <c r="E1780" t="s">
        <v>264</v>
      </c>
      <c r="F1780" t="s">
        <v>170</v>
      </c>
      <c r="H1780">
        <v>0</v>
      </c>
      <c r="I1780">
        <v>0</v>
      </c>
      <c r="J1780">
        <v>2906.24</v>
      </c>
      <c r="M1780" s="7"/>
    </row>
    <row r="1781" spans="2:13" customFormat="1" x14ac:dyDescent="0.25">
      <c r="B1781" t="s">
        <v>851</v>
      </c>
      <c r="C1781" t="s">
        <v>524</v>
      </c>
      <c r="D1781" t="s">
        <v>891</v>
      </c>
      <c r="E1781" t="s">
        <v>525</v>
      </c>
      <c r="F1781" t="s">
        <v>526</v>
      </c>
      <c r="H1781">
        <v>0</v>
      </c>
      <c r="I1781">
        <v>0</v>
      </c>
      <c r="J1781">
        <v>274</v>
      </c>
      <c r="M1781" s="7"/>
    </row>
    <row r="1782" spans="2:13" customFormat="1" x14ac:dyDescent="0.25">
      <c r="B1782" t="s">
        <v>851</v>
      </c>
      <c r="C1782" t="s">
        <v>350</v>
      </c>
      <c r="D1782" t="s">
        <v>891</v>
      </c>
      <c r="E1782" t="s">
        <v>351</v>
      </c>
      <c r="F1782" t="s">
        <v>352</v>
      </c>
      <c r="H1782">
        <v>0</v>
      </c>
      <c r="I1782">
        <v>0</v>
      </c>
      <c r="J1782">
        <v>-15988.46</v>
      </c>
      <c r="M1782" s="7"/>
    </row>
    <row r="1783" spans="2:13" customFormat="1" x14ac:dyDescent="0.25">
      <c r="B1783" t="s">
        <v>851</v>
      </c>
      <c r="C1783" t="s">
        <v>64</v>
      </c>
      <c r="D1783" t="s">
        <v>891</v>
      </c>
      <c r="E1783" t="s">
        <v>265</v>
      </c>
      <c r="F1783" t="s">
        <v>171</v>
      </c>
      <c r="H1783">
        <v>69.89</v>
      </c>
      <c r="I1783">
        <v>2165.62</v>
      </c>
      <c r="J1783">
        <v>17782.39</v>
      </c>
      <c r="M1783" s="7"/>
    </row>
    <row r="1784" spans="2:13" customFormat="1" x14ac:dyDescent="0.25">
      <c r="B1784" t="s">
        <v>851</v>
      </c>
      <c r="C1784" t="s">
        <v>94</v>
      </c>
      <c r="D1784" t="s">
        <v>891</v>
      </c>
      <c r="E1784" t="s">
        <v>266</v>
      </c>
      <c r="F1784" t="s">
        <v>172</v>
      </c>
      <c r="H1784">
        <v>0</v>
      </c>
      <c r="I1784">
        <v>0</v>
      </c>
      <c r="J1784">
        <v>481.51</v>
      </c>
      <c r="M1784" s="7"/>
    </row>
    <row r="1785" spans="2:13" customFormat="1" x14ac:dyDescent="0.25">
      <c r="B1785" t="s">
        <v>851</v>
      </c>
      <c r="C1785" t="s">
        <v>353</v>
      </c>
      <c r="D1785" t="s">
        <v>891</v>
      </c>
      <c r="E1785" t="s">
        <v>354</v>
      </c>
      <c r="F1785" t="s">
        <v>355</v>
      </c>
      <c r="H1785">
        <v>0</v>
      </c>
      <c r="I1785">
        <v>0</v>
      </c>
      <c r="J1785">
        <v>60.28</v>
      </c>
      <c r="M1785" s="7"/>
    </row>
    <row r="1786" spans="2:13" customFormat="1" x14ac:dyDescent="0.25">
      <c r="B1786" t="s">
        <v>851</v>
      </c>
      <c r="C1786" t="s">
        <v>95</v>
      </c>
      <c r="D1786" t="s">
        <v>891</v>
      </c>
      <c r="E1786" t="s">
        <v>267</v>
      </c>
      <c r="F1786" t="s">
        <v>173</v>
      </c>
      <c r="H1786">
        <v>0</v>
      </c>
      <c r="I1786">
        <v>0</v>
      </c>
      <c r="J1786">
        <v>200.38</v>
      </c>
      <c r="M1786" s="7"/>
    </row>
    <row r="1787" spans="2:13" customFormat="1" x14ac:dyDescent="0.25">
      <c r="B1787" t="s">
        <v>851</v>
      </c>
      <c r="C1787" t="s">
        <v>389</v>
      </c>
      <c r="D1787" t="s">
        <v>891</v>
      </c>
      <c r="E1787" t="s">
        <v>390</v>
      </c>
      <c r="F1787" t="s">
        <v>391</v>
      </c>
      <c r="H1787">
        <v>0</v>
      </c>
      <c r="I1787">
        <v>0</v>
      </c>
      <c r="J1787">
        <v>100</v>
      </c>
      <c r="M1787" s="7"/>
    </row>
    <row r="1788" spans="2:13" customFormat="1" x14ac:dyDescent="0.25">
      <c r="B1788" t="s">
        <v>851</v>
      </c>
      <c r="C1788" t="s">
        <v>65</v>
      </c>
      <c r="D1788" t="s">
        <v>891</v>
      </c>
      <c r="E1788" t="s">
        <v>269</v>
      </c>
      <c r="F1788" t="s">
        <v>175</v>
      </c>
      <c r="H1788">
        <v>0</v>
      </c>
      <c r="I1788">
        <v>16000</v>
      </c>
      <c r="J1788">
        <v>45168.29</v>
      </c>
      <c r="M1788" s="7"/>
    </row>
    <row r="1789" spans="2:13" customFormat="1" x14ac:dyDescent="0.25">
      <c r="B1789" t="s">
        <v>851</v>
      </c>
      <c r="C1789" t="s">
        <v>97</v>
      </c>
      <c r="D1789" t="s">
        <v>891</v>
      </c>
      <c r="E1789" t="s">
        <v>270</v>
      </c>
      <c r="F1789" t="s">
        <v>176</v>
      </c>
      <c r="H1789">
        <v>0</v>
      </c>
      <c r="I1789">
        <v>243.2</v>
      </c>
      <c r="J1789">
        <v>1105.83</v>
      </c>
      <c r="M1789" s="7"/>
    </row>
    <row r="1790" spans="2:13" customFormat="1" x14ac:dyDescent="0.25">
      <c r="B1790" t="s">
        <v>851</v>
      </c>
      <c r="C1790" t="s">
        <v>66</v>
      </c>
      <c r="D1790" t="s">
        <v>891</v>
      </c>
      <c r="E1790" t="s">
        <v>272</v>
      </c>
      <c r="F1790" t="s">
        <v>178</v>
      </c>
      <c r="H1790">
        <v>0</v>
      </c>
      <c r="I1790">
        <v>0</v>
      </c>
      <c r="J1790">
        <v>780</v>
      </c>
      <c r="M1790" s="7"/>
    </row>
    <row r="1791" spans="2:13" customFormat="1" x14ac:dyDescent="0.25">
      <c r="B1791" t="s">
        <v>851</v>
      </c>
      <c r="C1791" t="s">
        <v>99</v>
      </c>
      <c r="D1791" t="s">
        <v>891</v>
      </c>
      <c r="E1791" t="s">
        <v>273</v>
      </c>
      <c r="F1791" t="s">
        <v>179</v>
      </c>
      <c r="H1791">
        <v>2277</v>
      </c>
      <c r="I1791">
        <v>379.5</v>
      </c>
      <c r="J1791">
        <v>0</v>
      </c>
      <c r="M1791" s="7"/>
    </row>
    <row r="1792" spans="2:13" customFormat="1" x14ac:dyDescent="0.25">
      <c r="B1792" t="s">
        <v>851</v>
      </c>
      <c r="C1792" t="s">
        <v>392</v>
      </c>
      <c r="D1792" t="s">
        <v>891</v>
      </c>
      <c r="E1792" t="s">
        <v>393</v>
      </c>
      <c r="F1792" t="s">
        <v>394</v>
      </c>
      <c r="H1792">
        <v>0</v>
      </c>
      <c r="I1792">
        <v>1230.26</v>
      </c>
      <c r="J1792">
        <v>8347.0400000000009</v>
      </c>
      <c r="M1792" s="7"/>
    </row>
    <row r="1793" spans="2:13" customFormat="1" x14ac:dyDescent="0.25">
      <c r="B1793" t="s">
        <v>851</v>
      </c>
      <c r="C1793" t="s">
        <v>100</v>
      </c>
      <c r="D1793" t="s">
        <v>891</v>
      </c>
      <c r="E1793" t="s">
        <v>274</v>
      </c>
      <c r="F1793" t="s">
        <v>180</v>
      </c>
      <c r="H1793">
        <v>0</v>
      </c>
      <c r="I1793">
        <v>2231.08</v>
      </c>
      <c r="J1793">
        <v>11916.04</v>
      </c>
      <c r="M1793" s="7"/>
    </row>
    <row r="1794" spans="2:13" customFormat="1" x14ac:dyDescent="0.25">
      <c r="B1794" t="s">
        <v>851</v>
      </c>
      <c r="C1794" t="s">
        <v>67</v>
      </c>
      <c r="D1794" t="s">
        <v>891</v>
      </c>
      <c r="E1794" t="s">
        <v>276</v>
      </c>
      <c r="F1794" t="s">
        <v>182</v>
      </c>
      <c r="H1794">
        <v>0</v>
      </c>
      <c r="I1794">
        <v>675.53</v>
      </c>
      <c r="J1794">
        <v>26962.91</v>
      </c>
      <c r="M1794" s="7"/>
    </row>
    <row r="1795" spans="2:13" customFormat="1" x14ac:dyDescent="0.25">
      <c r="B1795" t="s">
        <v>851</v>
      </c>
      <c r="C1795" t="s">
        <v>102</v>
      </c>
      <c r="D1795" t="s">
        <v>891</v>
      </c>
      <c r="E1795" t="s">
        <v>277</v>
      </c>
      <c r="F1795" t="s">
        <v>183</v>
      </c>
      <c r="H1795">
        <v>0</v>
      </c>
      <c r="I1795">
        <v>0</v>
      </c>
      <c r="J1795">
        <v>9128.85</v>
      </c>
      <c r="M1795" s="7"/>
    </row>
    <row r="1796" spans="2:13" customFormat="1" x14ac:dyDescent="0.25">
      <c r="B1796" t="s">
        <v>851</v>
      </c>
      <c r="C1796" t="s">
        <v>103</v>
      </c>
      <c r="D1796" t="s">
        <v>891</v>
      </c>
      <c r="E1796" t="s">
        <v>278</v>
      </c>
      <c r="F1796" t="s">
        <v>184</v>
      </c>
      <c r="H1796">
        <v>0</v>
      </c>
      <c r="I1796">
        <v>280</v>
      </c>
      <c r="J1796">
        <v>560</v>
      </c>
      <c r="M1796" s="7"/>
    </row>
    <row r="1797" spans="2:13" customFormat="1" x14ac:dyDescent="0.25">
      <c r="B1797" t="s">
        <v>851</v>
      </c>
      <c r="C1797" t="s">
        <v>68</v>
      </c>
      <c r="D1797" t="s">
        <v>891</v>
      </c>
      <c r="E1797" t="s">
        <v>279</v>
      </c>
      <c r="F1797" t="s">
        <v>185</v>
      </c>
      <c r="H1797">
        <v>0</v>
      </c>
      <c r="I1797">
        <v>523.04</v>
      </c>
      <c r="J1797">
        <v>9971.85</v>
      </c>
      <c r="M1797" s="7"/>
    </row>
    <row r="1798" spans="2:13" customFormat="1" x14ac:dyDescent="0.25">
      <c r="B1798" t="s">
        <v>851</v>
      </c>
      <c r="C1798" t="s">
        <v>395</v>
      </c>
      <c r="D1798" t="s">
        <v>891</v>
      </c>
      <c r="E1798" t="s">
        <v>396</v>
      </c>
      <c r="F1798" t="s">
        <v>397</v>
      </c>
      <c r="H1798">
        <v>0</v>
      </c>
      <c r="I1798">
        <v>330</v>
      </c>
      <c r="J1798">
        <v>2310</v>
      </c>
      <c r="M1798" s="7"/>
    </row>
    <row r="1799" spans="2:13" customFormat="1" x14ac:dyDescent="0.25">
      <c r="B1799" t="s">
        <v>851</v>
      </c>
      <c r="C1799" t="s">
        <v>104</v>
      </c>
      <c r="D1799" t="s">
        <v>891</v>
      </c>
      <c r="E1799" t="s">
        <v>280</v>
      </c>
      <c r="F1799" t="s">
        <v>186</v>
      </c>
      <c r="H1799">
        <v>0</v>
      </c>
      <c r="I1799">
        <v>0</v>
      </c>
      <c r="J1799">
        <v>2646</v>
      </c>
      <c r="M1799" s="7"/>
    </row>
    <row r="1800" spans="2:13" customFormat="1" x14ac:dyDescent="0.25">
      <c r="B1800" t="s">
        <v>851</v>
      </c>
      <c r="C1800" t="s">
        <v>356</v>
      </c>
      <c r="D1800" t="s">
        <v>891</v>
      </c>
      <c r="E1800" t="s">
        <v>357</v>
      </c>
      <c r="F1800" t="s">
        <v>358</v>
      </c>
      <c r="H1800">
        <v>0</v>
      </c>
      <c r="I1800">
        <v>867</v>
      </c>
      <c r="J1800">
        <v>10808.03</v>
      </c>
      <c r="M1800" s="7"/>
    </row>
    <row r="1801" spans="2:13" customFormat="1" x14ac:dyDescent="0.25">
      <c r="B1801" t="s">
        <v>851</v>
      </c>
      <c r="C1801" t="s">
        <v>105</v>
      </c>
      <c r="D1801" t="s">
        <v>891</v>
      </c>
      <c r="E1801" t="s">
        <v>281</v>
      </c>
      <c r="F1801" t="s">
        <v>187</v>
      </c>
      <c r="H1801">
        <v>0</v>
      </c>
      <c r="I1801">
        <v>1056.23</v>
      </c>
      <c r="J1801">
        <v>2614.33</v>
      </c>
      <c r="M1801" s="7"/>
    </row>
    <row r="1802" spans="2:13" customFormat="1" x14ac:dyDescent="0.25">
      <c r="B1802" t="s">
        <v>851</v>
      </c>
      <c r="C1802" t="s">
        <v>106</v>
      </c>
      <c r="D1802" t="s">
        <v>891</v>
      </c>
      <c r="E1802" t="s">
        <v>282</v>
      </c>
      <c r="F1802" t="s">
        <v>188</v>
      </c>
      <c r="H1802">
        <v>0</v>
      </c>
      <c r="I1802">
        <v>149.57</v>
      </c>
      <c r="J1802">
        <v>1349.57</v>
      </c>
      <c r="M1802" s="7"/>
    </row>
    <row r="1803" spans="2:13" customFormat="1" x14ac:dyDescent="0.25">
      <c r="B1803" t="s">
        <v>851</v>
      </c>
      <c r="C1803" t="s">
        <v>107</v>
      </c>
      <c r="D1803" t="s">
        <v>891</v>
      </c>
      <c r="E1803" t="s">
        <v>283</v>
      </c>
      <c r="F1803" t="s">
        <v>189</v>
      </c>
      <c r="H1803">
        <v>0</v>
      </c>
      <c r="I1803">
        <v>4898.01</v>
      </c>
      <c r="J1803">
        <v>35603.83</v>
      </c>
      <c r="M1803" s="7"/>
    </row>
    <row r="1804" spans="2:13" customFormat="1" x14ac:dyDescent="0.25">
      <c r="B1804" t="s">
        <v>851</v>
      </c>
      <c r="C1804" t="s">
        <v>359</v>
      </c>
      <c r="D1804" t="s">
        <v>891</v>
      </c>
      <c r="E1804" t="s">
        <v>360</v>
      </c>
      <c r="F1804" t="s">
        <v>361</v>
      </c>
      <c r="H1804">
        <v>0</v>
      </c>
      <c r="I1804">
        <v>811.26</v>
      </c>
      <c r="J1804">
        <v>5317.72</v>
      </c>
      <c r="M1804" s="7"/>
    </row>
    <row r="1805" spans="2:13" customFormat="1" x14ac:dyDescent="0.25">
      <c r="B1805" t="s">
        <v>851</v>
      </c>
      <c r="C1805" t="s">
        <v>209</v>
      </c>
      <c r="D1805" t="s">
        <v>891</v>
      </c>
      <c r="E1805" t="s">
        <v>300</v>
      </c>
      <c r="F1805" t="s">
        <v>210</v>
      </c>
      <c r="H1805">
        <v>0</v>
      </c>
      <c r="I1805">
        <v>0</v>
      </c>
      <c r="J1805">
        <v>868.62</v>
      </c>
      <c r="M1805" s="7"/>
    </row>
    <row r="1806" spans="2:13" customFormat="1" x14ac:dyDescent="0.25">
      <c r="B1806" t="s">
        <v>851</v>
      </c>
      <c r="C1806" t="s">
        <v>69</v>
      </c>
      <c r="D1806" t="s">
        <v>891</v>
      </c>
      <c r="E1806" t="s">
        <v>284</v>
      </c>
      <c r="F1806" t="s">
        <v>190</v>
      </c>
      <c r="H1806">
        <v>0</v>
      </c>
      <c r="I1806">
        <v>197.5</v>
      </c>
      <c r="J1806">
        <v>703.09</v>
      </c>
      <c r="M1806" s="7"/>
    </row>
    <row r="1807" spans="2:13" customFormat="1" x14ac:dyDescent="0.25">
      <c r="B1807" t="s">
        <v>851</v>
      </c>
      <c r="C1807" t="s">
        <v>108</v>
      </c>
      <c r="D1807" t="s">
        <v>891</v>
      </c>
      <c r="E1807" t="s">
        <v>285</v>
      </c>
      <c r="F1807" t="s">
        <v>191</v>
      </c>
      <c r="H1807">
        <v>0</v>
      </c>
      <c r="I1807">
        <v>0</v>
      </c>
      <c r="J1807">
        <v>270</v>
      </c>
      <c r="M1807" s="7"/>
    </row>
    <row r="1808" spans="2:13" customFormat="1" x14ac:dyDescent="0.25">
      <c r="B1808" t="s">
        <v>851</v>
      </c>
      <c r="C1808" t="s">
        <v>70</v>
      </c>
      <c r="D1808" t="s">
        <v>891</v>
      </c>
      <c r="E1808" t="s">
        <v>286</v>
      </c>
      <c r="F1808" t="s">
        <v>192</v>
      </c>
      <c r="H1808">
        <v>0</v>
      </c>
      <c r="I1808">
        <v>690</v>
      </c>
      <c r="J1808">
        <v>13134.9</v>
      </c>
      <c r="M1808" s="7"/>
    </row>
    <row r="1809" spans="2:13" customFormat="1" x14ac:dyDescent="0.25">
      <c r="B1809" t="s">
        <v>851</v>
      </c>
      <c r="C1809" t="s">
        <v>109</v>
      </c>
      <c r="D1809" t="s">
        <v>891</v>
      </c>
      <c r="E1809" t="s">
        <v>287</v>
      </c>
      <c r="F1809" t="s">
        <v>193</v>
      </c>
      <c r="H1809">
        <v>0</v>
      </c>
      <c r="I1809">
        <v>5874.66</v>
      </c>
      <c r="J1809">
        <v>16195.53</v>
      </c>
      <c r="M1809" s="7"/>
    </row>
    <row r="1810" spans="2:13" customFormat="1" x14ac:dyDescent="0.25">
      <c r="B1810" t="s">
        <v>851</v>
      </c>
      <c r="C1810" t="s">
        <v>110</v>
      </c>
      <c r="D1810" t="s">
        <v>891</v>
      </c>
      <c r="E1810" t="s">
        <v>288</v>
      </c>
      <c r="F1810" t="s">
        <v>194</v>
      </c>
      <c r="H1810">
        <v>0</v>
      </c>
      <c r="I1810">
        <v>2938.72</v>
      </c>
      <c r="J1810">
        <v>3338.72</v>
      </c>
      <c r="M1810" s="7"/>
    </row>
    <row r="1811" spans="2:13" customFormat="1" x14ac:dyDescent="0.25">
      <c r="B1811" t="s">
        <v>851</v>
      </c>
      <c r="C1811" t="s">
        <v>437</v>
      </c>
      <c r="D1811" t="s">
        <v>891</v>
      </c>
      <c r="E1811" t="s">
        <v>438</v>
      </c>
      <c r="F1811" t="s">
        <v>439</v>
      </c>
      <c r="H1811">
        <v>0</v>
      </c>
      <c r="I1811">
        <v>0</v>
      </c>
      <c r="J1811">
        <v>220.37</v>
      </c>
      <c r="M1811" s="7"/>
    </row>
    <row r="1812" spans="2:13" customFormat="1" x14ac:dyDescent="0.25">
      <c r="B1812" t="s">
        <v>851</v>
      </c>
      <c r="C1812" t="s">
        <v>440</v>
      </c>
      <c r="D1812" t="s">
        <v>891</v>
      </c>
      <c r="E1812" t="s">
        <v>441</v>
      </c>
      <c r="F1812" t="s">
        <v>442</v>
      </c>
      <c r="H1812">
        <v>0</v>
      </c>
      <c r="I1812">
        <v>0</v>
      </c>
      <c r="J1812">
        <v>11000</v>
      </c>
      <c r="M1812" s="7"/>
    </row>
    <row r="1813" spans="2:13" customFormat="1" x14ac:dyDescent="0.25">
      <c r="B1813" t="s">
        <v>851</v>
      </c>
      <c r="C1813" t="s">
        <v>111</v>
      </c>
      <c r="D1813" t="s">
        <v>891</v>
      </c>
      <c r="E1813" t="s">
        <v>289</v>
      </c>
      <c r="F1813" t="s">
        <v>195</v>
      </c>
      <c r="H1813">
        <v>89.09</v>
      </c>
      <c r="I1813">
        <v>0</v>
      </c>
      <c r="J1813">
        <v>-89.09</v>
      </c>
      <c r="M1813" s="7"/>
    </row>
    <row r="1814" spans="2:13" customFormat="1" x14ac:dyDescent="0.25">
      <c r="B1814" t="s">
        <v>851</v>
      </c>
      <c r="C1814" t="s">
        <v>203</v>
      </c>
      <c r="D1814" t="s">
        <v>891</v>
      </c>
      <c r="E1814" t="s">
        <v>297</v>
      </c>
      <c r="F1814" t="s">
        <v>204</v>
      </c>
      <c r="H1814">
        <v>0</v>
      </c>
      <c r="I1814">
        <v>11194.32</v>
      </c>
      <c r="J1814">
        <v>17977.11</v>
      </c>
      <c r="M1814" s="7"/>
    </row>
    <row r="1815" spans="2:13" customFormat="1" x14ac:dyDescent="0.25">
      <c r="B1815" t="s">
        <v>851</v>
      </c>
      <c r="C1815" t="s">
        <v>398</v>
      </c>
      <c r="D1815" t="s">
        <v>891</v>
      </c>
      <c r="E1815" t="s">
        <v>399</v>
      </c>
      <c r="F1815" t="s">
        <v>400</v>
      </c>
      <c r="H1815">
        <v>0</v>
      </c>
      <c r="I1815">
        <v>2154.2800000000002</v>
      </c>
      <c r="J1815">
        <v>13866.5</v>
      </c>
      <c r="M1815" s="7"/>
    </row>
    <row r="1816" spans="2:13" customFormat="1" x14ac:dyDescent="0.25">
      <c r="B1816" t="s">
        <v>851</v>
      </c>
      <c r="C1816" t="s">
        <v>443</v>
      </c>
      <c r="D1816" t="s">
        <v>891</v>
      </c>
      <c r="E1816" t="s">
        <v>444</v>
      </c>
      <c r="F1816" t="s">
        <v>445</v>
      </c>
      <c r="H1816">
        <v>0</v>
      </c>
      <c r="I1816">
        <v>1145.3800000000001</v>
      </c>
      <c r="J1816">
        <v>13744.52</v>
      </c>
      <c r="M1816" s="7"/>
    </row>
    <row r="1817" spans="2:13" customFormat="1" x14ac:dyDescent="0.25">
      <c r="B1817" t="s">
        <v>851</v>
      </c>
      <c r="C1817" t="s">
        <v>401</v>
      </c>
      <c r="D1817" t="s">
        <v>891</v>
      </c>
      <c r="E1817" t="s">
        <v>402</v>
      </c>
      <c r="F1817" t="s">
        <v>403</v>
      </c>
      <c r="H1817">
        <v>0</v>
      </c>
      <c r="I1817">
        <v>0</v>
      </c>
      <c r="J1817">
        <v>1287.67</v>
      </c>
      <c r="M1817" s="7"/>
    </row>
    <row r="1818" spans="2:13" customFormat="1" x14ac:dyDescent="0.25">
      <c r="B1818" t="s">
        <v>851</v>
      </c>
      <c r="C1818" t="s">
        <v>446</v>
      </c>
      <c r="D1818" t="s">
        <v>891</v>
      </c>
      <c r="E1818" t="s">
        <v>447</v>
      </c>
      <c r="F1818" t="s">
        <v>448</v>
      </c>
      <c r="H1818">
        <v>0</v>
      </c>
      <c r="I1818">
        <v>0</v>
      </c>
      <c r="J1818">
        <v>1655.03</v>
      </c>
      <c r="M1818" s="7"/>
    </row>
    <row r="1819" spans="2:13" customFormat="1" x14ac:dyDescent="0.25">
      <c r="B1819" t="s">
        <v>851</v>
      </c>
      <c r="C1819" t="s">
        <v>404</v>
      </c>
      <c r="D1819" t="s">
        <v>891</v>
      </c>
      <c r="E1819" t="s">
        <v>405</v>
      </c>
      <c r="F1819" t="s">
        <v>406</v>
      </c>
      <c r="H1819">
        <v>0</v>
      </c>
      <c r="I1819">
        <v>0</v>
      </c>
      <c r="J1819">
        <v>-363.52</v>
      </c>
      <c r="M1819" s="7"/>
    </row>
    <row r="1820" spans="2:13" customFormat="1" x14ac:dyDescent="0.25">
      <c r="B1820" t="s">
        <v>851</v>
      </c>
      <c r="C1820" t="s">
        <v>112</v>
      </c>
      <c r="D1820" t="s">
        <v>891</v>
      </c>
      <c r="E1820" t="s">
        <v>290</v>
      </c>
      <c r="F1820" t="s">
        <v>196</v>
      </c>
      <c r="H1820">
        <v>0</v>
      </c>
      <c r="I1820">
        <v>0</v>
      </c>
      <c r="J1820">
        <v>5004.6499999999996</v>
      </c>
      <c r="M1820" s="7"/>
    </row>
    <row r="1821" spans="2:13" customFormat="1" x14ac:dyDescent="0.25">
      <c r="B1821" t="s">
        <v>851</v>
      </c>
      <c r="C1821" t="s">
        <v>71</v>
      </c>
      <c r="D1821" t="s">
        <v>891</v>
      </c>
      <c r="E1821" t="s">
        <v>291</v>
      </c>
      <c r="F1821" t="s">
        <v>197</v>
      </c>
      <c r="H1821">
        <v>0</v>
      </c>
      <c r="I1821">
        <v>359.78</v>
      </c>
      <c r="J1821">
        <v>2618.73</v>
      </c>
      <c r="M1821" s="7"/>
    </row>
    <row r="1822" spans="2:13" customFormat="1" x14ac:dyDescent="0.25">
      <c r="B1822" t="s">
        <v>851</v>
      </c>
      <c r="C1822" t="s">
        <v>72</v>
      </c>
      <c r="D1822" t="s">
        <v>891</v>
      </c>
      <c r="E1822" t="s">
        <v>292</v>
      </c>
      <c r="F1822" t="s">
        <v>198</v>
      </c>
      <c r="H1822">
        <v>0</v>
      </c>
      <c r="I1822">
        <v>298.08</v>
      </c>
      <c r="J1822">
        <v>4256.07</v>
      </c>
      <c r="M1822" s="7"/>
    </row>
    <row r="1823" spans="2:13" customFormat="1" x14ac:dyDescent="0.25">
      <c r="B1823" t="s">
        <v>851</v>
      </c>
      <c r="C1823" t="s">
        <v>73</v>
      </c>
      <c r="D1823" t="s">
        <v>891</v>
      </c>
      <c r="E1823" t="s">
        <v>293</v>
      </c>
      <c r="F1823" t="s">
        <v>199</v>
      </c>
      <c r="H1823">
        <v>0</v>
      </c>
      <c r="I1823">
        <v>237.71</v>
      </c>
      <c r="J1823">
        <v>1212.07</v>
      </c>
      <c r="M1823" s="7"/>
    </row>
    <row r="1824" spans="2:13" customFormat="1" x14ac:dyDescent="0.25">
      <c r="B1824" t="s">
        <v>851</v>
      </c>
      <c r="C1824" t="s">
        <v>74</v>
      </c>
      <c r="D1824" t="s">
        <v>891</v>
      </c>
      <c r="E1824" t="s">
        <v>294</v>
      </c>
      <c r="F1824" t="s">
        <v>200</v>
      </c>
      <c r="H1824">
        <v>0</v>
      </c>
      <c r="I1824">
        <v>5020.22</v>
      </c>
      <c r="J1824">
        <v>53591.41</v>
      </c>
      <c r="M1824" s="7"/>
    </row>
    <row r="1825" spans="2:13" customFormat="1" x14ac:dyDescent="0.25">
      <c r="B1825" t="s">
        <v>855</v>
      </c>
      <c r="C1825" t="s">
        <v>26</v>
      </c>
      <c r="D1825" t="s">
        <v>891</v>
      </c>
      <c r="E1825" t="s">
        <v>211</v>
      </c>
      <c r="F1825" t="s">
        <v>116</v>
      </c>
      <c r="H1825">
        <v>139874.01999999999</v>
      </c>
      <c r="I1825">
        <v>139874.01999999999</v>
      </c>
      <c r="J1825">
        <v>0</v>
      </c>
      <c r="M1825" s="7"/>
    </row>
    <row r="1826" spans="2:13" customFormat="1" x14ac:dyDescent="0.25">
      <c r="B1826" t="s">
        <v>855</v>
      </c>
      <c r="C1826" t="s">
        <v>27</v>
      </c>
      <c r="D1826" t="s">
        <v>891</v>
      </c>
      <c r="E1826" t="s">
        <v>212</v>
      </c>
      <c r="F1826" t="s">
        <v>117</v>
      </c>
      <c r="H1826">
        <v>2581.94</v>
      </c>
      <c r="I1826">
        <v>2651.76</v>
      </c>
      <c r="J1826">
        <v>1522.94</v>
      </c>
      <c r="M1826" s="7"/>
    </row>
    <row r="1827" spans="2:13" customFormat="1" x14ac:dyDescent="0.25">
      <c r="B1827" t="s">
        <v>855</v>
      </c>
      <c r="C1827" t="s">
        <v>28</v>
      </c>
      <c r="D1827" t="s">
        <v>891</v>
      </c>
      <c r="E1827" t="s">
        <v>213</v>
      </c>
      <c r="F1827" t="s">
        <v>118</v>
      </c>
      <c r="H1827">
        <v>109137.48</v>
      </c>
      <c r="I1827">
        <v>109333.26</v>
      </c>
      <c r="J1827">
        <v>3160.48</v>
      </c>
      <c r="M1827" s="7"/>
    </row>
    <row r="1828" spans="2:13" customFormat="1" x14ac:dyDescent="0.25">
      <c r="B1828" t="s">
        <v>855</v>
      </c>
      <c r="C1828" t="s">
        <v>410</v>
      </c>
      <c r="D1828" t="s">
        <v>891</v>
      </c>
      <c r="E1828" t="s">
        <v>411</v>
      </c>
      <c r="F1828" t="s">
        <v>412</v>
      </c>
      <c r="H1828">
        <v>129066.01</v>
      </c>
      <c r="I1828">
        <v>139874.01999999999</v>
      </c>
      <c r="J1828">
        <v>26410.82</v>
      </c>
      <c r="M1828" s="7"/>
    </row>
    <row r="1829" spans="2:13" customFormat="1" x14ac:dyDescent="0.25">
      <c r="B1829" t="s">
        <v>855</v>
      </c>
      <c r="C1829" t="s">
        <v>30</v>
      </c>
      <c r="D1829" t="s">
        <v>891</v>
      </c>
      <c r="E1829" t="s">
        <v>215</v>
      </c>
      <c r="F1829" t="s">
        <v>120</v>
      </c>
      <c r="H1829">
        <v>723413.55</v>
      </c>
      <c r="I1829">
        <v>746116.58</v>
      </c>
      <c r="J1829">
        <v>351133.64</v>
      </c>
      <c r="M1829" s="7"/>
    </row>
    <row r="1830" spans="2:13" customFormat="1" x14ac:dyDescent="0.25">
      <c r="B1830" t="s">
        <v>855</v>
      </c>
      <c r="C1830" t="s">
        <v>81</v>
      </c>
      <c r="D1830" t="s">
        <v>891</v>
      </c>
      <c r="E1830" t="s">
        <v>216</v>
      </c>
      <c r="F1830" t="s">
        <v>121</v>
      </c>
      <c r="H1830">
        <v>50060</v>
      </c>
      <c r="I1830">
        <v>46664.83</v>
      </c>
      <c r="J1830">
        <v>55329.37</v>
      </c>
      <c r="M1830" s="7"/>
    </row>
    <row r="1831" spans="2:13" customFormat="1" x14ac:dyDescent="0.25">
      <c r="B1831" t="s">
        <v>855</v>
      </c>
      <c r="C1831" t="s">
        <v>31</v>
      </c>
      <c r="D1831" t="s">
        <v>891</v>
      </c>
      <c r="E1831" t="s">
        <v>217</v>
      </c>
      <c r="F1831" t="s">
        <v>122</v>
      </c>
      <c r="H1831">
        <v>820160.07</v>
      </c>
      <c r="I1831">
        <v>820160.07</v>
      </c>
      <c r="J1831">
        <v>0</v>
      </c>
      <c r="M1831" s="7"/>
    </row>
    <row r="1832" spans="2:13" customFormat="1" x14ac:dyDescent="0.25">
      <c r="B1832" t="s">
        <v>855</v>
      </c>
      <c r="C1832" t="s">
        <v>32</v>
      </c>
      <c r="D1832" t="s">
        <v>891</v>
      </c>
      <c r="E1832" t="s">
        <v>218</v>
      </c>
      <c r="F1832" t="s">
        <v>123</v>
      </c>
      <c r="H1832">
        <v>18891</v>
      </c>
      <c r="I1832">
        <v>12440</v>
      </c>
      <c r="J1832">
        <v>12440</v>
      </c>
      <c r="M1832" s="7"/>
    </row>
    <row r="1833" spans="2:13" customFormat="1" x14ac:dyDescent="0.25">
      <c r="B1833" t="s">
        <v>855</v>
      </c>
      <c r="C1833" t="s">
        <v>33</v>
      </c>
      <c r="D1833" t="s">
        <v>891</v>
      </c>
      <c r="E1833" t="s">
        <v>219</v>
      </c>
      <c r="F1833" t="s">
        <v>124</v>
      </c>
      <c r="H1833">
        <v>228411.8</v>
      </c>
      <c r="I1833">
        <v>227328.8</v>
      </c>
      <c r="J1833">
        <v>10434.620000000001</v>
      </c>
      <c r="M1833" s="7"/>
    </row>
    <row r="1834" spans="2:13" customFormat="1" x14ac:dyDescent="0.25">
      <c r="B1834" t="s">
        <v>855</v>
      </c>
      <c r="C1834" t="s">
        <v>34</v>
      </c>
      <c r="D1834" t="s">
        <v>891</v>
      </c>
      <c r="E1834" t="s">
        <v>220</v>
      </c>
      <c r="F1834" t="s">
        <v>125</v>
      </c>
      <c r="H1834">
        <v>210512.14</v>
      </c>
      <c r="I1834">
        <v>260740.01</v>
      </c>
      <c r="J1834">
        <v>264214.63</v>
      </c>
      <c r="M1834" s="7"/>
    </row>
    <row r="1835" spans="2:13" customFormat="1" x14ac:dyDescent="0.25">
      <c r="B1835" t="s">
        <v>855</v>
      </c>
      <c r="C1835" t="s">
        <v>205</v>
      </c>
      <c r="D1835" t="s">
        <v>891</v>
      </c>
      <c r="E1835" t="s">
        <v>298</v>
      </c>
      <c r="F1835" t="s">
        <v>206</v>
      </c>
      <c r="H1835">
        <v>51644.45</v>
      </c>
      <c r="I1835">
        <v>79031.06</v>
      </c>
      <c r="J1835">
        <v>79236.06</v>
      </c>
      <c r="M1835" s="7"/>
    </row>
    <row r="1836" spans="2:13" customFormat="1" x14ac:dyDescent="0.25">
      <c r="B1836" t="s">
        <v>855</v>
      </c>
      <c r="C1836" t="s">
        <v>35</v>
      </c>
      <c r="D1836" t="s">
        <v>891</v>
      </c>
      <c r="E1836" t="s">
        <v>221</v>
      </c>
      <c r="F1836" t="s">
        <v>127</v>
      </c>
      <c r="H1836">
        <v>8261.64</v>
      </c>
      <c r="I1836">
        <v>10146.959999999999</v>
      </c>
      <c r="J1836">
        <v>8091.49</v>
      </c>
      <c r="M1836" s="7"/>
    </row>
    <row r="1837" spans="2:13" customFormat="1" x14ac:dyDescent="0.25">
      <c r="B1837" t="s">
        <v>855</v>
      </c>
      <c r="C1837" t="s">
        <v>36</v>
      </c>
      <c r="D1837" t="s">
        <v>891</v>
      </c>
      <c r="E1837" t="s">
        <v>222</v>
      </c>
      <c r="F1837" t="s">
        <v>128</v>
      </c>
      <c r="H1837">
        <v>391.46</v>
      </c>
      <c r="I1837">
        <v>599.49</v>
      </c>
      <c r="J1837">
        <v>9039.84</v>
      </c>
      <c r="M1837" s="7"/>
    </row>
    <row r="1838" spans="2:13" customFormat="1" x14ac:dyDescent="0.25">
      <c r="B1838" t="s">
        <v>855</v>
      </c>
      <c r="C1838" t="s">
        <v>37</v>
      </c>
      <c r="D1838" t="s">
        <v>891</v>
      </c>
      <c r="E1838" t="s">
        <v>223</v>
      </c>
      <c r="F1838" t="s">
        <v>129</v>
      </c>
      <c r="H1838">
        <v>1802.91</v>
      </c>
      <c r="I1838">
        <v>2761.1</v>
      </c>
      <c r="J1838">
        <v>41617.599999999999</v>
      </c>
      <c r="M1838" s="7"/>
    </row>
    <row r="1839" spans="2:13" customFormat="1" x14ac:dyDescent="0.25">
      <c r="B1839" t="s">
        <v>855</v>
      </c>
      <c r="C1839" t="s">
        <v>413</v>
      </c>
      <c r="D1839" t="s">
        <v>891</v>
      </c>
      <c r="E1839" t="s">
        <v>414</v>
      </c>
      <c r="F1839" t="s">
        <v>415</v>
      </c>
      <c r="H1839">
        <v>0</v>
      </c>
      <c r="I1839">
        <v>0</v>
      </c>
      <c r="J1839">
        <v>2515.1799999999998</v>
      </c>
      <c r="M1839" s="7"/>
    </row>
    <row r="1840" spans="2:13" customFormat="1" x14ac:dyDescent="0.25">
      <c r="B1840" t="s">
        <v>855</v>
      </c>
      <c r="C1840" t="s">
        <v>304</v>
      </c>
      <c r="D1840" t="s">
        <v>891</v>
      </c>
      <c r="E1840" t="s">
        <v>305</v>
      </c>
      <c r="F1840" t="s">
        <v>306</v>
      </c>
      <c r="H1840">
        <v>686555.44</v>
      </c>
      <c r="I1840">
        <v>574493</v>
      </c>
      <c r="J1840">
        <v>197472.64000000001</v>
      </c>
      <c r="M1840" s="7"/>
    </row>
    <row r="1841" spans="2:13" customFormat="1" x14ac:dyDescent="0.25">
      <c r="B1841" t="s">
        <v>855</v>
      </c>
      <c r="C1841" t="s">
        <v>38</v>
      </c>
      <c r="D1841" t="s">
        <v>891</v>
      </c>
      <c r="E1841" t="s">
        <v>224</v>
      </c>
      <c r="F1841" t="s">
        <v>130</v>
      </c>
      <c r="H1841">
        <v>69198.8</v>
      </c>
      <c r="I1841">
        <v>53765.81</v>
      </c>
      <c r="J1841">
        <v>86253.15</v>
      </c>
      <c r="M1841" s="7"/>
    </row>
    <row r="1842" spans="2:13" customFormat="1" x14ac:dyDescent="0.25">
      <c r="B1842" t="s">
        <v>855</v>
      </c>
      <c r="C1842" t="s">
        <v>39</v>
      </c>
      <c r="D1842" t="s">
        <v>891</v>
      </c>
      <c r="E1842" t="s">
        <v>225</v>
      </c>
      <c r="F1842" t="s">
        <v>131</v>
      </c>
      <c r="H1842">
        <v>3937.4</v>
      </c>
      <c r="I1842">
        <v>1122.67</v>
      </c>
      <c r="J1842">
        <v>48123.75</v>
      </c>
      <c r="M1842" s="7"/>
    </row>
    <row r="1843" spans="2:13" customFormat="1" x14ac:dyDescent="0.25">
      <c r="B1843" t="s">
        <v>855</v>
      </c>
      <c r="C1843" t="s">
        <v>452</v>
      </c>
      <c r="D1843" t="s">
        <v>891</v>
      </c>
      <c r="E1843" t="s">
        <v>453</v>
      </c>
      <c r="F1843" t="s">
        <v>454</v>
      </c>
      <c r="H1843">
        <v>0</v>
      </c>
      <c r="I1843">
        <v>640</v>
      </c>
      <c r="J1843">
        <v>49113.14</v>
      </c>
      <c r="M1843" s="7"/>
    </row>
    <row r="1844" spans="2:13" customFormat="1" x14ac:dyDescent="0.25">
      <c r="B1844" t="s">
        <v>855</v>
      </c>
      <c r="C1844" t="s">
        <v>455</v>
      </c>
      <c r="D1844" t="s">
        <v>891</v>
      </c>
      <c r="E1844" t="s">
        <v>456</v>
      </c>
      <c r="F1844" t="s">
        <v>457</v>
      </c>
      <c r="H1844">
        <v>0</v>
      </c>
      <c r="I1844">
        <v>0</v>
      </c>
      <c r="J1844">
        <v>8082</v>
      </c>
      <c r="M1844" s="7"/>
    </row>
    <row r="1845" spans="2:13" customFormat="1" x14ac:dyDescent="0.25">
      <c r="B1845" t="s">
        <v>855</v>
      </c>
      <c r="C1845" t="s">
        <v>416</v>
      </c>
      <c r="D1845" t="s">
        <v>891</v>
      </c>
      <c r="E1845" t="s">
        <v>417</v>
      </c>
      <c r="F1845" t="s">
        <v>418</v>
      </c>
      <c r="H1845">
        <v>0</v>
      </c>
      <c r="I1845">
        <v>0</v>
      </c>
      <c r="J1845">
        <v>5142.2</v>
      </c>
      <c r="M1845" s="7"/>
    </row>
    <row r="1846" spans="2:13" customFormat="1" x14ac:dyDescent="0.25">
      <c r="B1846" t="s">
        <v>855</v>
      </c>
      <c r="C1846" t="s">
        <v>458</v>
      </c>
      <c r="D1846" t="s">
        <v>891</v>
      </c>
      <c r="E1846" t="s">
        <v>459</v>
      </c>
      <c r="F1846" t="s">
        <v>460</v>
      </c>
      <c r="H1846">
        <v>0</v>
      </c>
      <c r="I1846">
        <v>0</v>
      </c>
      <c r="J1846">
        <v>83835.490000000005</v>
      </c>
      <c r="M1846" s="7"/>
    </row>
    <row r="1847" spans="2:13" customFormat="1" x14ac:dyDescent="0.25">
      <c r="B1847" t="s">
        <v>855</v>
      </c>
      <c r="C1847" t="s">
        <v>461</v>
      </c>
      <c r="D1847" t="s">
        <v>891</v>
      </c>
      <c r="E1847" t="s">
        <v>462</v>
      </c>
      <c r="F1847" t="s">
        <v>463</v>
      </c>
      <c r="H1847">
        <v>0</v>
      </c>
      <c r="I1847">
        <v>0</v>
      </c>
      <c r="J1847">
        <v>433.3</v>
      </c>
      <c r="M1847" s="7"/>
    </row>
    <row r="1848" spans="2:13" customFormat="1" x14ac:dyDescent="0.25">
      <c r="B1848" t="s">
        <v>855</v>
      </c>
      <c r="C1848" t="s">
        <v>470</v>
      </c>
      <c r="D1848" t="s">
        <v>891</v>
      </c>
      <c r="E1848" t="s">
        <v>471</v>
      </c>
      <c r="F1848" t="s">
        <v>472</v>
      </c>
      <c r="H1848">
        <v>67.349999999999994</v>
      </c>
      <c r="I1848">
        <v>0</v>
      </c>
      <c r="J1848">
        <v>-10586.98</v>
      </c>
      <c r="M1848" s="7"/>
    </row>
    <row r="1849" spans="2:13" customFormat="1" x14ac:dyDescent="0.25">
      <c r="B1849" t="s">
        <v>855</v>
      </c>
      <c r="C1849" t="s">
        <v>419</v>
      </c>
      <c r="D1849" t="s">
        <v>891</v>
      </c>
      <c r="E1849" t="s">
        <v>420</v>
      </c>
      <c r="F1849" t="s">
        <v>421</v>
      </c>
      <c r="H1849">
        <v>37.71</v>
      </c>
      <c r="I1849">
        <v>0</v>
      </c>
      <c r="J1849">
        <v>-7624.79</v>
      </c>
      <c r="M1849" s="7"/>
    </row>
    <row r="1850" spans="2:13" customFormat="1" x14ac:dyDescent="0.25">
      <c r="B1850" t="s">
        <v>855</v>
      </c>
      <c r="C1850" t="s">
        <v>473</v>
      </c>
      <c r="D1850" t="s">
        <v>891</v>
      </c>
      <c r="E1850" t="s">
        <v>474</v>
      </c>
      <c r="F1850" t="s">
        <v>475</v>
      </c>
      <c r="H1850">
        <v>1397.26</v>
      </c>
      <c r="I1850">
        <v>0</v>
      </c>
      <c r="J1850">
        <v>-60174.04</v>
      </c>
      <c r="M1850" s="7"/>
    </row>
    <row r="1851" spans="2:13" customFormat="1" x14ac:dyDescent="0.25">
      <c r="B1851" t="s">
        <v>855</v>
      </c>
      <c r="C1851" t="s">
        <v>476</v>
      </c>
      <c r="D1851" t="s">
        <v>891</v>
      </c>
      <c r="E1851" t="s">
        <v>477</v>
      </c>
      <c r="F1851" t="s">
        <v>478</v>
      </c>
      <c r="H1851">
        <v>3.61</v>
      </c>
      <c r="I1851">
        <v>0</v>
      </c>
      <c r="J1851">
        <v>-61.37</v>
      </c>
      <c r="M1851" s="7"/>
    </row>
    <row r="1852" spans="2:13" customFormat="1" x14ac:dyDescent="0.25">
      <c r="B1852" t="s">
        <v>855</v>
      </c>
      <c r="C1852" t="s">
        <v>422</v>
      </c>
      <c r="D1852" t="s">
        <v>891</v>
      </c>
      <c r="E1852" t="s">
        <v>423</v>
      </c>
      <c r="F1852" t="s">
        <v>424</v>
      </c>
      <c r="H1852">
        <v>0</v>
      </c>
      <c r="I1852">
        <v>0</v>
      </c>
      <c r="J1852">
        <v>463720.9</v>
      </c>
      <c r="M1852" s="7"/>
    </row>
    <row r="1853" spans="2:13" customFormat="1" x14ac:dyDescent="0.25">
      <c r="B1853" t="s">
        <v>855</v>
      </c>
      <c r="C1853" t="s">
        <v>425</v>
      </c>
      <c r="D1853" t="s">
        <v>891</v>
      </c>
      <c r="E1853" t="s">
        <v>426</v>
      </c>
      <c r="F1853" t="s">
        <v>427</v>
      </c>
      <c r="H1853">
        <v>0</v>
      </c>
      <c r="I1853">
        <v>3500</v>
      </c>
      <c r="J1853">
        <v>5000</v>
      </c>
      <c r="M1853" s="7"/>
    </row>
    <row r="1854" spans="2:13" customFormat="1" x14ac:dyDescent="0.25">
      <c r="B1854" t="s">
        <v>855</v>
      </c>
      <c r="C1854" t="s">
        <v>428</v>
      </c>
      <c r="D1854" t="s">
        <v>891</v>
      </c>
      <c r="E1854" t="s">
        <v>429</v>
      </c>
      <c r="F1854" t="s">
        <v>430</v>
      </c>
      <c r="H1854">
        <v>25</v>
      </c>
      <c r="I1854">
        <v>0</v>
      </c>
      <c r="J1854">
        <v>-25</v>
      </c>
      <c r="M1854" s="7"/>
    </row>
    <row r="1855" spans="2:13" customFormat="1" x14ac:dyDescent="0.25">
      <c r="B1855" t="s">
        <v>855</v>
      </c>
      <c r="C1855" t="s">
        <v>40</v>
      </c>
      <c r="D1855" t="s">
        <v>891</v>
      </c>
      <c r="E1855" t="s">
        <v>227</v>
      </c>
      <c r="F1855" t="s">
        <v>133</v>
      </c>
      <c r="H1855">
        <v>676627.25</v>
      </c>
      <c r="I1855">
        <v>92086.21</v>
      </c>
      <c r="J1855">
        <v>-616102.37</v>
      </c>
      <c r="M1855" s="7"/>
    </row>
    <row r="1856" spans="2:13" customFormat="1" x14ac:dyDescent="0.25">
      <c r="B1856" t="s">
        <v>855</v>
      </c>
      <c r="C1856" t="s">
        <v>83</v>
      </c>
      <c r="D1856" t="s">
        <v>891</v>
      </c>
      <c r="E1856" t="s">
        <v>228</v>
      </c>
      <c r="F1856" t="s">
        <v>134</v>
      </c>
      <c r="H1856">
        <v>14209.4</v>
      </c>
      <c r="I1856">
        <v>36292.94</v>
      </c>
      <c r="J1856">
        <v>-4485.34</v>
      </c>
      <c r="M1856" s="7"/>
    </row>
    <row r="1857" spans="2:13" customFormat="1" x14ac:dyDescent="0.25">
      <c r="B1857" t="s">
        <v>855</v>
      </c>
      <c r="C1857" t="s">
        <v>113</v>
      </c>
      <c r="D1857" t="s">
        <v>891</v>
      </c>
      <c r="E1857" t="s">
        <v>229</v>
      </c>
      <c r="F1857" t="s">
        <v>135</v>
      </c>
      <c r="H1857">
        <v>0</v>
      </c>
      <c r="I1857">
        <v>547873.5</v>
      </c>
      <c r="J1857">
        <v>520225</v>
      </c>
      <c r="M1857" s="7"/>
    </row>
    <row r="1858" spans="2:13" customFormat="1" x14ac:dyDescent="0.25">
      <c r="B1858" t="s">
        <v>855</v>
      </c>
      <c r="C1858" t="s">
        <v>84</v>
      </c>
      <c r="D1858" t="s">
        <v>891</v>
      </c>
      <c r="E1858" t="s">
        <v>230</v>
      </c>
      <c r="F1858" t="s">
        <v>136</v>
      </c>
      <c r="H1858">
        <v>0</v>
      </c>
      <c r="I1858">
        <v>0</v>
      </c>
      <c r="J1858">
        <v>-463720.9</v>
      </c>
      <c r="M1858" s="7"/>
    </row>
    <row r="1859" spans="2:13" customFormat="1" x14ac:dyDescent="0.25">
      <c r="B1859" t="s">
        <v>855</v>
      </c>
      <c r="C1859" t="s">
        <v>41</v>
      </c>
      <c r="D1859" t="s">
        <v>891</v>
      </c>
      <c r="E1859" t="s">
        <v>231</v>
      </c>
      <c r="F1859" t="s">
        <v>137</v>
      </c>
      <c r="H1859">
        <v>3835.93</v>
      </c>
      <c r="I1859">
        <v>0</v>
      </c>
      <c r="J1859">
        <v>-8057.15</v>
      </c>
      <c r="M1859" s="7"/>
    </row>
    <row r="1860" spans="2:13" customFormat="1" x14ac:dyDescent="0.25">
      <c r="B1860" t="s">
        <v>855</v>
      </c>
      <c r="C1860" t="s">
        <v>42</v>
      </c>
      <c r="D1860" t="s">
        <v>891</v>
      </c>
      <c r="E1860" t="s">
        <v>232</v>
      </c>
      <c r="F1860" t="s">
        <v>138</v>
      </c>
      <c r="H1860">
        <v>383.69</v>
      </c>
      <c r="I1860">
        <v>383.79</v>
      </c>
      <c r="J1860">
        <v>0</v>
      </c>
      <c r="M1860" s="7"/>
    </row>
    <row r="1861" spans="2:13" customFormat="1" x14ac:dyDescent="0.25">
      <c r="B1861" t="s">
        <v>855</v>
      </c>
      <c r="C1861" t="s">
        <v>43</v>
      </c>
      <c r="D1861" t="s">
        <v>891</v>
      </c>
      <c r="E1861" t="s">
        <v>233</v>
      </c>
      <c r="F1861" t="s">
        <v>139</v>
      </c>
      <c r="H1861">
        <v>1767.31</v>
      </c>
      <c r="I1861">
        <v>1767.31</v>
      </c>
      <c r="J1861">
        <v>0</v>
      </c>
      <c r="M1861" s="7"/>
    </row>
    <row r="1862" spans="2:13" customFormat="1" x14ac:dyDescent="0.25">
      <c r="B1862" t="s">
        <v>855</v>
      </c>
      <c r="C1862" t="s">
        <v>365</v>
      </c>
      <c r="D1862" t="s">
        <v>891</v>
      </c>
      <c r="E1862" t="s">
        <v>366</v>
      </c>
      <c r="F1862" t="s">
        <v>367</v>
      </c>
      <c r="H1862">
        <v>630.16999999999996</v>
      </c>
      <c r="I1862">
        <v>32321.78</v>
      </c>
      <c r="J1862">
        <v>-630.17999999999995</v>
      </c>
      <c r="M1862" s="7"/>
    </row>
    <row r="1863" spans="2:13" customFormat="1" x14ac:dyDescent="0.25">
      <c r="B1863" t="s">
        <v>855</v>
      </c>
      <c r="C1863" t="s">
        <v>368</v>
      </c>
      <c r="D1863" t="s">
        <v>891</v>
      </c>
      <c r="E1863" t="s">
        <v>369</v>
      </c>
      <c r="F1863" t="s">
        <v>370</v>
      </c>
      <c r="H1863">
        <v>378.11</v>
      </c>
      <c r="I1863">
        <v>13795.84</v>
      </c>
      <c r="J1863">
        <v>-378.11</v>
      </c>
      <c r="M1863" s="7"/>
    </row>
    <row r="1864" spans="2:13" customFormat="1" x14ac:dyDescent="0.25">
      <c r="B1864" t="s">
        <v>855</v>
      </c>
      <c r="C1864" t="s">
        <v>79</v>
      </c>
      <c r="D1864" t="s">
        <v>891</v>
      </c>
      <c r="E1864" t="s">
        <v>234</v>
      </c>
      <c r="F1864" t="s">
        <v>140</v>
      </c>
      <c r="H1864">
        <v>216.36</v>
      </c>
      <c r="I1864">
        <v>0</v>
      </c>
      <c r="J1864">
        <v>-394.56</v>
      </c>
      <c r="M1864" s="7"/>
    </row>
    <row r="1865" spans="2:13" customFormat="1" x14ac:dyDescent="0.25">
      <c r="B1865" t="s">
        <v>855</v>
      </c>
      <c r="C1865" t="s">
        <v>44</v>
      </c>
      <c r="D1865" t="s">
        <v>891</v>
      </c>
      <c r="E1865" t="s">
        <v>235</v>
      </c>
      <c r="F1865" t="s">
        <v>141</v>
      </c>
      <c r="H1865">
        <v>0</v>
      </c>
      <c r="I1865">
        <v>0</v>
      </c>
      <c r="J1865">
        <v>-12.61</v>
      </c>
      <c r="M1865" s="7"/>
    </row>
    <row r="1866" spans="2:13" customFormat="1" x14ac:dyDescent="0.25">
      <c r="B1866" t="s">
        <v>855</v>
      </c>
      <c r="C1866" t="s">
        <v>45</v>
      </c>
      <c r="D1866" t="s">
        <v>891</v>
      </c>
      <c r="E1866" t="s">
        <v>236</v>
      </c>
      <c r="F1866" t="s">
        <v>142</v>
      </c>
      <c r="H1866">
        <v>63.36</v>
      </c>
      <c r="I1866">
        <v>0</v>
      </c>
      <c r="J1866">
        <v>-421.66</v>
      </c>
      <c r="M1866" s="7"/>
    </row>
    <row r="1867" spans="2:13" customFormat="1" x14ac:dyDescent="0.25">
      <c r="B1867" t="s">
        <v>855</v>
      </c>
      <c r="C1867" t="s">
        <v>494</v>
      </c>
      <c r="D1867" t="s">
        <v>891</v>
      </c>
      <c r="E1867" t="s">
        <v>495</v>
      </c>
      <c r="F1867" t="s">
        <v>496</v>
      </c>
      <c r="H1867">
        <v>0</v>
      </c>
      <c r="I1867">
        <v>0</v>
      </c>
      <c r="J1867">
        <v>-48473.14</v>
      </c>
      <c r="M1867" s="7"/>
    </row>
    <row r="1868" spans="2:13" customFormat="1" x14ac:dyDescent="0.25">
      <c r="B1868" t="s">
        <v>855</v>
      </c>
      <c r="C1868" t="s">
        <v>46</v>
      </c>
      <c r="D1868" t="s">
        <v>891</v>
      </c>
      <c r="E1868" t="s">
        <v>237</v>
      </c>
      <c r="F1868" t="s">
        <v>143</v>
      </c>
      <c r="H1868">
        <v>0</v>
      </c>
      <c r="I1868">
        <v>0</v>
      </c>
      <c r="J1868">
        <v>-1665564.15</v>
      </c>
      <c r="M1868" s="7"/>
    </row>
    <row r="1869" spans="2:13" customFormat="1" x14ac:dyDescent="0.25">
      <c r="B1869" t="s">
        <v>855</v>
      </c>
      <c r="C1869" t="s">
        <v>47</v>
      </c>
      <c r="D1869" t="s">
        <v>891</v>
      </c>
      <c r="E1869" t="s">
        <v>238</v>
      </c>
      <c r="F1869" t="s">
        <v>144</v>
      </c>
      <c r="H1869">
        <v>0</v>
      </c>
      <c r="I1869">
        <v>0</v>
      </c>
      <c r="J1869">
        <v>-374159.32</v>
      </c>
      <c r="M1869" s="7"/>
    </row>
    <row r="1870" spans="2:13" customFormat="1" x14ac:dyDescent="0.25">
      <c r="B1870" t="s">
        <v>855</v>
      </c>
      <c r="C1870" t="s">
        <v>588</v>
      </c>
      <c r="D1870" t="s">
        <v>891</v>
      </c>
      <c r="E1870" t="s">
        <v>589</v>
      </c>
      <c r="F1870" t="s">
        <v>590</v>
      </c>
      <c r="H1870">
        <v>0</v>
      </c>
      <c r="I1870">
        <v>0</v>
      </c>
      <c r="J1870">
        <v>-127115.76</v>
      </c>
      <c r="M1870" s="7"/>
    </row>
    <row r="1871" spans="2:13" customFormat="1" x14ac:dyDescent="0.25">
      <c r="B1871" t="s">
        <v>855</v>
      </c>
      <c r="C1871" t="s">
        <v>85</v>
      </c>
      <c r="D1871" t="s">
        <v>891</v>
      </c>
      <c r="E1871" t="s">
        <v>240</v>
      </c>
      <c r="F1871" t="s">
        <v>146</v>
      </c>
      <c r="H1871">
        <v>0</v>
      </c>
      <c r="I1871">
        <v>0</v>
      </c>
      <c r="J1871">
        <v>1161774.8899999999</v>
      </c>
      <c r="M1871" s="7"/>
    </row>
    <row r="1872" spans="2:13" customFormat="1" x14ac:dyDescent="0.25">
      <c r="B1872" t="s">
        <v>855</v>
      </c>
      <c r="C1872" t="s">
        <v>371</v>
      </c>
      <c r="D1872" t="s">
        <v>891</v>
      </c>
      <c r="E1872" t="s">
        <v>372</v>
      </c>
      <c r="F1872" t="s">
        <v>373</v>
      </c>
      <c r="H1872">
        <v>720600.61</v>
      </c>
      <c r="I1872">
        <v>0</v>
      </c>
      <c r="J1872">
        <v>-2077125.29</v>
      </c>
      <c r="M1872" s="7"/>
    </row>
    <row r="1873" spans="2:13" customFormat="1" x14ac:dyDescent="0.25">
      <c r="B1873" t="s">
        <v>855</v>
      </c>
      <c r="C1873" t="s">
        <v>374</v>
      </c>
      <c r="D1873" t="s">
        <v>891</v>
      </c>
      <c r="E1873" t="s">
        <v>375</v>
      </c>
      <c r="F1873" t="s">
        <v>376</v>
      </c>
      <c r="H1873">
        <v>17041.04</v>
      </c>
      <c r="I1873">
        <v>0</v>
      </c>
      <c r="J1873">
        <v>-57983.87</v>
      </c>
      <c r="M1873" s="7"/>
    </row>
    <row r="1874" spans="2:13" customFormat="1" x14ac:dyDescent="0.25">
      <c r="B1874" t="s">
        <v>855</v>
      </c>
      <c r="C1874" t="s">
        <v>48</v>
      </c>
      <c r="D1874" t="s">
        <v>891</v>
      </c>
      <c r="E1874" t="s">
        <v>241</v>
      </c>
      <c r="F1874" t="s">
        <v>147</v>
      </c>
      <c r="H1874">
        <v>7415.65</v>
      </c>
      <c r="I1874">
        <v>0</v>
      </c>
      <c r="J1874">
        <v>-10973.2</v>
      </c>
      <c r="M1874" s="7"/>
    </row>
    <row r="1875" spans="2:13" customFormat="1" x14ac:dyDescent="0.25">
      <c r="B1875" t="s">
        <v>855</v>
      </c>
      <c r="C1875" t="s">
        <v>86</v>
      </c>
      <c r="D1875" t="s">
        <v>891</v>
      </c>
      <c r="E1875" t="s">
        <v>242</v>
      </c>
      <c r="F1875" t="s">
        <v>148</v>
      </c>
      <c r="H1875">
        <v>74164.39</v>
      </c>
      <c r="I1875">
        <v>0</v>
      </c>
      <c r="J1875">
        <v>-172131.02</v>
      </c>
      <c r="M1875" s="7"/>
    </row>
    <row r="1876" spans="2:13" customFormat="1" x14ac:dyDescent="0.25">
      <c r="B1876" t="s">
        <v>855</v>
      </c>
      <c r="C1876" t="s">
        <v>49</v>
      </c>
      <c r="D1876" t="s">
        <v>891</v>
      </c>
      <c r="E1876" t="s">
        <v>243</v>
      </c>
      <c r="F1876" t="s">
        <v>149</v>
      </c>
      <c r="H1876">
        <v>0</v>
      </c>
      <c r="I1876">
        <v>4040.42</v>
      </c>
      <c r="J1876">
        <v>9187.51</v>
      </c>
      <c r="M1876" s="7"/>
    </row>
    <row r="1877" spans="2:13" customFormat="1" x14ac:dyDescent="0.25">
      <c r="B1877" t="s">
        <v>855</v>
      </c>
      <c r="C1877" t="s">
        <v>50</v>
      </c>
      <c r="D1877" t="s">
        <v>891</v>
      </c>
      <c r="E1877" t="s">
        <v>244</v>
      </c>
      <c r="F1877" t="s">
        <v>150</v>
      </c>
      <c r="H1877">
        <v>0.1</v>
      </c>
      <c r="I1877">
        <v>383.69</v>
      </c>
      <c r="J1877">
        <v>831.26</v>
      </c>
      <c r="M1877" s="7"/>
    </row>
    <row r="1878" spans="2:13" customFormat="1" x14ac:dyDescent="0.25">
      <c r="B1878" t="s">
        <v>855</v>
      </c>
      <c r="C1878" t="s">
        <v>51</v>
      </c>
      <c r="D1878" t="s">
        <v>891</v>
      </c>
      <c r="E1878" t="s">
        <v>245</v>
      </c>
      <c r="F1878" t="s">
        <v>151</v>
      </c>
      <c r="H1878">
        <v>0</v>
      </c>
      <c r="I1878">
        <v>1767.31</v>
      </c>
      <c r="J1878">
        <v>3828.84</v>
      </c>
      <c r="M1878" s="7"/>
    </row>
    <row r="1879" spans="2:13" customFormat="1" x14ac:dyDescent="0.25">
      <c r="B1879" t="s">
        <v>855</v>
      </c>
      <c r="C1879" t="s">
        <v>87</v>
      </c>
      <c r="D1879" t="s">
        <v>891</v>
      </c>
      <c r="E1879" t="s">
        <v>246</v>
      </c>
      <c r="F1879" t="s">
        <v>152</v>
      </c>
      <c r="H1879">
        <v>18967.41</v>
      </c>
      <c r="I1879">
        <v>18897</v>
      </c>
      <c r="J1879">
        <v>-396.19</v>
      </c>
      <c r="M1879" s="7"/>
    </row>
    <row r="1880" spans="2:13" customFormat="1" x14ac:dyDescent="0.25">
      <c r="B1880" t="s">
        <v>855</v>
      </c>
      <c r="C1880" t="s">
        <v>377</v>
      </c>
      <c r="D1880" t="s">
        <v>891</v>
      </c>
      <c r="E1880" t="s">
        <v>378</v>
      </c>
      <c r="F1880" t="s">
        <v>379</v>
      </c>
      <c r="H1880">
        <v>31337</v>
      </c>
      <c r="I1880">
        <v>705355.94</v>
      </c>
      <c r="J1880">
        <v>1904499.99</v>
      </c>
      <c r="M1880" s="7"/>
    </row>
    <row r="1881" spans="2:13" customFormat="1" x14ac:dyDescent="0.25">
      <c r="B1881" t="s">
        <v>855</v>
      </c>
      <c r="C1881" t="s">
        <v>53</v>
      </c>
      <c r="D1881" t="s">
        <v>891</v>
      </c>
      <c r="E1881" t="s">
        <v>249</v>
      </c>
      <c r="F1881" t="s">
        <v>155</v>
      </c>
      <c r="H1881">
        <v>0</v>
      </c>
      <c r="I1881">
        <v>66232.44</v>
      </c>
      <c r="J1881">
        <v>137909.70000000001</v>
      </c>
      <c r="M1881" s="7"/>
    </row>
    <row r="1882" spans="2:13" customFormat="1" x14ac:dyDescent="0.25">
      <c r="B1882" t="s">
        <v>855</v>
      </c>
      <c r="C1882" t="s">
        <v>54</v>
      </c>
      <c r="D1882" t="s">
        <v>891</v>
      </c>
      <c r="E1882" t="s">
        <v>250</v>
      </c>
      <c r="F1882" t="s">
        <v>156</v>
      </c>
      <c r="H1882">
        <v>0</v>
      </c>
      <c r="I1882">
        <v>3924.06</v>
      </c>
      <c r="J1882">
        <v>5780.85</v>
      </c>
      <c r="M1882" s="7"/>
    </row>
    <row r="1883" spans="2:13" customFormat="1" x14ac:dyDescent="0.25">
      <c r="B1883" t="s">
        <v>855</v>
      </c>
      <c r="C1883" t="s">
        <v>55</v>
      </c>
      <c r="D1883" t="s">
        <v>891</v>
      </c>
      <c r="E1883" t="s">
        <v>252</v>
      </c>
      <c r="F1883" t="s">
        <v>158</v>
      </c>
      <c r="H1883">
        <v>0</v>
      </c>
      <c r="I1883">
        <v>0</v>
      </c>
      <c r="J1883">
        <v>-1999.98</v>
      </c>
      <c r="M1883" s="7"/>
    </row>
    <row r="1884" spans="2:13" customFormat="1" x14ac:dyDescent="0.25">
      <c r="B1884" t="s">
        <v>855</v>
      </c>
      <c r="C1884" t="s">
        <v>58</v>
      </c>
      <c r="D1884" t="s">
        <v>891</v>
      </c>
      <c r="E1884" t="s">
        <v>255</v>
      </c>
      <c r="F1884" t="s">
        <v>161</v>
      </c>
      <c r="H1884">
        <v>0</v>
      </c>
      <c r="I1884">
        <v>0</v>
      </c>
      <c r="J1884">
        <v>-7.0000000000000007E-2</v>
      </c>
      <c r="M1884" s="7"/>
    </row>
    <row r="1885" spans="2:13" customFormat="1" x14ac:dyDescent="0.25">
      <c r="B1885" t="s">
        <v>855</v>
      </c>
      <c r="C1885" t="s">
        <v>62</v>
      </c>
      <c r="D1885" t="s">
        <v>891</v>
      </c>
      <c r="E1885" t="s">
        <v>260</v>
      </c>
      <c r="F1885" t="s">
        <v>166</v>
      </c>
      <c r="H1885">
        <v>938.38</v>
      </c>
      <c r="I1885">
        <v>1289.8399999999999</v>
      </c>
      <c r="J1885">
        <v>1841.75</v>
      </c>
      <c r="M1885" s="7"/>
    </row>
    <row r="1886" spans="2:13" customFormat="1" x14ac:dyDescent="0.25">
      <c r="B1886" t="s">
        <v>855</v>
      </c>
      <c r="C1886" t="s">
        <v>207</v>
      </c>
      <c r="D1886" t="s">
        <v>891</v>
      </c>
      <c r="E1886" t="s">
        <v>299</v>
      </c>
      <c r="F1886" t="s">
        <v>208</v>
      </c>
      <c r="H1886">
        <v>0</v>
      </c>
      <c r="I1886">
        <v>1799.1</v>
      </c>
      <c r="J1886">
        <v>2219.0700000000002</v>
      </c>
      <c r="M1886" s="7"/>
    </row>
    <row r="1887" spans="2:13" customFormat="1" x14ac:dyDescent="0.25">
      <c r="B1887" t="s">
        <v>855</v>
      </c>
      <c r="C1887" t="s">
        <v>63</v>
      </c>
      <c r="D1887" t="s">
        <v>891</v>
      </c>
      <c r="E1887" t="s">
        <v>261</v>
      </c>
      <c r="F1887" t="s">
        <v>167</v>
      </c>
      <c r="H1887">
        <v>460</v>
      </c>
      <c r="I1887">
        <v>1280</v>
      </c>
      <c r="J1887">
        <v>3600.27</v>
      </c>
      <c r="M1887" s="7"/>
    </row>
    <row r="1888" spans="2:13" customFormat="1" x14ac:dyDescent="0.25">
      <c r="B1888" t="s">
        <v>855</v>
      </c>
      <c r="C1888" t="s">
        <v>380</v>
      </c>
      <c r="D1888" t="s">
        <v>891</v>
      </c>
      <c r="E1888" t="s">
        <v>381</v>
      </c>
      <c r="F1888" t="s">
        <v>382</v>
      </c>
      <c r="H1888">
        <v>0</v>
      </c>
      <c r="I1888">
        <v>0</v>
      </c>
      <c r="J1888">
        <v>1550</v>
      </c>
      <c r="M1888" s="7"/>
    </row>
    <row r="1889" spans="2:13" customFormat="1" x14ac:dyDescent="0.25">
      <c r="B1889" t="s">
        <v>855</v>
      </c>
      <c r="C1889" t="s">
        <v>91</v>
      </c>
      <c r="D1889" t="s">
        <v>891</v>
      </c>
      <c r="E1889" t="s">
        <v>262</v>
      </c>
      <c r="F1889" t="s">
        <v>168</v>
      </c>
      <c r="H1889">
        <v>0</v>
      </c>
      <c r="I1889">
        <v>0</v>
      </c>
      <c r="J1889">
        <v>1815.81</v>
      </c>
      <c r="M1889" s="7"/>
    </row>
    <row r="1890" spans="2:13" customFormat="1" x14ac:dyDescent="0.25">
      <c r="B1890" t="s">
        <v>855</v>
      </c>
      <c r="C1890" t="s">
        <v>92</v>
      </c>
      <c r="D1890" t="s">
        <v>891</v>
      </c>
      <c r="E1890" t="s">
        <v>263</v>
      </c>
      <c r="F1890" t="s">
        <v>169</v>
      </c>
      <c r="H1890">
        <v>0</v>
      </c>
      <c r="I1890">
        <v>0</v>
      </c>
      <c r="J1890">
        <v>-70.040000000000006</v>
      </c>
      <c r="M1890" s="7"/>
    </row>
    <row r="1891" spans="2:13" customFormat="1" x14ac:dyDescent="0.25">
      <c r="B1891" t="s">
        <v>855</v>
      </c>
      <c r="C1891" t="s">
        <v>93</v>
      </c>
      <c r="D1891" t="s">
        <v>891</v>
      </c>
      <c r="E1891" t="s">
        <v>264</v>
      </c>
      <c r="F1891" t="s">
        <v>170</v>
      </c>
      <c r="H1891">
        <v>0</v>
      </c>
      <c r="I1891">
        <v>449</v>
      </c>
      <c r="J1891">
        <v>964</v>
      </c>
      <c r="M1891" s="7"/>
    </row>
    <row r="1892" spans="2:13" customFormat="1" x14ac:dyDescent="0.25">
      <c r="B1892" t="s">
        <v>855</v>
      </c>
      <c r="C1892" t="s">
        <v>350</v>
      </c>
      <c r="D1892" t="s">
        <v>891</v>
      </c>
      <c r="E1892" t="s">
        <v>351</v>
      </c>
      <c r="F1892" t="s">
        <v>352</v>
      </c>
      <c r="H1892">
        <v>0</v>
      </c>
      <c r="I1892">
        <v>0</v>
      </c>
      <c r="J1892">
        <v>-7884.36</v>
      </c>
      <c r="M1892" s="7"/>
    </row>
    <row r="1893" spans="2:13" customFormat="1" x14ac:dyDescent="0.25">
      <c r="B1893" t="s">
        <v>855</v>
      </c>
      <c r="C1893" t="s">
        <v>64</v>
      </c>
      <c r="D1893" t="s">
        <v>891</v>
      </c>
      <c r="E1893" t="s">
        <v>265</v>
      </c>
      <c r="F1893" t="s">
        <v>171</v>
      </c>
      <c r="H1893">
        <v>0</v>
      </c>
      <c r="I1893">
        <v>0</v>
      </c>
      <c r="J1893">
        <v>-1965.78</v>
      </c>
      <c r="M1893" s="7"/>
    </row>
    <row r="1894" spans="2:13" customFormat="1" x14ac:dyDescent="0.25">
      <c r="B1894" t="s">
        <v>855</v>
      </c>
      <c r="C1894" t="s">
        <v>94</v>
      </c>
      <c r="D1894" t="s">
        <v>891</v>
      </c>
      <c r="E1894" t="s">
        <v>266</v>
      </c>
      <c r="F1894" t="s">
        <v>172</v>
      </c>
      <c r="H1894">
        <v>0</v>
      </c>
      <c r="I1894">
        <v>0</v>
      </c>
      <c r="J1894">
        <v>-630.82000000000005</v>
      </c>
      <c r="M1894" s="7"/>
    </row>
    <row r="1895" spans="2:13" customFormat="1" x14ac:dyDescent="0.25">
      <c r="B1895" t="s">
        <v>855</v>
      </c>
      <c r="C1895" t="s">
        <v>353</v>
      </c>
      <c r="D1895" t="s">
        <v>891</v>
      </c>
      <c r="E1895" t="s">
        <v>354</v>
      </c>
      <c r="F1895" t="s">
        <v>355</v>
      </c>
      <c r="H1895">
        <v>0</v>
      </c>
      <c r="I1895">
        <v>0</v>
      </c>
      <c r="J1895">
        <v>-492.94</v>
      </c>
      <c r="M1895" s="7"/>
    </row>
    <row r="1896" spans="2:13" customFormat="1" x14ac:dyDescent="0.25">
      <c r="B1896" t="s">
        <v>855</v>
      </c>
      <c r="C1896" t="s">
        <v>95</v>
      </c>
      <c r="D1896" t="s">
        <v>891</v>
      </c>
      <c r="E1896" t="s">
        <v>267</v>
      </c>
      <c r="F1896" t="s">
        <v>173</v>
      </c>
      <c r="H1896">
        <v>0</v>
      </c>
      <c r="I1896">
        <v>0</v>
      </c>
      <c r="J1896">
        <v>-1649.27</v>
      </c>
      <c r="M1896" s="7"/>
    </row>
    <row r="1897" spans="2:13" customFormat="1" x14ac:dyDescent="0.25">
      <c r="B1897" t="s">
        <v>855</v>
      </c>
      <c r="C1897" t="s">
        <v>389</v>
      </c>
      <c r="D1897" t="s">
        <v>891</v>
      </c>
      <c r="E1897" t="s">
        <v>390</v>
      </c>
      <c r="F1897" t="s">
        <v>391</v>
      </c>
      <c r="H1897">
        <v>0</v>
      </c>
      <c r="I1897">
        <v>0</v>
      </c>
      <c r="J1897">
        <v>50</v>
      </c>
      <c r="M1897" s="7"/>
    </row>
    <row r="1898" spans="2:13" customFormat="1" x14ac:dyDescent="0.25">
      <c r="B1898" t="s">
        <v>855</v>
      </c>
      <c r="C1898" t="s">
        <v>65</v>
      </c>
      <c r="D1898" t="s">
        <v>891</v>
      </c>
      <c r="E1898" t="s">
        <v>269</v>
      </c>
      <c r="F1898" t="s">
        <v>175</v>
      </c>
      <c r="H1898">
        <v>0</v>
      </c>
      <c r="I1898">
        <v>0</v>
      </c>
      <c r="J1898">
        <v>-36108.15</v>
      </c>
      <c r="M1898" s="7"/>
    </row>
    <row r="1899" spans="2:13" customFormat="1" x14ac:dyDescent="0.25">
      <c r="B1899" t="s">
        <v>855</v>
      </c>
      <c r="C1899" t="s">
        <v>97</v>
      </c>
      <c r="D1899" t="s">
        <v>891</v>
      </c>
      <c r="E1899" t="s">
        <v>270</v>
      </c>
      <c r="F1899" t="s">
        <v>176</v>
      </c>
      <c r="H1899">
        <v>0</v>
      </c>
      <c r="I1899">
        <v>130.06</v>
      </c>
      <c r="J1899">
        <v>618.47</v>
      </c>
      <c r="M1899" s="7"/>
    </row>
    <row r="1900" spans="2:13" customFormat="1" x14ac:dyDescent="0.25">
      <c r="B1900" t="s">
        <v>855</v>
      </c>
      <c r="C1900" t="s">
        <v>66</v>
      </c>
      <c r="D1900" t="s">
        <v>891</v>
      </c>
      <c r="E1900" t="s">
        <v>272</v>
      </c>
      <c r="F1900" t="s">
        <v>178</v>
      </c>
      <c r="H1900">
        <v>0</v>
      </c>
      <c r="I1900">
        <v>0</v>
      </c>
      <c r="J1900">
        <v>199</v>
      </c>
      <c r="M1900" s="7"/>
    </row>
    <row r="1901" spans="2:13" customFormat="1" x14ac:dyDescent="0.25">
      <c r="B1901" t="s">
        <v>855</v>
      </c>
      <c r="C1901" t="s">
        <v>99</v>
      </c>
      <c r="D1901" t="s">
        <v>891</v>
      </c>
      <c r="E1901" t="s">
        <v>273</v>
      </c>
      <c r="F1901" t="s">
        <v>179</v>
      </c>
      <c r="H1901">
        <v>910.8</v>
      </c>
      <c r="I1901">
        <v>0</v>
      </c>
      <c r="J1901">
        <v>0</v>
      </c>
      <c r="M1901" s="7"/>
    </row>
    <row r="1902" spans="2:13" customFormat="1" x14ac:dyDescent="0.25">
      <c r="B1902" t="s">
        <v>855</v>
      </c>
      <c r="C1902" t="s">
        <v>100</v>
      </c>
      <c r="D1902" t="s">
        <v>891</v>
      </c>
      <c r="E1902" t="s">
        <v>274</v>
      </c>
      <c r="F1902" t="s">
        <v>180</v>
      </c>
      <c r="H1902">
        <v>739</v>
      </c>
      <c r="I1902">
        <v>4612.62</v>
      </c>
      <c r="J1902">
        <v>3873.62</v>
      </c>
      <c r="M1902" s="7"/>
    </row>
    <row r="1903" spans="2:13" customFormat="1" x14ac:dyDescent="0.25">
      <c r="B1903" t="s">
        <v>855</v>
      </c>
      <c r="C1903" t="s">
        <v>101</v>
      </c>
      <c r="D1903" t="s">
        <v>891</v>
      </c>
      <c r="E1903" t="s">
        <v>275</v>
      </c>
      <c r="F1903" t="s">
        <v>181</v>
      </c>
      <c r="H1903">
        <v>0</v>
      </c>
      <c r="I1903">
        <v>290</v>
      </c>
      <c r="J1903">
        <v>290</v>
      </c>
      <c r="M1903" s="7"/>
    </row>
    <row r="1904" spans="2:13" customFormat="1" x14ac:dyDescent="0.25">
      <c r="B1904" t="s">
        <v>855</v>
      </c>
      <c r="C1904" t="s">
        <v>67</v>
      </c>
      <c r="D1904" t="s">
        <v>891</v>
      </c>
      <c r="E1904" t="s">
        <v>276</v>
      </c>
      <c r="F1904" t="s">
        <v>182</v>
      </c>
      <c r="H1904">
        <v>0</v>
      </c>
      <c r="I1904">
        <v>0</v>
      </c>
      <c r="J1904">
        <v>3512.41</v>
      </c>
      <c r="M1904" s="7"/>
    </row>
    <row r="1905" spans="2:13" customFormat="1" x14ac:dyDescent="0.25">
      <c r="B1905" t="s">
        <v>855</v>
      </c>
      <c r="C1905" t="s">
        <v>497</v>
      </c>
      <c r="D1905" t="s">
        <v>891</v>
      </c>
      <c r="E1905" t="s">
        <v>498</v>
      </c>
      <c r="F1905" t="s">
        <v>499</v>
      </c>
      <c r="H1905">
        <v>3500</v>
      </c>
      <c r="I1905">
        <v>0</v>
      </c>
      <c r="J1905">
        <v>0</v>
      </c>
      <c r="M1905" s="7"/>
    </row>
    <row r="1906" spans="2:13" customFormat="1" x14ac:dyDescent="0.25">
      <c r="B1906" t="s">
        <v>855</v>
      </c>
      <c r="C1906" t="s">
        <v>102</v>
      </c>
      <c r="D1906" t="s">
        <v>891</v>
      </c>
      <c r="E1906" t="s">
        <v>277</v>
      </c>
      <c r="F1906" t="s">
        <v>183</v>
      </c>
      <c r="H1906">
        <v>0</v>
      </c>
      <c r="I1906">
        <v>0</v>
      </c>
      <c r="J1906">
        <v>8627.2199999999993</v>
      </c>
      <c r="M1906" s="7"/>
    </row>
    <row r="1907" spans="2:13" customFormat="1" x14ac:dyDescent="0.25">
      <c r="B1907" t="s">
        <v>855</v>
      </c>
      <c r="C1907" t="s">
        <v>68</v>
      </c>
      <c r="D1907" t="s">
        <v>891</v>
      </c>
      <c r="E1907" t="s">
        <v>279</v>
      </c>
      <c r="F1907" t="s">
        <v>185</v>
      </c>
      <c r="H1907">
        <v>0</v>
      </c>
      <c r="I1907">
        <v>1908.81</v>
      </c>
      <c r="J1907">
        <v>1908.81</v>
      </c>
      <c r="M1907" s="7"/>
    </row>
    <row r="1908" spans="2:13" customFormat="1" x14ac:dyDescent="0.25">
      <c r="B1908" t="s">
        <v>855</v>
      </c>
      <c r="C1908" t="s">
        <v>594</v>
      </c>
      <c r="D1908" t="s">
        <v>891</v>
      </c>
      <c r="E1908" t="s">
        <v>595</v>
      </c>
      <c r="F1908" t="s">
        <v>596</v>
      </c>
      <c r="H1908">
        <v>0</v>
      </c>
      <c r="I1908">
        <v>5500</v>
      </c>
      <c r="J1908">
        <v>5500</v>
      </c>
      <c r="M1908" s="7"/>
    </row>
    <row r="1909" spans="2:13" customFormat="1" x14ac:dyDescent="0.25">
      <c r="B1909" t="s">
        <v>855</v>
      </c>
      <c r="C1909" t="s">
        <v>395</v>
      </c>
      <c r="D1909" t="s">
        <v>891</v>
      </c>
      <c r="E1909" t="s">
        <v>396</v>
      </c>
      <c r="F1909" t="s">
        <v>397</v>
      </c>
      <c r="H1909">
        <v>0</v>
      </c>
      <c r="I1909">
        <v>1000</v>
      </c>
      <c r="J1909">
        <v>1000</v>
      </c>
      <c r="M1909" s="7"/>
    </row>
    <row r="1910" spans="2:13" customFormat="1" x14ac:dyDescent="0.25">
      <c r="B1910" t="s">
        <v>855</v>
      </c>
      <c r="C1910" t="s">
        <v>104</v>
      </c>
      <c r="D1910" t="s">
        <v>891</v>
      </c>
      <c r="E1910" t="s">
        <v>280</v>
      </c>
      <c r="F1910" t="s">
        <v>186</v>
      </c>
      <c r="H1910">
        <v>204</v>
      </c>
      <c r="I1910">
        <v>3282.48</v>
      </c>
      <c r="J1910">
        <v>4257.91</v>
      </c>
      <c r="M1910" s="7"/>
    </row>
    <row r="1911" spans="2:13" customFormat="1" x14ac:dyDescent="0.25">
      <c r="B1911" t="s">
        <v>855</v>
      </c>
      <c r="C1911" t="s">
        <v>356</v>
      </c>
      <c r="D1911" t="s">
        <v>891</v>
      </c>
      <c r="E1911" t="s">
        <v>357</v>
      </c>
      <c r="F1911" t="s">
        <v>358</v>
      </c>
      <c r="H1911">
        <v>0</v>
      </c>
      <c r="I1911">
        <v>1480</v>
      </c>
      <c r="J1911">
        <v>3056</v>
      </c>
      <c r="M1911" s="7"/>
    </row>
    <row r="1912" spans="2:13" customFormat="1" x14ac:dyDescent="0.25">
      <c r="B1912" t="s">
        <v>855</v>
      </c>
      <c r="C1912" t="s">
        <v>105</v>
      </c>
      <c r="D1912" t="s">
        <v>891</v>
      </c>
      <c r="E1912" t="s">
        <v>281</v>
      </c>
      <c r="F1912" t="s">
        <v>187</v>
      </c>
      <c r="H1912">
        <v>0</v>
      </c>
      <c r="I1912">
        <v>714.67</v>
      </c>
      <c r="J1912">
        <v>2887.46</v>
      </c>
      <c r="M1912" s="7"/>
    </row>
    <row r="1913" spans="2:13" customFormat="1" x14ac:dyDescent="0.25">
      <c r="B1913" t="s">
        <v>855</v>
      </c>
      <c r="C1913" t="s">
        <v>106</v>
      </c>
      <c r="D1913" t="s">
        <v>891</v>
      </c>
      <c r="E1913" t="s">
        <v>282</v>
      </c>
      <c r="F1913" t="s">
        <v>188</v>
      </c>
      <c r="H1913">
        <v>0</v>
      </c>
      <c r="I1913">
        <v>0</v>
      </c>
      <c r="J1913">
        <v>300</v>
      </c>
      <c r="M1913" s="7"/>
    </row>
    <row r="1914" spans="2:13" customFormat="1" x14ac:dyDescent="0.25">
      <c r="B1914" t="s">
        <v>855</v>
      </c>
      <c r="C1914" t="s">
        <v>107</v>
      </c>
      <c r="D1914" t="s">
        <v>891</v>
      </c>
      <c r="E1914" t="s">
        <v>283</v>
      </c>
      <c r="F1914" t="s">
        <v>189</v>
      </c>
      <c r="H1914">
        <v>2132.83</v>
      </c>
      <c r="I1914">
        <v>23057.57</v>
      </c>
      <c r="J1914">
        <v>20924.740000000002</v>
      </c>
      <c r="M1914" s="7"/>
    </row>
    <row r="1915" spans="2:13" customFormat="1" x14ac:dyDescent="0.25">
      <c r="B1915" t="s">
        <v>855</v>
      </c>
      <c r="C1915" t="s">
        <v>359</v>
      </c>
      <c r="D1915" t="s">
        <v>891</v>
      </c>
      <c r="E1915" t="s">
        <v>360</v>
      </c>
      <c r="F1915" t="s">
        <v>361</v>
      </c>
      <c r="H1915">
        <v>0</v>
      </c>
      <c r="I1915">
        <v>14602.34</v>
      </c>
      <c r="J1915">
        <v>14602.34</v>
      </c>
      <c r="M1915" s="7"/>
    </row>
    <row r="1916" spans="2:13" customFormat="1" x14ac:dyDescent="0.25">
      <c r="B1916" t="s">
        <v>855</v>
      </c>
      <c r="C1916" t="s">
        <v>69</v>
      </c>
      <c r="D1916" t="s">
        <v>891</v>
      </c>
      <c r="E1916" t="s">
        <v>284</v>
      </c>
      <c r="F1916" t="s">
        <v>190</v>
      </c>
      <c r="H1916">
        <v>0</v>
      </c>
      <c r="I1916">
        <v>197.5</v>
      </c>
      <c r="J1916">
        <v>574.91999999999996</v>
      </c>
      <c r="M1916" s="7"/>
    </row>
    <row r="1917" spans="2:13" customFormat="1" x14ac:dyDescent="0.25">
      <c r="B1917" t="s">
        <v>855</v>
      </c>
      <c r="C1917" t="s">
        <v>108</v>
      </c>
      <c r="D1917" t="s">
        <v>891</v>
      </c>
      <c r="E1917" t="s">
        <v>285</v>
      </c>
      <c r="F1917" t="s">
        <v>191</v>
      </c>
      <c r="H1917">
        <v>0</v>
      </c>
      <c r="I1917">
        <v>0</v>
      </c>
      <c r="J1917">
        <v>459</v>
      </c>
      <c r="M1917" s="7"/>
    </row>
    <row r="1918" spans="2:13" customFormat="1" x14ac:dyDescent="0.25">
      <c r="B1918" t="s">
        <v>855</v>
      </c>
      <c r="C1918" t="s">
        <v>557</v>
      </c>
      <c r="D1918" t="s">
        <v>891</v>
      </c>
      <c r="E1918" t="s">
        <v>558</v>
      </c>
      <c r="F1918" t="s">
        <v>559</v>
      </c>
      <c r="H1918">
        <v>0</v>
      </c>
      <c r="I1918">
        <v>600</v>
      </c>
      <c r="J1918">
        <v>600</v>
      </c>
      <c r="M1918" s="7"/>
    </row>
    <row r="1919" spans="2:13" customFormat="1" x14ac:dyDescent="0.25">
      <c r="B1919" t="s">
        <v>855</v>
      </c>
      <c r="C1919" t="s">
        <v>70</v>
      </c>
      <c r="D1919" t="s">
        <v>891</v>
      </c>
      <c r="E1919" t="s">
        <v>286</v>
      </c>
      <c r="F1919" t="s">
        <v>192</v>
      </c>
      <c r="H1919">
        <v>0</v>
      </c>
      <c r="I1919">
        <v>920.02</v>
      </c>
      <c r="J1919">
        <v>11944.21</v>
      </c>
      <c r="M1919" s="7"/>
    </row>
    <row r="1920" spans="2:13" customFormat="1" x14ac:dyDescent="0.25">
      <c r="B1920" t="s">
        <v>855</v>
      </c>
      <c r="C1920" t="s">
        <v>109</v>
      </c>
      <c r="D1920" t="s">
        <v>891</v>
      </c>
      <c r="E1920" t="s">
        <v>287</v>
      </c>
      <c r="F1920" t="s">
        <v>193</v>
      </c>
      <c r="H1920">
        <v>0</v>
      </c>
      <c r="I1920">
        <v>2160.8000000000002</v>
      </c>
      <c r="J1920">
        <v>8903.4</v>
      </c>
      <c r="M1920" s="7"/>
    </row>
    <row r="1921" spans="2:13" customFormat="1" x14ac:dyDescent="0.25">
      <c r="B1921" t="s">
        <v>855</v>
      </c>
      <c r="C1921" t="s">
        <v>110</v>
      </c>
      <c r="D1921" t="s">
        <v>891</v>
      </c>
      <c r="E1921" t="s">
        <v>288</v>
      </c>
      <c r="F1921" t="s">
        <v>194</v>
      </c>
      <c r="H1921">
        <v>0</v>
      </c>
      <c r="I1921">
        <v>0</v>
      </c>
      <c r="J1921">
        <v>863.5</v>
      </c>
      <c r="M1921" s="7"/>
    </row>
    <row r="1922" spans="2:13" customFormat="1" x14ac:dyDescent="0.25">
      <c r="B1922" t="s">
        <v>855</v>
      </c>
      <c r="C1922" t="s">
        <v>437</v>
      </c>
      <c r="D1922" t="s">
        <v>891</v>
      </c>
      <c r="E1922" t="s">
        <v>438</v>
      </c>
      <c r="F1922" t="s">
        <v>439</v>
      </c>
      <c r="H1922">
        <v>0</v>
      </c>
      <c r="I1922">
        <v>0</v>
      </c>
      <c r="J1922">
        <v>300</v>
      </c>
      <c r="M1922" s="7"/>
    </row>
    <row r="1923" spans="2:13" customFormat="1" x14ac:dyDescent="0.25">
      <c r="B1923" t="s">
        <v>855</v>
      </c>
      <c r="C1923" t="s">
        <v>111</v>
      </c>
      <c r="D1923" t="s">
        <v>891</v>
      </c>
      <c r="E1923" t="s">
        <v>289</v>
      </c>
      <c r="F1923" t="s">
        <v>195</v>
      </c>
      <c r="H1923">
        <v>0</v>
      </c>
      <c r="I1923">
        <v>370.7</v>
      </c>
      <c r="J1923">
        <v>3426.7</v>
      </c>
      <c r="M1923" s="7"/>
    </row>
    <row r="1924" spans="2:13" customFormat="1" x14ac:dyDescent="0.25">
      <c r="B1924" t="s">
        <v>855</v>
      </c>
      <c r="C1924" t="s">
        <v>398</v>
      </c>
      <c r="D1924" t="s">
        <v>891</v>
      </c>
      <c r="E1924" t="s">
        <v>399</v>
      </c>
      <c r="F1924" t="s">
        <v>400</v>
      </c>
      <c r="H1924">
        <v>0</v>
      </c>
      <c r="I1924">
        <v>1505.93</v>
      </c>
      <c r="J1924">
        <v>10650.19</v>
      </c>
      <c r="M1924" s="7"/>
    </row>
    <row r="1925" spans="2:13" customFormat="1" x14ac:dyDescent="0.25">
      <c r="B1925" t="s">
        <v>855</v>
      </c>
      <c r="C1925" t="s">
        <v>443</v>
      </c>
      <c r="D1925" t="s">
        <v>891</v>
      </c>
      <c r="E1925" t="s">
        <v>444</v>
      </c>
      <c r="F1925" t="s">
        <v>445</v>
      </c>
      <c r="H1925">
        <v>0</v>
      </c>
      <c r="I1925">
        <v>25</v>
      </c>
      <c r="J1925">
        <v>25</v>
      </c>
      <c r="M1925" s="7"/>
    </row>
    <row r="1926" spans="2:13" customFormat="1" x14ac:dyDescent="0.25">
      <c r="B1926" t="s">
        <v>855</v>
      </c>
      <c r="C1926" t="s">
        <v>401</v>
      </c>
      <c r="D1926" t="s">
        <v>891</v>
      </c>
      <c r="E1926" t="s">
        <v>402</v>
      </c>
      <c r="F1926" t="s">
        <v>403</v>
      </c>
      <c r="H1926">
        <v>0</v>
      </c>
      <c r="I1926">
        <v>0</v>
      </c>
      <c r="J1926">
        <v>1266.52</v>
      </c>
      <c r="M1926" s="7"/>
    </row>
    <row r="1927" spans="2:13" customFormat="1" x14ac:dyDescent="0.25">
      <c r="B1927" t="s">
        <v>855</v>
      </c>
      <c r="C1927" t="s">
        <v>566</v>
      </c>
      <c r="D1927" t="s">
        <v>891</v>
      </c>
      <c r="E1927" t="s">
        <v>567</v>
      </c>
      <c r="F1927" t="s">
        <v>568</v>
      </c>
      <c r="H1927">
        <v>0</v>
      </c>
      <c r="I1927">
        <v>0</v>
      </c>
      <c r="J1927">
        <v>950</v>
      </c>
      <c r="M1927" s="7"/>
    </row>
    <row r="1928" spans="2:13" customFormat="1" x14ac:dyDescent="0.25">
      <c r="B1928" t="s">
        <v>855</v>
      </c>
      <c r="C1928" t="s">
        <v>404</v>
      </c>
      <c r="D1928" t="s">
        <v>891</v>
      </c>
      <c r="E1928" t="s">
        <v>405</v>
      </c>
      <c r="F1928" t="s">
        <v>406</v>
      </c>
      <c r="H1928">
        <v>0</v>
      </c>
      <c r="I1928">
        <v>0</v>
      </c>
      <c r="J1928">
        <v>0.01</v>
      </c>
      <c r="M1928" s="7"/>
    </row>
    <row r="1929" spans="2:13" customFormat="1" x14ac:dyDescent="0.25">
      <c r="B1929" t="s">
        <v>855</v>
      </c>
      <c r="C1929" t="s">
        <v>607</v>
      </c>
      <c r="D1929" t="s">
        <v>891</v>
      </c>
      <c r="E1929" t="s">
        <v>608</v>
      </c>
      <c r="F1929" t="s">
        <v>609</v>
      </c>
      <c r="H1929">
        <v>0</v>
      </c>
      <c r="I1929">
        <v>0</v>
      </c>
      <c r="J1929">
        <v>2609.6999999999998</v>
      </c>
      <c r="M1929" s="7"/>
    </row>
    <row r="1930" spans="2:13" customFormat="1" x14ac:dyDescent="0.25">
      <c r="B1930" t="s">
        <v>855</v>
      </c>
      <c r="C1930" t="s">
        <v>407</v>
      </c>
      <c r="D1930" t="s">
        <v>891</v>
      </c>
      <c r="E1930" t="s">
        <v>408</v>
      </c>
      <c r="F1930" t="s">
        <v>409</v>
      </c>
      <c r="H1930">
        <v>0</v>
      </c>
      <c r="I1930">
        <v>0</v>
      </c>
      <c r="J1930">
        <v>3510</v>
      </c>
      <c r="M1930" s="7"/>
    </row>
    <row r="1931" spans="2:13" customFormat="1" x14ac:dyDescent="0.25">
      <c r="B1931" t="s">
        <v>855</v>
      </c>
      <c r="C1931" t="s">
        <v>71</v>
      </c>
      <c r="D1931" t="s">
        <v>891</v>
      </c>
      <c r="E1931" t="s">
        <v>291</v>
      </c>
      <c r="F1931" t="s">
        <v>197</v>
      </c>
      <c r="H1931">
        <v>0</v>
      </c>
      <c r="I1931">
        <v>307.35000000000002</v>
      </c>
      <c r="J1931">
        <v>1268.8699999999999</v>
      </c>
      <c r="M1931" s="7"/>
    </row>
    <row r="1932" spans="2:13" customFormat="1" x14ac:dyDescent="0.25">
      <c r="B1932" t="s">
        <v>855</v>
      </c>
      <c r="C1932" t="s">
        <v>72</v>
      </c>
      <c r="D1932" t="s">
        <v>891</v>
      </c>
      <c r="E1932" t="s">
        <v>292</v>
      </c>
      <c r="F1932" t="s">
        <v>198</v>
      </c>
      <c r="H1932">
        <v>0</v>
      </c>
      <c r="I1932">
        <v>686.05</v>
      </c>
      <c r="J1932">
        <v>4557.63</v>
      </c>
      <c r="M1932" s="7"/>
    </row>
    <row r="1933" spans="2:13" customFormat="1" x14ac:dyDescent="0.25">
      <c r="B1933" t="s">
        <v>855</v>
      </c>
      <c r="C1933" t="s">
        <v>73</v>
      </c>
      <c r="D1933" t="s">
        <v>891</v>
      </c>
      <c r="E1933" t="s">
        <v>293</v>
      </c>
      <c r="F1933" t="s">
        <v>199</v>
      </c>
      <c r="H1933">
        <v>0</v>
      </c>
      <c r="I1933">
        <v>633.49</v>
      </c>
      <c r="J1933">
        <v>1684.35</v>
      </c>
      <c r="M1933" s="7"/>
    </row>
    <row r="1934" spans="2:13" customFormat="1" x14ac:dyDescent="0.25">
      <c r="B1934" t="s">
        <v>855</v>
      </c>
      <c r="C1934" t="s">
        <v>74</v>
      </c>
      <c r="D1934" t="s">
        <v>891</v>
      </c>
      <c r="E1934" t="s">
        <v>294</v>
      </c>
      <c r="F1934" t="s">
        <v>200</v>
      </c>
      <c r="H1934">
        <v>0</v>
      </c>
      <c r="I1934">
        <v>5776.55</v>
      </c>
      <c r="J1934">
        <v>16718.34</v>
      </c>
      <c r="M1934" s="7"/>
    </row>
    <row r="1935" spans="2:13" customFormat="1" x14ac:dyDescent="0.25">
      <c r="B1935" t="s">
        <v>855</v>
      </c>
      <c r="C1935" t="s">
        <v>75</v>
      </c>
      <c r="D1935" t="s">
        <v>891</v>
      </c>
      <c r="E1935" t="s">
        <v>295</v>
      </c>
      <c r="F1935" t="s">
        <v>201</v>
      </c>
      <c r="H1935">
        <v>0</v>
      </c>
      <c r="I1935">
        <v>630.16999999999996</v>
      </c>
      <c r="J1935">
        <v>32951.96</v>
      </c>
      <c r="M1935" s="7"/>
    </row>
    <row r="1936" spans="2:13" customFormat="1" x14ac:dyDescent="0.25">
      <c r="B1936" t="s">
        <v>855</v>
      </c>
      <c r="C1936" t="s">
        <v>76</v>
      </c>
      <c r="D1936" t="s">
        <v>891</v>
      </c>
      <c r="E1936" t="s">
        <v>296</v>
      </c>
      <c r="F1936" t="s">
        <v>202</v>
      </c>
      <c r="H1936">
        <v>0</v>
      </c>
      <c r="I1936">
        <v>378.11</v>
      </c>
      <c r="J1936">
        <v>14173.95</v>
      </c>
      <c r="M1936" s="7"/>
    </row>
    <row r="1937" spans="2:13" customFormat="1" x14ac:dyDescent="0.25">
      <c r="B1937" t="s">
        <v>856</v>
      </c>
      <c r="C1937" t="s">
        <v>26</v>
      </c>
      <c r="D1937" t="s">
        <v>891</v>
      </c>
      <c r="E1937" t="s">
        <v>211</v>
      </c>
      <c r="F1937" t="s">
        <v>116</v>
      </c>
      <c r="H1937">
        <v>143319.73000000001</v>
      </c>
      <c r="I1937">
        <v>143319.73000000001</v>
      </c>
      <c r="J1937">
        <v>0</v>
      </c>
      <c r="M1937" s="7"/>
    </row>
    <row r="1938" spans="2:13" customFormat="1" x14ac:dyDescent="0.25">
      <c r="B1938" t="s">
        <v>856</v>
      </c>
      <c r="C1938" t="s">
        <v>27</v>
      </c>
      <c r="D1938" t="s">
        <v>891</v>
      </c>
      <c r="E1938" t="s">
        <v>212</v>
      </c>
      <c r="F1938" t="s">
        <v>117</v>
      </c>
      <c r="H1938">
        <v>100.47</v>
      </c>
      <c r="I1938">
        <v>133.94999999999999</v>
      </c>
      <c r="J1938">
        <v>827.03</v>
      </c>
      <c r="M1938" s="7"/>
    </row>
    <row r="1939" spans="2:13" customFormat="1" x14ac:dyDescent="0.25">
      <c r="B1939" t="s">
        <v>856</v>
      </c>
      <c r="C1939" t="s">
        <v>28</v>
      </c>
      <c r="D1939" t="s">
        <v>891</v>
      </c>
      <c r="E1939" t="s">
        <v>213</v>
      </c>
      <c r="F1939" t="s">
        <v>118</v>
      </c>
      <c r="H1939">
        <v>85676.93</v>
      </c>
      <c r="I1939">
        <v>85606.97</v>
      </c>
      <c r="J1939">
        <v>-79.22</v>
      </c>
      <c r="M1939" s="7"/>
    </row>
    <row r="1940" spans="2:13" customFormat="1" x14ac:dyDescent="0.25">
      <c r="B1940" t="s">
        <v>856</v>
      </c>
      <c r="C1940" t="s">
        <v>29</v>
      </c>
      <c r="D1940" t="s">
        <v>891</v>
      </c>
      <c r="E1940" t="s">
        <v>214</v>
      </c>
      <c r="F1940" t="s">
        <v>119</v>
      </c>
      <c r="H1940">
        <v>171648.73</v>
      </c>
      <c r="I1940">
        <v>143319.73000000001</v>
      </c>
      <c r="J1940">
        <v>31785.22</v>
      </c>
      <c r="M1940" s="7"/>
    </row>
    <row r="1941" spans="2:13" customFormat="1" x14ac:dyDescent="0.25">
      <c r="B1941" t="s">
        <v>856</v>
      </c>
      <c r="C1941" t="s">
        <v>30</v>
      </c>
      <c r="D1941" t="s">
        <v>891</v>
      </c>
      <c r="E1941" t="s">
        <v>215</v>
      </c>
      <c r="F1941" t="s">
        <v>120</v>
      </c>
      <c r="H1941">
        <v>601208.46</v>
      </c>
      <c r="I1941">
        <v>640177.28</v>
      </c>
      <c r="J1941">
        <v>230896.12</v>
      </c>
      <c r="M1941" s="7"/>
    </row>
    <row r="1942" spans="2:13" customFormat="1" x14ac:dyDescent="0.25">
      <c r="B1942" t="s">
        <v>856</v>
      </c>
      <c r="C1942" t="s">
        <v>81</v>
      </c>
      <c r="D1942" t="s">
        <v>891</v>
      </c>
      <c r="E1942" t="s">
        <v>216</v>
      </c>
      <c r="F1942" t="s">
        <v>121</v>
      </c>
      <c r="H1942">
        <v>50120</v>
      </c>
      <c r="I1942">
        <v>14708.47</v>
      </c>
      <c r="J1942">
        <v>20505.060000000001</v>
      </c>
      <c r="M1942" s="7"/>
    </row>
    <row r="1943" spans="2:13" customFormat="1" x14ac:dyDescent="0.25">
      <c r="B1943" t="s">
        <v>856</v>
      </c>
      <c r="C1943" t="s">
        <v>31</v>
      </c>
      <c r="D1943" t="s">
        <v>891</v>
      </c>
      <c r="E1943" t="s">
        <v>217</v>
      </c>
      <c r="F1943" t="s">
        <v>122</v>
      </c>
      <c r="H1943">
        <v>638408.31000000006</v>
      </c>
      <c r="I1943">
        <v>638408.29</v>
      </c>
      <c r="J1943">
        <v>-0.02</v>
      </c>
      <c r="M1943" s="7"/>
    </row>
    <row r="1944" spans="2:13" customFormat="1" x14ac:dyDescent="0.25">
      <c r="B1944" t="s">
        <v>856</v>
      </c>
      <c r="C1944" t="s">
        <v>32</v>
      </c>
      <c r="D1944" t="s">
        <v>891</v>
      </c>
      <c r="E1944" t="s">
        <v>218</v>
      </c>
      <c r="F1944" t="s">
        <v>123</v>
      </c>
      <c r="H1944">
        <v>26258</v>
      </c>
      <c r="I1944">
        <v>8500</v>
      </c>
      <c r="J1944">
        <v>12596</v>
      </c>
      <c r="M1944" s="7"/>
    </row>
    <row r="1945" spans="2:13" customFormat="1" x14ac:dyDescent="0.25">
      <c r="B1945" t="s">
        <v>856</v>
      </c>
      <c r="C1945" t="s">
        <v>33</v>
      </c>
      <c r="D1945" t="s">
        <v>891</v>
      </c>
      <c r="E1945" t="s">
        <v>219</v>
      </c>
      <c r="F1945" t="s">
        <v>124</v>
      </c>
      <c r="H1945">
        <v>180971.14</v>
      </c>
      <c r="I1945">
        <v>186440.56</v>
      </c>
      <c r="J1945">
        <v>28173.91</v>
      </c>
      <c r="M1945" s="7"/>
    </row>
    <row r="1946" spans="2:13" customFormat="1" x14ac:dyDescent="0.25">
      <c r="B1946" t="s">
        <v>856</v>
      </c>
      <c r="C1946" t="s">
        <v>34</v>
      </c>
      <c r="D1946" t="s">
        <v>891</v>
      </c>
      <c r="E1946" t="s">
        <v>220</v>
      </c>
      <c r="F1946" t="s">
        <v>125</v>
      </c>
      <c r="H1946">
        <v>145562.03</v>
      </c>
      <c r="I1946">
        <v>162773.22</v>
      </c>
      <c r="J1946">
        <v>272679.82</v>
      </c>
      <c r="M1946" s="7"/>
    </row>
    <row r="1947" spans="2:13" customFormat="1" x14ac:dyDescent="0.25">
      <c r="B1947" t="s">
        <v>856</v>
      </c>
      <c r="C1947" t="s">
        <v>205</v>
      </c>
      <c r="D1947" t="s">
        <v>891</v>
      </c>
      <c r="E1947" t="s">
        <v>298</v>
      </c>
      <c r="F1947" t="s">
        <v>206</v>
      </c>
      <c r="H1947">
        <v>45526.65</v>
      </c>
      <c r="I1947">
        <v>56570.89</v>
      </c>
      <c r="J1947">
        <v>-30502.799999999999</v>
      </c>
      <c r="M1947" s="7"/>
    </row>
    <row r="1948" spans="2:13" customFormat="1" x14ac:dyDescent="0.25">
      <c r="B1948" t="s">
        <v>856</v>
      </c>
      <c r="C1948" t="s">
        <v>301</v>
      </c>
      <c r="D1948" t="s">
        <v>891</v>
      </c>
      <c r="E1948" t="s">
        <v>302</v>
      </c>
      <c r="F1948" t="s">
        <v>303</v>
      </c>
      <c r="H1948">
        <v>8258.18</v>
      </c>
      <c r="I1948">
        <v>8258.18</v>
      </c>
      <c r="J1948">
        <v>0</v>
      </c>
      <c r="M1948" s="7"/>
    </row>
    <row r="1949" spans="2:13" customFormat="1" x14ac:dyDescent="0.25">
      <c r="B1949" t="s">
        <v>856</v>
      </c>
      <c r="C1949" t="s">
        <v>35</v>
      </c>
      <c r="D1949" t="s">
        <v>891</v>
      </c>
      <c r="E1949" t="s">
        <v>221</v>
      </c>
      <c r="F1949" t="s">
        <v>127</v>
      </c>
      <c r="H1949">
        <v>1376.79</v>
      </c>
      <c r="I1949">
        <v>1334.44</v>
      </c>
      <c r="J1949">
        <v>0</v>
      </c>
      <c r="M1949" s="7"/>
    </row>
    <row r="1950" spans="2:13" customFormat="1" x14ac:dyDescent="0.25">
      <c r="B1950" t="s">
        <v>856</v>
      </c>
      <c r="C1950" t="s">
        <v>36</v>
      </c>
      <c r="D1950" t="s">
        <v>891</v>
      </c>
      <c r="E1950" t="s">
        <v>222</v>
      </c>
      <c r="F1950" t="s">
        <v>128</v>
      </c>
      <c r="H1950">
        <v>159.12</v>
      </c>
      <c r="I1950">
        <v>476.35</v>
      </c>
      <c r="J1950">
        <v>5797.06</v>
      </c>
      <c r="M1950" s="7"/>
    </row>
    <row r="1951" spans="2:13" customFormat="1" x14ac:dyDescent="0.25">
      <c r="B1951" t="s">
        <v>856</v>
      </c>
      <c r="C1951" t="s">
        <v>37</v>
      </c>
      <c r="D1951" t="s">
        <v>891</v>
      </c>
      <c r="E1951" t="s">
        <v>223</v>
      </c>
      <c r="F1951" t="s">
        <v>129</v>
      </c>
      <c r="H1951">
        <v>732.94</v>
      </c>
      <c r="I1951">
        <v>2194.12</v>
      </c>
      <c r="J1951">
        <v>26513.15</v>
      </c>
      <c r="M1951" s="7"/>
    </row>
    <row r="1952" spans="2:13" customFormat="1" x14ac:dyDescent="0.25">
      <c r="B1952" t="s">
        <v>856</v>
      </c>
      <c r="C1952" t="s">
        <v>413</v>
      </c>
      <c r="D1952" t="s">
        <v>891</v>
      </c>
      <c r="E1952" t="s">
        <v>414</v>
      </c>
      <c r="F1952" t="s">
        <v>415</v>
      </c>
      <c r="H1952">
        <v>0</v>
      </c>
      <c r="I1952">
        <v>0</v>
      </c>
      <c r="J1952">
        <v>338.17</v>
      </c>
      <c r="M1952" s="7"/>
    </row>
    <row r="1953" spans="2:13" customFormat="1" x14ac:dyDescent="0.25">
      <c r="B1953" t="s">
        <v>856</v>
      </c>
      <c r="C1953" t="s">
        <v>304</v>
      </c>
      <c r="D1953" t="s">
        <v>891</v>
      </c>
      <c r="E1953" t="s">
        <v>305</v>
      </c>
      <c r="F1953" t="s">
        <v>306</v>
      </c>
      <c r="H1953">
        <v>524061.19</v>
      </c>
      <c r="I1953">
        <v>490016.5</v>
      </c>
      <c r="J1953">
        <v>174206.25</v>
      </c>
      <c r="M1953" s="7"/>
    </row>
    <row r="1954" spans="2:13" customFormat="1" x14ac:dyDescent="0.25">
      <c r="B1954" t="s">
        <v>856</v>
      </c>
      <c r="C1954" t="s">
        <v>38</v>
      </c>
      <c r="D1954" t="s">
        <v>891</v>
      </c>
      <c r="E1954" t="s">
        <v>224</v>
      </c>
      <c r="F1954" t="s">
        <v>130</v>
      </c>
      <c r="H1954">
        <v>32860.71</v>
      </c>
      <c r="I1954">
        <v>38203.82</v>
      </c>
      <c r="J1954">
        <v>88905.600000000006</v>
      </c>
      <c r="M1954" s="7"/>
    </row>
    <row r="1955" spans="2:13" customFormat="1" x14ac:dyDescent="0.25">
      <c r="B1955" t="s">
        <v>856</v>
      </c>
      <c r="C1955" t="s">
        <v>39</v>
      </c>
      <c r="D1955" t="s">
        <v>891</v>
      </c>
      <c r="E1955" t="s">
        <v>225</v>
      </c>
      <c r="F1955" t="s">
        <v>131</v>
      </c>
      <c r="H1955">
        <v>1391.34</v>
      </c>
      <c r="I1955">
        <v>3598.42</v>
      </c>
      <c r="J1955">
        <v>16459.650000000001</v>
      </c>
      <c r="M1955" s="7"/>
    </row>
    <row r="1956" spans="2:13" customFormat="1" x14ac:dyDescent="0.25">
      <c r="B1956" t="s">
        <v>856</v>
      </c>
      <c r="C1956" t="s">
        <v>82</v>
      </c>
      <c r="D1956" t="s">
        <v>891</v>
      </c>
      <c r="E1956" t="s">
        <v>226</v>
      </c>
      <c r="F1956" t="s">
        <v>132</v>
      </c>
      <c r="H1956">
        <v>0</v>
      </c>
      <c r="I1956">
        <v>0</v>
      </c>
      <c r="J1956">
        <v>-3252</v>
      </c>
      <c r="M1956" s="7"/>
    </row>
    <row r="1957" spans="2:13" customFormat="1" x14ac:dyDescent="0.25">
      <c r="B1957" t="s">
        <v>856</v>
      </c>
      <c r="C1957" t="s">
        <v>455</v>
      </c>
      <c r="D1957" t="s">
        <v>891</v>
      </c>
      <c r="E1957" t="s">
        <v>456</v>
      </c>
      <c r="F1957" t="s">
        <v>457</v>
      </c>
      <c r="H1957">
        <v>0</v>
      </c>
      <c r="I1957">
        <v>0</v>
      </c>
      <c r="J1957">
        <v>6453.1</v>
      </c>
      <c r="M1957" s="7"/>
    </row>
    <row r="1958" spans="2:13" customFormat="1" x14ac:dyDescent="0.25">
      <c r="B1958" t="s">
        <v>856</v>
      </c>
      <c r="C1958" t="s">
        <v>416</v>
      </c>
      <c r="D1958" t="s">
        <v>891</v>
      </c>
      <c r="E1958" t="s">
        <v>417</v>
      </c>
      <c r="F1958" t="s">
        <v>418</v>
      </c>
      <c r="H1958">
        <v>0</v>
      </c>
      <c r="I1958">
        <v>0</v>
      </c>
      <c r="J1958">
        <v>18352</v>
      </c>
      <c r="M1958" s="7"/>
    </row>
    <row r="1959" spans="2:13" customFormat="1" x14ac:dyDescent="0.25">
      <c r="B1959" t="s">
        <v>856</v>
      </c>
      <c r="C1959" t="s">
        <v>458</v>
      </c>
      <c r="D1959" t="s">
        <v>891</v>
      </c>
      <c r="E1959" t="s">
        <v>459</v>
      </c>
      <c r="F1959" t="s">
        <v>460</v>
      </c>
      <c r="H1959">
        <v>0</v>
      </c>
      <c r="I1959">
        <v>0</v>
      </c>
      <c r="J1959">
        <v>42976.63</v>
      </c>
      <c r="M1959" s="7"/>
    </row>
    <row r="1960" spans="2:13" customFormat="1" x14ac:dyDescent="0.25">
      <c r="B1960" t="s">
        <v>856</v>
      </c>
      <c r="C1960" t="s">
        <v>515</v>
      </c>
      <c r="D1960" t="s">
        <v>891</v>
      </c>
      <c r="E1960" t="s">
        <v>516</v>
      </c>
      <c r="F1960" t="s">
        <v>517</v>
      </c>
      <c r="H1960">
        <v>0</v>
      </c>
      <c r="I1960">
        <v>0</v>
      </c>
      <c r="J1960">
        <v>580</v>
      </c>
      <c r="M1960" s="7"/>
    </row>
    <row r="1961" spans="2:13" customFormat="1" x14ac:dyDescent="0.25">
      <c r="B1961" t="s">
        <v>856</v>
      </c>
      <c r="C1961" t="s">
        <v>464</v>
      </c>
      <c r="D1961" t="s">
        <v>891</v>
      </c>
      <c r="E1961" t="s">
        <v>465</v>
      </c>
      <c r="F1961" t="s">
        <v>466</v>
      </c>
      <c r="H1961">
        <v>0</v>
      </c>
      <c r="I1961">
        <v>10800</v>
      </c>
      <c r="J1961">
        <v>10800</v>
      </c>
      <c r="M1961" s="7"/>
    </row>
    <row r="1962" spans="2:13" customFormat="1" x14ac:dyDescent="0.25">
      <c r="B1962" t="s">
        <v>856</v>
      </c>
      <c r="C1962" t="s">
        <v>467</v>
      </c>
      <c r="D1962" t="s">
        <v>891</v>
      </c>
      <c r="E1962" t="s">
        <v>468</v>
      </c>
      <c r="F1962" t="s">
        <v>469</v>
      </c>
      <c r="H1962">
        <v>10800</v>
      </c>
      <c r="I1962">
        <v>0</v>
      </c>
      <c r="J1962">
        <v>0</v>
      </c>
      <c r="M1962" s="7"/>
    </row>
    <row r="1963" spans="2:13" customFormat="1" x14ac:dyDescent="0.25">
      <c r="B1963" t="s">
        <v>856</v>
      </c>
      <c r="C1963" t="s">
        <v>470</v>
      </c>
      <c r="D1963" t="s">
        <v>891</v>
      </c>
      <c r="E1963" t="s">
        <v>471</v>
      </c>
      <c r="F1963" t="s">
        <v>472</v>
      </c>
      <c r="H1963">
        <v>53.78</v>
      </c>
      <c r="I1963">
        <v>0</v>
      </c>
      <c r="J1963">
        <v>-3078.34</v>
      </c>
      <c r="M1963" s="7"/>
    </row>
    <row r="1964" spans="2:13" customFormat="1" x14ac:dyDescent="0.25">
      <c r="B1964" t="s">
        <v>856</v>
      </c>
      <c r="C1964" t="s">
        <v>419</v>
      </c>
      <c r="D1964" t="s">
        <v>891</v>
      </c>
      <c r="E1964" t="s">
        <v>420</v>
      </c>
      <c r="F1964" t="s">
        <v>421</v>
      </c>
      <c r="H1964">
        <v>152.93</v>
      </c>
      <c r="I1964">
        <v>0</v>
      </c>
      <c r="J1964">
        <v>-8876.18</v>
      </c>
      <c r="M1964" s="7"/>
    </row>
    <row r="1965" spans="2:13" customFormat="1" x14ac:dyDescent="0.25">
      <c r="B1965" t="s">
        <v>856</v>
      </c>
      <c r="C1965" t="s">
        <v>473</v>
      </c>
      <c r="D1965" t="s">
        <v>891</v>
      </c>
      <c r="E1965" t="s">
        <v>474</v>
      </c>
      <c r="F1965" t="s">
        <v>475</v>
      </c>
      <c r="H1965">
        <v>716.28</v>
      </c>
      <c r="I1965">
        <v>0</v>
      </c>
      <c r="J1965">
        <v>-23598.560000000001</v>
      </c>
      <c r="M1965" s="7"/>
    </row>
    <row r="1966" spans="2:13" customFormat="1" x14ac:dyDescent="0.25">
      <c r="B1966" t="s">
        <v>856</v>
      </c>
      <c r="C1966" t="s">
        <v>852</v>
      </c>
      <c r="D1966" t="s">
        <v>891</v>
      </c>
      <c r="E1966" t="s">
        <v>853</v>
      </c>
      <c r="F1966" t="s">
        <v>854</v>
      </c>
      <c r="H1966">
        <v>0</v>
      </c>
      <c r="I1966">
        <v>0</v>
      </c>
      <c r="J1966">
        <v>-33.840000000000003</v>
      </c>
      <c r="M1966" s="7"/>
    </row>
    <row r="1967" spans="2:13" customFormat="1" x14ac:dyDescent="0.25">
      <c r="B1967" t="s">
        <v>856</v>
      </c>
      <c r="C1967" t="s">
        <v>518</v>
      </c>
      <c r="D1967" t="s">
        <v>891</v>
      </c>
      <c r="E1967" t="s">
        <v>519</v>
      </c>
      <c r="F1967" t="s">
        <v>520</v>
      </c>
      <c r="H1967">
        <v>4.83</v>
      </c>
      <c r="I1967">
        <v>0</v>
      </c>
      <c r="J1967">
        <v>-62.79</v>
      </c>
      <c r="M1967" s="7"/>
    </row>
    <row r="1968" spans="2:13" customFormat="1" x14ac:dyDescent="0.25">
      <c r="B1968" t="s">
        <v>856</v>
      </c>
      <c r="C1968" t="s">
        <v>479</v>
      </c>
      <c r="D1968" t="s">
        <v>891</v>
      </c>
      <c r="E1968" t="s">
        <v>480</v>
      </c>
      <c r="F1968" t="s">
        <v>481</v>
      </c>
      <c r="H1968">
        <v>90</v>
      </c>
      <c r="I1968">
        <v>0</v>
      </c>
      <c r="J1968">
        <v>-90</v>
      </c>
      <c r="M1968" s="7"/>
    </row>
    <row r="1969" spans="2:13" customFormat="1" x14ac:dyDescent="0.25">
      <c r="B1969" t="s">
        <v>856</v>
      </c>
      <c r="C1969" t="s">
        <v>482</v>
      </c>
      <c r="D1969" t="s">
        <v>891</v>
      </c>
      <c r="E1969" t="s">
        <v>483</v>
      </c>
      <c r="F1969" t="s">
        <v>484</v>
      </c>
      <c r="H1969">
        <v>0</v>
      </c>
      <c r="I1969">
        <v>0</v>
      </c>
      <c r="J1969">
        <v>54978</v>
      </c>
      <c r="M1969" s="7"/>
    </row>
    <row r="1970" spans="2:13" customFormat="1" x14ac:dyDescent="0.25">
      <c r="B1970" t="s">
        <v>856</v>
      </c>
      <c r="C1970" t="s">
        <v>485</v>
      </c>
      <c r="D1970" t="s">
        <v>891</v>
      </c>
      <c r="E1970" t="s">
        <v>486</v>
      </c>
      <c r="F1970" t="s">
        <v>487</v>
      </c>
      <c r="H1970">
        <v>1145.3800000000001</v>
      </c>
      <c r="I1970">
        <v>0</v>
      </c>
      <c r="J1970">
        <v>-13744.52</v>
      </c>
      <c r="M1970" s="7"/>
    </row>
    <row r="1971" spans="2:13" customFormat="1" x14ac:dyDescent="0.25">
      <c r="B1971" t="s">
        <v>856</v>
      </c>
      <c r="C1971" t="s">
        <v>40</v>
      </c>
      <c r="D1971" t="s">
        <v>891</v>
      </c>
      <c r="E1971" t="s">
        <v>227</v>
      </c>
      <c r="F1971" t="s">
        <v>133</v>
      </c>
      <c r="H1971">
        <v>547670.84</v>
      </c>
      <c r="I1971">
        <v>591478.02</v>
      </c>
      <c r="J1971">
        <v>21213.599999999999</v>
      </c>
      <c r="M1971" s="7"/>
    </row>
    <row r="1972" spans="2:13" customFormat="1" x14ac:dyDescent="0.25">
      <c r="B1972" t="s">
        <v>856</v>
      </c>
      <c r="C1972" t="s">
        <v>83</v>
      </c>
      <c r="D1972" t="s">
        <v>891</v>
      </c>
      <c r="E1972" t="s">
        <v>228</v>
      </c>
      <c r="F1972" t="s">
        <v>134</v>
      </c>
      <c r="H1972">
        <v>11502.2</v>
      </c>
      <c r="I1972">
        <v>10187.18</v>
      </c>
      <c r="J1972">
        <v>-7968.24</v>
      </c>
      <c r="M1972" s="7"/>
    </row>
    <row r="1973" spans="2:13" customFormat="1" x14ac:dyDescent="0.25">
      <c r="B1973" t="s">
        <v>856</v>
      </c>
      <c r="C1973" t="s">
        <v>113</v>
      </c>
      <c r="D1973" t="s">
        <v>891</v>
      </c>
      <c r="E1973" t="s">
        <v>229</v>
      </c>
      <c r="F1973" t="s">
        <v>135</v>
      </c>
      <c r="H1973">
        <v>490016.5</v>
      </c>
      <c r="I1973">
        <v>436477</v>
      </c>
      <c r="J1973">
        <v>-163089.78</v>
      </c>
      <c r="M1973" s="7"/>
    </row>
    <row r="1974" spans="2:13" customFormat="1" x14ac:dyDescent="0.25">
      <c r="B1974" t="s">
        <v>856</v>
      </c>
      <c r="C1974" t="s">
        <v>84</v>
      </c>
      <c r="D1974" t="s">
        <v>891</v>
      </c>
      <c r="E1974" t="s">
        <v>230</v>
      </c>
      <c r="F1974" t="s">
        <v>136</v>
      </c>
      <c r="H1974">
        <v>10693.37</v>
      </c>
      <c r="I1974">
        <v>10512.9</v>
      </c>
      <c r="J1974">
        <v>-10234.11</v>
      </c>
      <c r="M1974" s="7"/>
    </row>
    <row r="1975" spans="2:13" customFormat="1" x14ac:dyDescent="0.25">
      <c r="B1975" t="s">
        <v>856</v>
      </c>
      <c r="C1975" t="s">
        <v>310</v>
      </c>
      <c r="D1975" t="s">
        <v>891</v>
      </c>
      <c r="E1975" t="s">
        <v>311</v>
      </c>
      <c r="F1975" t="s">
        <v>312</v>
      </c>
      <c r="H1975">
        <v>54215.01</v>
      </c>
      <c r="I1975">
        <v>54215.01</v>
      </c>
      <c r="J1975">
        <v>0</v>
      </c>
      <c r="M1975" s="7"/>
    </row>
    <row r="1976" spans="2:13" customFormat="1" x14ac:dyDescent="0.25">
      <c r="B1976" t="s">
        <v>856</v>
      </c>
      <c r="C1976" t="s">
        <v>313</v>
      </c>
      <c r="D1976" t="s">
        <v>891</v>
      </c>
      <c r="E1976" t="s">
        <v>314</v>
      </c>
      <c r="F1976" t="s">
        <v>315</v>
      </c>
      <c r="H1976">
        <v>32836.639999999999</v>
      </c>
      <c r="I1976">
        <v>25369.88</v>
      </c>
      <c r="J1976">
        <v>-7466.76</v>
      </c>
      <c r="M1976" s="7"/>
    </row>
    <row r="1977" spans="2:13" customFormat="1" x14ac:dyDescent="0.25">
      <c r="B1977" t="s">
        <v>856</v>
      </c>
      <c r="C1977" t="s">
        <v>316</v>
      </c>
      <c r="D1977" t="s">
        <v>891</v>
      </c>
      <c r="E1977" t="s">
        <v>317</v>
      </c>
      <c r="F1977" t="s">
        <v>318</v>
      </c>
      <c r="H1977">
        <v>4870.8</v>
      </c>
      <c r="I1977">
        <v>9269.6200000000008</v>
      </c>
      <c r="J1977">
        <v>-20363.87</v>
      </c>
      <c r="M1977" s="7"/>
    </row>
    <row r="1978" spans="2:13" customFormat="1" x14ac:dyDescent="0.25">
      <c r="B1978" t="s">
        <v>856</v>
      </c>
      <c r="C1978" t="s">
        <v>319</v>
      </c>
      <c r="D1978" t="s">
        <v>891</v>
      </c>
      <c r="E1978" t="s">
        <v>320</v>
      </c>
      <c r="F1978" t="s">
        <v>321</v>
      </c>
      <c r="H1978">
        <v>3095.53</v>
      </c>
      <c r="I1978">
        <v>4232.74</v>
      </c>
      <c r="J1978">
        <v>-8315.39</v>
      </c>
      <c r="M1978" s="7"/>
    </row>
    <row r="1979" spans="2:13" customFormat="1" x14ac:dyDescent="0.25">
      <c r="B1979" t="s">
        <v>856</v>
      </c>
      <c r="C1979" t="s">
        <v>488</v>
      </c>
      <c r="D1979" t="s">
        <v>891</v>
      </c>
      <c r="E1979" t="s">
        <v>489</v>
      </c>
      <c r="F1979" t="s">
        <v>490</v>
      </c>
      <c r="H1979">
        <v>173.98</v>
      </c>
      <c r="I1979">
        <v>173.98</v>
      </c>
      <c r="J1979">
        <v>0</v>
      </c>
      <c r="M1979" s="7"/>
    </row>
    <row r="1980" spans="2:13" customFormat="1" x14ac:dyDescent="0.25">
      <c r="B1980" t="s">
        <v>856</v>
      </c>
      <c r="C1980" t="s">
        <v>322</v>
      </c>
      <c r="D1980" t="s">
        <v>891</v>
      </c>
      <c r="E1980" t="s">
        <v>323</v>
      </c>
      <c r="F1980" t="s">
        <v>324</v>
      </c>
      <c r="H1980">
        <v>17356.78</v>
      </c>
      <c r="I1980">
        <v>18115.580000000002</v>
      </c>
      <c r="J1980">
        <v>-8047.12</v>
      </c>
      <c r="M1980" s="7"/>
    </row>
    <row r="1981" spans="2:13" customFormat="1" x14ac:dyDescent="0.25">
      <c r="B1981" t="s">
        <v>856</v>
      </c>
      <c r="C1981" t="s">
        <v>325</v>
      </c>
      <c r="D1981" t="s">
        <v>891</v>
      </c>
      <c r="E1981" t="s">
        <v>326</v>
      </c>
      <c r="F1981" t="s">
        <v>327</v>
      </c>
      <c r="H1981">
        <v>5996.33</v>
      </c>
      <c r="I1981">
        <v>6131.44</v>
      </c>
      <c r="J1981">
        <v>-1680.9</v>
      </c>
      <c r="M1981" s="7"/>
    </row>
    <row r="1982" spans="2:13" customFormat="1" x14ac:dyDescent="0.25">
      <c r="B1982" t="s">
        <v>856</v>
      </c>
      <c r="C1982" t="s">
        <v>328</v>
      </c>
      <c r="D1982" t="s">
        <v>891</v>
      </c>
      <c r="E1982" t="s">
        <v>329</v>
      </c>
      <c r="F1982" t="s">
        <v>171</v>
      </c>
      <c r="H1982">
        <v>1402.81</v>
      </c>
      <c r="I1982">
        <v>2669.64</v>
      </c>
      <c r="J1982">
        <v>-5864.81</v>
      </c>
      <c r="M1982" s="7"/>
    </row>
    <row r="1983" spans="2:13" customFormat="1" x14ac:dyDescent="0.25">
      <c r="B1983" t="s">
        <v>856</v>
      </c>
      <c r="C1983" t="s">
        <v>330</v>
      </c>
      <c r="D1983" t="s">
        <v>891</v>
      </c>
      <c r="E1983" t="s">
        <v>331</v>
      </c>
      <c r="F1983" t="s">
        <v>332</v>
      </c>
      <c r="H1983">
        <v>891.52</v>
      </c>
      <c r="I1983">
        <v>1219.02</v>
      </c>
      <c r="J1983">
        <v>-2394.83</v>
      </c>
      <c r="M1983" s="7"/>
    </row>
    <row r="1984" spans="2:13" customFormat="1" x14ac:dyDescent="0.25">
      <c r="B1984" t="s">
        <v>856</v>
      </c>
      <c r="C1984" t="s">
        <v>333</v>
      </c>
      <c r="D1984" t="s">
        <v>891</v>
      </c>
      <c r="E1984" t="s">
        <v>334</v>
      </c>
      <c r="F1984" t="s">
        <v>172</v>
      </c>
      <c r="H1984">
        <v>382.41</v>
      </c>
      <c r="I1984">
        <v>731.79</v>
      </c>
      <c r="J1984">
        <v>-1499.63</v>
      </c>
      <c r="M1984" s="7"/>
    </row>
    <row r="1985" spans="2:13" customFormat="1" x14ac:dyDescent="0.25">
      <c r="B1985" t="s">
        <v>856</v>
      </c>
      <c r="C1985" t="s">
        <v>335</v>
      </c>
      <c r="D1985" t="s">
        <v>891</v>
      </c>
      <c r="E1985" t="s">
        <v>336</v>
      </c>
      <c r="F1985" t="s">
        <v>337</v>
      </c>
      <c r="H1985">
        <v>242.2</v>
      </c>
      <c r="I1985">
        <v>338.61</v>
      </c>
      <c r="J1985">
        <v>-627.16</v>
      </c>
      <c r="M1985" s="7"/>
    </row>
    <row r="1986" spans="2:13" customFormat="1" x14ac:dyDescent="0.25">
      <c r="B1986" t="s">
        <v>856</v>
      </c>
      <c r="C1986" t="s">
        <v>41</v>
      </c>
      <c r="D1986" t="s">
        <v>891</v>
      </c>
      <c r="E1986" t="s">
        <v>231</v>
      </c>
      <c r="F1986" t="s">
        <v>137</v>
      </c>
      <c r="H1986">
        <v>1452.03</v>
      </c>
      <c r="I1986">
        <v>1376.79</v>
      </c>
      <c r="J1986">
        <v>-42.84</v>
      </c>
      <c r="M1986" s="7"/>
    </row>
    <row r="1987" spans="2:13" customFormat="1" x14ac:dyDescent="0.25">
      <c r="B1987" t="s">
        <v>856</v>
      </c>
      <c r="C1987" t="s">
        <v>42</v>
      </c>
      <c r="D1987" t="s">
        <v>891</v>
      </c>
      <c r="E1987" t="s">
        <v>232</v>
      </c>
      <c r="F1987" t="s">
        <v>138</v>
      </c>
      <c r="H1987">
        <v>159.12</v>
      </c>
      <c r="I1987">
        <v>159.12</v>
      </c>
      <c r="J1987">
        <v>0</v>
      </c>
      <c r="M1987" s="7"/>
    </row>
    <row r="1988" spans="2:13" customFormat="1" x14ac:dyDescent="0.25">
      <c r="B1988" t="s">
        <v>856</v>
      </c>
      <c r="C1988" t="s">
        <v>43</v>
      </c>
      <c r="D1988" t="s">
        <v>891</v>
      </c>
      <c r="E1988" t="s">
        <v>233</v>
      </c>
      <c r="F1988" t="s">
        <v>139</v>
      </c>
      <c r="H1988">
        <v>732.94</v>
      </c>
      <c r="I1988">
        <v>732.94</v>
      </c>
      <c r="J1988">
        <v>0</v>
      </c>
      <c r="M1988" s="7"/>
    </row>
    <row r="1989" spans="2:13" customFormat="1" x14ac:dyDescent="0.25">
      <c r="B1989" t="s">
        <v>856</v>
      </c>
      <c r="C1989" t="s">
        <v>365</v>
      </c>
      <c r="D1989" t="s">
        <v>891</v>
      </c>
      <c r="E1989" t="s">
        <v>366</v>
      </c>
      <c r="F1989" t="s">
        <v>367</v>
      </c>
      <c r="H1989">
        <v>118.44</v>
      </c>
      <c r="I1989">
        <v>0</v>
      </c>
      <c r="J1989">
        <v>-118.44</v>
      </c>
      <c r="M1989" s="7"/>
    </row>
    <row r="1990" spans="2:13" customFormat="1" x14ac:dyDescent="0.25">
      <c r="B1990" t="s">
        <v>856</v>
      </c>
      <c r="C1990" t="s">
        <v>368</v>
      </c>
      <c r="D1990" t="s">
        <v>891</v>
      </c>
      <c r="E1990" t="s">
        <v>369</v>
      </c>
      <c r="F1990" t="s">
        <v>370</v>
      </c>
      <c r="H1990">
        <v>71.06</v>
      </c>
      <c r="I1990">
        <v>0</v>
      </c>
      <c r="J1990">
        <v>-71.06</v>
      </c>
      <c r="M1990" s="7"/>
    </row>
    <row r="1991" spans="2:13" customFormat="1" x14ac:dyDescent="0.25">
      <c r="B1991" t="s">
        <v>856</v>
      </c>
      <c r="C1991" t="s">
        <v>491</v>
      </c>
      <c r="D1991" t="s">
        <v>891</v>
      </c>
      <c r="E1991" t="s">
        <v>492</v>
      </c>
      <c r="F1991" t="s">
        <v>493</v>
      </c>
      <c r="H1991">
        <v>0</v>
      </c>
      <c r="I1991">
        <v>62.4</v>
      </c>
      <c r="J1991">
        <v>-1.56</v>
      </c>
      <c r="M1991" s="7"/>
    </row>
    <row r="1992" spans="2:13" customFormat="1" x14ac:dyDescent="0.25">
      <c r="B1992" t="s">
        <v>856</v>
      </c>
      <c r="C1992" t="s">
        <v>79</v>
      </c>
      <c r="D1992" t="s">
        <v>891</v>
      </c>
      <c r="E1992" t="s">
        <v>234</v>
      </c>
      <c r="F1992" t="s">
        <v>140</v>
      </c>
      <c r="H1992">
        <v>0</v>
      </c>
      <c r="I1992">
        <v>0</v>
      </c>
      <c r="J1992">
        <v>-551.6</v>
      </c>
      <c r="M1992" s="7"/>
    </row>
    <row r="1993" spans="2:13" customFormat="1" x14ac:dyDescent="0.25">
      <c r="B1993" t="s">
        <v>856</v>
      </c>
      <c r="C1993" t="s">
        <v>44</v>
      </c>
      <c r="D1993" t="s">
        <v>891</v>
      </c>
      <c r="E1993" t="s">
        <v>235</v>
      </c>
      <c r="F1993" t="s">
        <v>141</v>
      </c>
      <c r="H1993">
        <v>60.96</v>
      </c>
      <c r="I1993">
        <v>0</v>
      </c>
      <c r="J1993">
        <v>-66.959999999999994</v>
      </c>
      <c r="M1993" s="7"/>
    </row>
    <row r="1994" spans="2:13" customFormat="1" x14ac:dyDescent="0.25">
      <c r="B1994" t="s">
        <v>856</v>
      </c>
      <c r="C1994" t="s">
        <v>45</v>
      </c>
      <c r="D1994" t="s">
        <v>891</v>
      </c>
      <c r="E1994" t="s">
        <v>236</v>
      </c>
      <c r="F1994" t="s">
        <v>142</v>
      </c>
      <c r="H1994">
        <v>188.96</v>
      </c>
      <c r="I1994">
        <v>31.82</v>
      </c>
      <c r="J1994">
        <v>-753.78</v>
      </c>
      <c r="M1994" s="7"/>
    </row>
    <row r="1995" spans="2:13" customFormat="1" x14ac:dyDescent="0.25">
      <c r="B1995" t="s">
        <v>856</v>
      </c>
      <c r="C1995" t="s">
        <v>338</v>
      </c>
      <c r="D1995" t="s">
        <v>891</v>
      </c>
      <c r="E1995" t="s">
        <v>339</v>
      </c>
      <c r="F1995" t="s">
        <v>340</v>
      </c>
      <c r="H1995">
        <v>10.77</v>
      </c>
      <c r="I1995">
        <v>251.91</v>
      </c>
      <c r="J1995">
        <v>-10.77</v>
      </c>
      <c r="M1995" s="7"/>
    </row>
    <row r="1996" spans="2:13" customFormat="1" x14ac:dyDescent="0.25">
      <c r="B1996" t="s">
        <v>856</v>
      </c>
      <c r="C1996" t="s">
        <v>46</v>
      </c>
      <c r="D1996" t="s">
        <v>891</v>
      </c>
      <c r="E1996" t="s">
        <v>237</v>
      </c>
      <c r="F1996" t="s">
        <v>143</v>
      </c>
      <c r="H1996">
        <v>0</v>
      </c>
      <c r="I1996">
        <v>0</v>
      </c>
      <c r="J1996">
        <v>-1488306</v>
      </c>
      <c r="M1996" s="7"/>
    </row>
    <row r="1997" spans="2:13" customFormat="1" x14ac:dyDescent="0.25">
      <c r="B1997" t="s">
        <v>856</v>
      </c>
      <c r="C1997" t="s">
        <v>47</v>
      </c>
      <c r="D1997" t="s">
        <v>891</v>
      </c>
      <c r="E1997" t="s">
        <v>238</v>
      </c>
      <c r="F1997" t="s">
        <v>144</v>
      </c>
      <c r="H1997">
        <v>0</v>
      </c>
      <c r="I1997">
        <v>0</v>
      </c>
      <c r="J1997">
        <v>150000</v>
      </c>
      <c r="M1997" s="7"/>
    </row>
    <row r="1998" spans="2:13" customFormat="1" x14ac:dyDescent="0.25">
      <c r="B1998" t="s">
        <v>856</v>
      </c>
      <c r="C1998" t="s">
        <v>80</v>
      </c>
      <c r="D1998" t="s">
        <v>891</v>
      </c>
      <c r="E1998" t="s">
        <v>239</v>
      </c>
      <c r="F1998" t="s">
        <v>145</v>
      </c>
      <c r="H1998">
        <v>0</v>
      </c>
      <c r="I1998">
        <v>0</v>
      </c>
      <c r="J1998">
        <v>138306</v>
      </c>
      <c r="M1998" s="7"/>
    </row>
    <row r="1999" spans="2:13" customFormat="1" x14ac:dyDescent="0.25">
      <c r="B1999" t="s">
        <v>856</v>
      </c>
      <c r="C1999" t="s">
        <v>85</v>
      </c>
      <c r="D1999" t="s">
        <v>891</v>
      </c>
      <c r="E1999" t="s">
        <v>240</v>
      </c>
      <c r="F1999" t="s">
        <v>146</v>
      </c>
      <c r="H1999">
        <v>0</v>
      </c>
      <c r="I1999">
        <v>0</v>
      </c>
      <c r="J1999">
        <v>369344.02</v>
      </c>
      <c r="M1999" s="7"/>
    </row>
    <row r="2000" spans="2:13" customFormat="1" x14ac:dyDescent="0.25">
      <c r="B2000" t="s">
        <v>856</v>
      </c>
      <c r="C2000" t="s">
        <v>857</v>
      </c>
      <c r="D2000" t="s">
        <v>891</v>
      </c>
      <c r="E2000" t="s">
        <v>858</v>
      </c>
      <c r="F2000" t="s">
        <v>859</v>
      </c>
      <c r="H2000">
        <v>0</v>
      </c>
      <c r="I2000">
        <v>0</v>
      </c>
      <c r="J2000">
        <v>-1.04</v>
      </c>
      <c r="M2000" s="7"/>
    </row>
    <row r="2001" spans="2:13" customFormat="1" x14ac:dyDescent="0.25">
      <c r="B2001" t="s">
        <v>856</v>
      </c>
      <c r="C2001" t="s">
        <v>371</v>
      </c>
      <c r="D2001" t="s">
        <v>891</v>
      </c>
      <c r="E2001" t="s">
        <v>372</v>
      </c>
      <c r="F2001" t="s">
        <v>373</v>
      </c>
      <c r="H2001">
        <v>578327.25</v>
      </c>
      <c r="I2001">
        <v>0</v>
      </c>
      <c r="J2001">
        <v>-3927000.92</v>
      </c>
      <c r="M2001" s="7"/>
    </row>
    <row r="2002" spans="2:13" customFormat="1" x14ac:dyDescent="0.25">
      <c r="B2002" t="s">
        <v>856</v>
      </c>
      <c r="C2002" t="s">
        <v>374</v>
      </c>
      <c r="D2002" t="s">
        <v>891</v>
      </c>
      <c r="E2002" t="s">
        <v>375</v>
      </c>
      <c r="F2002" t="s">
        <v>376</v>
      </c>
      <c r="H2002">
        <v>18134.919999999998</v>
      </c>
      <c r="I2002">
        <v>0</v>
      </c>
      <c r="J2002">
        <v>-142199.70000000001</v>
      </c>
      <c r="M2002" s="7"/>
    </row>
    <row r="2003" spans="2:13" customFormat="1" x14ac:dyDescent="0.25">
      <c r="B2003" t="s">
        <v>856</v>
      </c>
      <c r="C2003" t="s">
        <v>48</v>
      </c>
      <c r="D2003" t="s">
        <v>891</v>
      </c>
      <c r="E2003" t="s">
        <v>241</v>
      </c>
      <c r="F2003" t="s">
        <v>147</v>
      </c>
      <c r="H2003">
        <v>1847.55</v>
      </c>
      <c r="I2003">
        <v>0</v>
      </c>
      <c r="J2003">
        <v>-9606.4599999999991</v>
      </c>
      <c r="M2003" s="7"/>
    </row>
    <row r="2004" spans="2:13" customFormat="1" x14ac:dyDescent="0.25">
      <c r="B2004" t="s">
        <v>856</v>
      </c>
      <c r="C2004" t="s">
        <v>86</v>
      </c>
      <c r="D2004" t="s">
        <v>891</v>
      </c>
      <c r="E2004" t="s">
        <v>242</v>
      </c>
      <c r="F2004" t="s">
        <v>148</v>
      </c>
      <c r="H2004">
        <v>39819.46</v>
      </c>
      <c r="I2004">
        <v>0</v>
      </c>
      <c r="J2004">
        <v>-311561.77</v>
      </c>
      <c r="M2004" s="7"/>
    </row>
    <row r="2005" spans="2:13" customFormat="1" x14ac:dyDescent="0.25">
      <c r="B2005" t="s">
        <v>856</v>
      </c>
      <c r="C2005" t="s">
        <v>49</v>
      </c>
      <c r="D2005" t="s">
        <v>891</v>
      </c>
      <c r="E2005" t="s">
        <v>243</v>
      </c>
      <c r="F2005" t="s">
        <v>149</v>
      </c>
      <c r="H2005">
        <v>0</v>
      </c>
      <c r="I2005">
        <v>1452.03</v>
      </c>
      <c r="J2005">
        <v>12261.9</v>
      </c>
      <c r="M2005" s="7"/>
    </row>
    <row r="2006" spans="2:13" customFormat="1" x14ac:dyDescent="0.25">
      <c r="B2006" t="s">
        <v>856</v>
      </c>
      <c r="C2006" t="s">
        <v>50</v>
      </c>
      <c r="D2006" t="s">
        <v>891</v>
      </c>
      <c r="E2006" t="s">
        <v>244</v>
      </c>
      <c r="F2006" t="s">
        <v>150</v>
      </c>
      <c r="H2006">
        <v>0</v>
      </c>
      <c r="I2006">
        <v>159.12</v>
      </c>
      <c r="J2006">
        <v>1132.93</v>
      </c>
      <c r="M2006" s="7"/>
    </row>
    <row r="2007" spans="2:13" customFormat="1" x14ac:dyDescent="0.25">
      <c r="B2007" t="s">
        <v>856</v>
      </c>
      <c r="C2007" t="s">
        <v>51</v>
      </c>
      <c r="D2007" t="s">
        <v>891</v>
      </c>
      <c r="E2007" t="s">
        <v>245</v>
      </c>
      <c r="F2007" t="s">
        <v>151</v>
      </c>
      <c r="H2007">
        <v>0</v>
      </c>
      <c r="I2007">
        <v>732.94</v>
      </c>
      <c r="J2007">
        <v>5218.3900000000003</v>
      </c>
      <c r="M2007" s="7"/>
    </row>
    <row r="2008" spans="2:13" customFormat="1" x14ac:dyDescent="0.25">
      <c r="B2008" t="s">
        <v>856</v>
      </c>
      <c r="C2008" t="s">
        <v>87</v>
      </c>
      <c r="D2008" t="s">
        <v>891</v>
      </c>
      <c r="E2008" t="s">
        <v>246</v>
      </c>
      <c r="F2008" t="s">
        <v>152</v>
      </c>
      <c r="H2008">
        <v>27931.21</v>
      </c>
      <c r="I2008">
        <v>26258</v>
      </c>
      <c r="J2008">
        <v>-2397.91</v>
      </c>
      <c r="M2008" s="7"/>
    </row>
    <row r="2009" spans="2:13" customFormat="1" x14ac:dyDescent="0.25">
      <c r="B2009" t="s">
        <v>856</v>
      </c>
      <c r="C2009" t="s">
        <v>88</v>
      </c>
      <c r="D2009" t="s">
        <v>891</v>
      </c>
      <c r="E2009" t="s">
        <v>248</v>
      </c>
      <c r="F2009" t="s">
        <v>154</v>
      </c>
      <c r="H2009">
        <v>100.8</v>
      </c>
      <c r="I2009">
        <v>0</v>
      </c>
      <c r="J2009">
        <v>-2917.98</v>
      </c>
      <c r="M2009" s="7"/>
    </row>
    <row r="2010" spans="2:13" customFormat="1" x14ac:dyDescent="0.25">
      <c r="B2010" t="s">
        <v>856</v>
      </c>
      <c r="C2010" t="s">
        <v>377</v>
      </c>
      <c r="D2010" t="s">
        <v>891</v>
      </c>
      <c r="E2010" t="s">
        <v>378</v>
      </c>
      <c r="F2010" t="s">
        <v>379</v>
      </c>
      <c r="H2010">
        <v>34758</v>
      </c>
      <c r="I2010">
        <v>550319.18999999994</v>
      </c>
      <c r="J2010">
        <v>3582171.13</v>
      </c>
      <c r="M2010" s="7"/>
    </row>
    <row r="2011" spans="2:13" customFormat="1" x14ac:dyDescent="0.25">
      <c r="B2011" t="s">
        <v>856</v>
      </c>
      <c r="C2011" t="s">
        <v>53</v>
      </c>
      <c r="D2011" t="s">
        <v>891</v>
      </c>
      <c r="E2011" t="s">
        <v>249</v>
      </c>
      <c r="F2011" t="s">
        <v>155</v>
      </c>
      <c r="H2011">
        <v>1346.32</v>
      </c>
      <c r="I2011">
        <v>32273.040000000001</v>
      </c>
      <c r="J2011">
        <v>229178.9</v>
      </c>
      <c r="M2011" s="7"/>
    </row>
    <row r="2012" spans="2:13" customFormat="1" x14ac:dyDescent="0.25">
      <c r="B2012" t="s">
        <v>856</v>
      </c>
      <c r="C2012" t="s">
        <v>54</v>
      </c>
      <c r="D2012" t="s">
        <v>891</v>
      </c>
      <c r="E2012" t="s">
        <v>250</v>
      </c>
      <c r="F2012" t="s">
        <v>156</v>
      </c>
      <c r="H2012">
        <v>0</v>
      </c>
      <c r="I2012">
        <v>969.46</v>
      </c>
      <c r="J2012">
        <v>10000.69</v>
      </c>
      <c r="M2012" s="7"/>
    </row>
    <row r="2013" spans="2:13" customFormat="1" x14ac:dyDescent="0.25">
      <c r="B2013" t="s">
        <v>856</v>
      </c>
      <c r="C2013" t="s">
        <v>89</v>
      </c>
      <c r="D2013" t="s">
        <v>891</v>
      </c>
      <c r="E2013" t="s">
        <v>251</v>
      </c>
      <c r="F2013" t="s">
        <v>157</v>
      </c>
      <c r="H2013">
        <v>0</v>
      </c>
      <c r="I2013">
        <v>0</v>
      </c>
      <c r="J2013">
        <v>3252</v>
      </c>
      <c r="M2013" s="7"/>
    </row>
    <row r="2014" spans="2:13" customFormat="1" x14ac:dyDescent="0.25">
      <c r="B2014" t="s">
        <v>856</v>
      </c>
      <c r="C2014" t="s">
        <v>55</v>
      </c>
      <c r="D2014" t="s">
        <v>891</v>
      </c>
      <c r="E2014" t="s">
        <v>252</v>
      </c>
      <c r="F2014" t="s">
        <v>158</v>
      </c>
      <c r="H2014">
        <v>341.88</v>
      </c>
      <c r="I2014">
        <v>27084.67</v>
      </c>
      <c r="J2014">
        <v>163607.43</v>
      </c>
      <c r="M2014" s="7"/>
    </row>
    <row r="2015" spans="2:13" customFormat="1" x14ac:dyDescent="0.25">
      <c r="B2015" t="s">
        <v>856</v>
      </c>
      <c r="C2015" t="s">
        <v>56</v>
      </c>
      <c r="D2015" t="s">
        <v>891</v>
      </c>
      <c r="E2015" t="s">
        <v>253</v>
      </c>
      <c r="F2015" t="s">
        <v>159</v>
      </c>
      <c r="H2015">
        <v>2729.27</v>
      </c>
      <c r="I2015">
        <v>6297.26</v>
      </c>
      <c r="J2015">
        <v>48140.480000000003</v>
      </c>
      <c r="M2015" s="7"/>
    </row>
    <row r="2016" spans="2:13" customFormat="1" x14ac:dyDescent="0.25">
      <c r="B2016" t="s">
        <v>856</v>
      </c>
      <c r="C2016" t="s">
        <v>57</v>
      </c>
      <c r="D2016" t="s">
        <v>891</v>
      </c>
      <c r="E2016" t="s">
        <v>254</v>
      </c>
      <c r="F2016" t="s">
        <v>160</v>
      </c>
      <c r="H2016">
        <v>758.12</v>
      </c>
      <c r="I2016">
        <v>1506.92</v>
      </c>
      <c r="J2016">
        <v>12069.19</v>
      </c>
      <c r="M2016" s="7"/>
    </row>
    <row r="2017" spans="2:13" customFormat="1" x14ac:dyDescent="0.25">
      <c r="B2017" t="s">
        <v>856</v>
      </c>
      <c r="C2017" t="s">
        <v>58</v>
      </c>
      <c r="D2017" t="s">
        <v>891</v>
      </c>
      <c r="E2017" t="s">
        <v>255</v>
      </c>
      <c r="F2017" t="s">
        <v>161</v>
      </c>
      <c r="H2017">
        <v>1364.12</v>
      </c>
      <c r="I2017">
        <v>5844.77</v>
      </c>
      <c r="J2017">
        <v>47850.29</v>
      </c>
      <c r="M2017" s="7"/>
    </row>
    <row r="2018" spans="2:13" customFormat="1" x14ac:dyDescent="0.25">
      <c r="B2018" t="s">
        <v>856</v>
      </c>
      <c r="C2018" t="s">
        <v>59</v>
      </c>
      <c r="D2018" t="s">
        <v>891</v>
      </c>
      <c r="E2018" t="s">
        <v>256</v>
      </c>
      <c r="F2018" t="s">
        <v>162</v>
      </c>
      <c r="H2018">
        <v>2661.61</v>
      </c>
      <c r="I2018">
        <v>3420.74</v>
      </c>
      <c r="J2018">
        <v>13501.78</v>
      </c>
      <c r="M2018" s="7"/>
    </row>
    <row r="2019" spans="2:13" customFormat="1" x14ac:dyDescent="0.25">
      <c r="B2019" t="s">
        <v>856</v>
      </c>
      <c r="C2019" t="s">
        <v>90</v>
      </c>
      <c r="D2019" t="s">
        <v>891</v>
      </c>
      <c r="E2019" t="s">
        <v>257</v>
      </c>
      <c r="F2019" t="s">
        <v>163</v>
      </c>
      <c r="H2019">
        <v>0</v>
      </c>
      <c r="I2019">
        <v>6238.89</v>
      </c>
      <c r="J2019">
        <v>-6223.24</v>
      </c>
      <c r="M2019" s="7"/>
    </row>
    <row r="2020" spans="2:13" customFormat="1" x14ac:dyDescent="0.25">
      <c r="B2020" t="s">
        <v>856</v>
      </c>
      <c r="C2020" t="s">
        <v>60</v>
      </c>
      <c r="D2020" t="s">
        <v>891</v>
      </c>
      <c r="E2020" t="s">
        <v>258</v>
      </c>
      <c r="F2020" t="s">
        <v>164</v>
      </c>
      <c r="H2020">
        <v>0</v>
      </c>
      <c r="I2020">
        <v>343.44</v>
      </c>
      <c r="J2020">
        <v>13339.73</v>
      </c>
      <c r="M2020" s="7"/>
    </row>
    <row r="2021" spans="2:13" customFormat="1" x14ac:dyDescent="0.25">
      <c r="B2021" t="s">
        <v>856</v>
      </c>
      <c r="C2021" t="s">
        <v>61</v>
      </c>
      <c r="D2021" t="s">
        <v>891</v>
      </c>
      <c r="E2021" t="s">
        <v>259</v>
      </c>
      <c r="F2021" t="s">
        <v>165</v>
      </c>
      <c r="H2021">
        <v>0</v>
      </c>
      <c r="I2021">
        <v>1249.71</v>
      </c>
      <c r="J2021">
        <v>4797.8900000000003</v>
      </c>
      <c r="M2021" s="7"/>
    </row>
    <row r="2022" spans="2:13" customFormat="1" x14ac:dyDescent="0.25">
      <c r="B2022" t="s">
        <v>856</v>
      </c>
      <c r="C2022" t="s">
        <v>344</v>
      </c>
      <c r="D2022" t="s">
        <v>891</v>
      </c>
      <c r="E2022" t="s">
        <v>345</v>
      </c>
      <c r="F2022" t="s">
        <v>346</v>
      </c>
      <c r="H2022">
        <v>4652.03</v>
      </c>
      <c r="I2022">
        <v>1054.18</v>
      </c>
      <c r="J2022">
        <v>413.68</v>
      </c>
      <c r="M2022" s="7"/>
    </row>
    <row r="2023" spans="2:13" customFormat="1" x14ac:dyDescent="0.25">
      <c r="B2023" t="s">
        <v>856</v>
      </c>
      <c r="C2023" t="s">
        <v>62</v>
      </c>
      <c r="D2023" t="s">
        <v>891</v>
      </c>
      <c r="E2023" t="s">
        <v>260</v>
      </c>
      <c r="F2023" t="s">
        <v>166</v>
      </c>
      <c r="H2023">
        <v>279.11</v>
      </c>
      <c r="I2023">
        <v>3688.45</v>
      </c>
      <c r="J2023">
        <v>10275.57</v>
      </c>
      <c r="M2023" s="7"/>
    </row>
    <row r="2024" spans="2:13" customFormat="1" x14ac:dyDescent="0.25">
      <c r="B2024" t="s">
        <v>856</v>
      </c>
      <c r="C2024" t="s">
        <v>207</v>
      </c>
      <c r="D2024" t="s">
        <v>891</v>
      </c>
      <c r="E2024" t="s">
        <v>299</v>
      </c>
      <c r="F2024" t="s">
        <v>208</v>
      </c>
      <c r="H2024">
        <v>100</v>
      </c>
      <c r="I2024">
        <v>999.5</v>
      </c>
      <c r="J2024">
        <v>5185.8</v>
      </c>
      <c r="M2024" s="7"/>
    </row>
    <row r="2025" spans="2:13" customFormat="1" x14ac:dyDescent="0.25">
      <c r="B2025" t="s">
        <v>856</v>
      </c>
      <c r="C2025" t="s">
        <v>63</v>
      </c>
      <c r="D2025" t="s">
        <v>891</v>
      </c>
      <c r="E2025" t="s">
        <v>261</v>
      </c>
      <c r="F2025" t="s">
        <v>167</v>
      </c>
      <c r="H2025">
        <v>17.489999999999998</v>
      </c>
      <c r="I2025">
        <v>0</v>
      </c>
      <c r="J2025">
        <v>48.04</v>
      </c>
      <c r="M2025" s="7"/>
    </row>
    <row r="2026" spans="2:13" customFormat="1" x14ac:dyDescent="0.25">
      <c r="B2026" t="s">
        <v>856</v>
      </c>
      <c r="C2026" t="s">
        <v>380</v>
      </c>
      <c r="D2026" t="s">
        <v>891</v>
      </c>
      <c r="E2026" t="s">
        <v>381</v>
      </c>
      <c r="F2026" t="s">
        <v>382</v>
      </c>
      <c r="H2026">
        <v>0</v>
      </c>
      <c r="I2026">
        <v>0</v>
      </c>
      <c r="J2026">
        <v>1584.17</v>
      </c>
      <c r="M2026" s="7"/>
    </row>
    <row r="2027" spans="2:13" customFormat="1" x14ac:dyDescent="0.25">
      <c r="B2027" t="s">
        <v>856</v>
      </c>
      <c r="C2027" t="s">
        <v>91</v>
      </c>
      <c r="D2027" t="s">
        <v>891</v>
      </c>
      <c r="E2027" t="s">
        <v>262</v>
      </c>
      <c r="F2027" t="s">
        <v>168</v>
      </c>
      <c r="H2027">
        <v>0</v>
      </c>
      <c r="I2027">
        <v>1952.59</v>
      </c>
      <c r="J2027">
        <v>6222.81</v>
      </c>
      <c r="M2027" s="7"/>
    </row>
    <row r="2028" spans="2:13" customFormat="1" x14ac:dyDescent="0.25">
      <c r="B2028" t="s">
        <v>856</v>
      </c>
      <c r="C2028" t="s">
        <v>383</v>
      </c>
      <c r="D2028" t="s">
        <v>891</v>
      </c>
      <c r="E2028" t="s">
        <v>384</v>
      </c>
      <c r="F2028" t="s">
        <v>385</v>
      </c>
      <c r="H2028">
        <v>0</v>
      </c>
      <c r="I2028">
        <v>0</v>
      </c>
      <c r="J2028">
        <v>1070.1600000000001</v>
      </c>
      <c r="M2028" s="7"/>
    </row>
    <row r="2029" spans="2:13" customFormat="1" x14ac:dyDescent="0.25">
      <c r="B2029" t="s">
        <v>856</v>
      </c>
      <c r="C2029" t="s">
        <v>386</v>
      </c>
      <c r="D2029" t="s">
        <v>891</v>
      </c>
      <c r="E2029" t="s">
        <v>387</v>
      </c>
      <c r="F2029" t="s">
        <v>388</v>
      </c>
      <c r="H2029">
        <v>0</v>
      </c>
      <c r="I2029">
        <v>268.79000000000002</v>
      </c>
      <c r="J2029">
        <v>2953.43</v>
      </c>
      <c r="M2029" s="7"/>
    </row>
    <row r="2030" spans="2:13" customFormat="1" x14ac:dyDescent="0.25">
      <c r="B2030" t="s">
        <v>856</v>
      </c>
      <c r="C2030" t="s">
        <v>92</v>
      </c>
      <c r="D2030" t="s">
        <v>891</v>
      </c>
      <c r="E2030" t="s">
        <v>263</v>
      </c>
      <c r="F2030" t="s">
        <v>169</v>
      </c>
      <c r="H2030">
        <v>0</v>
      </c>
      <c r="I2030">
        <v>0</v>
      </c>
      <c r="J2030">
        <v>-71.8</v>
      </c>
      <c r="M2030" s="7"/>
    </row>
    <row r="2031" spans="2:13" customFormat="1" x14ac:dyDescent="0.25">
      <c r="B2031" t="s">
        <v>856</v>
      </c>
      <c r="C2031" t="s">
        <v>93</v>
      </c>
      <c r="D2031" t="s">
        <v>891</v>
      </c>
      <c r="E2031" t="s">
        <v>264</v>
      </c>
      <c r="F2031" t="s">
        <v>170</v>
      </c>
      <c r="H2031">
        <v>0</v>
      </c>
      <c r="I2031">
        <v>520</v>
      </c>
      <c r="J2031">
        <v>520</v>
      </c>
      <c r="M2031" s="7"/>
    </row>
    <row r="2032" spans="2:13" customFormat="1" x14ac:dyDescent="0.25">
      <c r="B2032" t="s">
        <v>856</v>
      </c>
      <c r="C2032" t="s">
        <v>524</v>
      </c>
      <c r="D2032" t="s">
        <v>891</v>
      </c>
      <c r="E2032" t="s">
        <v>525</v>
      </c>
      <c r="F2032" t="s">
        <v>526</v>
      </c>
      <c r="H2032">
        <v>0</v>
      </c>
      <c r="I2032">
        <v>0</v>
      </c>
      <c r="J2032">
        <v>274</v>
      </c>
      <c r="M2032" s="7"/>
    </row>
    <row r="2033" spans="2:13" customFormat="1" x14ac:dyDescent="0.25">
      <c r="B2033" t="s">
        <v>856</v>
      </c>
      <c r="C2033" t="s">
        <v>350</v>
      </c>
      <c r="D2033" t="s">
        <v>891</v>
      </c>
      <c r="E2033" t="s">
        <v>351</v>
      </c>
      <c r="F2033" t="s">
        <v>352</v>
      </c>
      <c r="H2033">
        <v>0</v>
      </c>
      <c r="I2033">
        <v>0</v>
      </c>
      <c r="J2033">
        <v>-40811.31</v>
      </c>
      <c r="M2033" s="7"/>
    </row>
    <row r="2034" spans="2:13" customFormat="1" x14ac:dyDescent="0.25">
      <c r="B2034" t="s">
        <v>856</v>
      </c>
      <c r="C2034" t="s">
        <v>64</v>
      </c>
      <c r="D2034" t="s">
        <v>891</v>
      </c>
      <c r="E2034" t="s">
        <v>265</v>
      </c>
      <c r="F2034" t="s">
        <v>171</v>
      </c>
      <c r="H2034">
        <v>1471.67</v>
      </c>
      <c r="I2034">
        <v>1619.76</v>
      </c>
      <c r="J2034">
        <v>16641.419999999998</v>
      </c>
      <c r="M2034" s="7"/>
    </row>
    <row r="2035" spans="2:13" customFormat="1" x14ac:dyDescent="0.25">
      <c r="B2035" t="s">
        <v>856</v>
      </c>
      <c r="C2035" t="s">
        <v>94</v>
      </c>
      <c r="D2035" t="s">
        <v>891</v>
      </c>
      <c r="E2035" t="s">
        <v>266</v>
      </c>
      <c r="F2035" t="s">
        <v>172</v>
      </c>
      <c r="H2035">
        <v>0</v>
      </c>
      <c r="I2035">
        <v>0</v>
      </c>
      <c r="J2035">
        <v>-896.4</v>
      </c>
      <c r="M2035" s="7"/>
    </row>
    <row r="2036" spans="2:13" customFormat="1" x14ac:dyDescent="0.25">
      <c r="B2036" t="s">
        <v>856</v>
      </c>
      <c r="C2036" t="s">
        <v>353</v>
      </c>
      <c r="D2036" t="s">
        <v>891</v>
      </c>
      <c r="E2036" t="s">
        <v>354</v>
      </c>
      <c r="F2036" t="s">
        <v>355</v>
      </c>
      <c r="H2036">
        <v>0</v>
      </c>
      <c r="I2036">
        <v>0</v>
      </c>
      <c r="J2036">
        <v>-117.2</v>
      </c>
      <c r="M2036" s="7"/>
    </row>
    <row r="2037" spans="2:13" customFormat="1" x14ac:dyDescent="0.25">
      <c r="B2037" t="s">
        <v>856</v>
      </c>
      <c r="C2037" t="s">
        <v>95</v>
      </c>
      <c r="D2037" t="s">
        <v>891</v>
      </c>
      <c r="E2037" t="s">
        <v>267</v>
      </c>
      <c r="F2037" t="s">
        <v>173</v>
      </c>
      <c r="H2037">
        <v>0</v>
      </c>
      <c r="I2037">
        <v>0</v>
      </c>
      <c r="J2037">
        <v>-421.92</v>
      </c>
      <c r="M2037" s="7"/>
    </row>
    <row r="2038" spans="2:13" customFormat="1" x14ac:dyDescent="0.25">
      <c r="B2038" t="s">
        <v>856</v>
      </c>
      <c r="C2038" t="s">
        <v>65</v>
      </c>
      <c r="D2038" t="s">
        <v>891</v>
      </c>
      <c r="E2038" t="s">
        <v>269</v>
      </c>
      <c r="F2038" t="s">
        <v>175</v>
      </c>
      <c r="H2038">
        <v>0</v>
      </c>
      <c r="I2038">
        <v>9109.3799999999992</v>
      </c>
      <c r="J2038">
        <v>46029.9</v>
      </c>
      <c r="M2038" s="7"/>
    </row>
    <row r="2039" spans="2:13" customFormat="1" x14ac:dyDescent="0.25">
      <c r="B2039" t="s">
        <v>856</v>
      </c>
      <c r="C2039" t="s">
        <v>97</v>
      </c>
      <c r="D2039" t="s">
        <v>891</v>
      </c>
      <c r="E2039" t="s">
        <v>270</v>
      </c>
      <c r="F2039" t="s">
        <v>176</v>
      </c>
      <c r="H2039">
        <v>0</v>
      </c>
      <c r="I2039">
        <v>116.02</v>
      </c>
      <c r="J2039">
        <v>671.5</v>
      </c>
      <c r="M2039" s="7"/>
    </row>
    <row r="2040" spans="2:13" customFormat="1" x14ac:dyDescent="0.25">
      <c r="B2040" t="s">
        <v>856</v>
      </c>
      <c r="C2040" t="s">
        <v>548</v>
      </c>
      <c r="D2040" t="s">
        <v>891</v>
      </c>
      <c r="E2040" t="s">
        <v>549</v>
      </c>
      <c r="F2040" t="s">
        <v>550</v>
      </c>
      <c r="H2040">
        <v>0</v>
      </c>
      <c r="I2040">
        <v>1536.02</v>
      </c>
      <c r="J2040">
        <v>12479.51</v>
      </c>
      <c r="M2040" s="7"/>
    </row>
    <row r="2041" spans="2:13" customFormat="1" x14ac:dyDescent="0.25">
      <c r="B2041" t="s">
        <v>856</v>
      </c>
      <c r="C2041" t="s">
        <v>66</v>
      </c>
      <c r="D2041" t="s">
        <v>891</v>
      </c>
      <c r="E2041" t="s">
        <v>272</v>
      </c>
      <c r="F2041" t="s">
        <v>178</v>
      </c>
      <c r="H2041">
        <v>0</v>
      </c>
      <c r="I2041">
        <v>130</v>
      </c>
      <c r="J2041">
        <v>910</v>
      </c>
      <c r="M2041" s="7"/>
    </row>
    <row r="2042" spans="2:13" customFormat="1" x14ac:dyDescent="0.25">
      <c r="B2042" t="s">
        <v>856</v>
      </c>
      <c r="C2042" t="s">
        <v>99</v>
      </c>
      <c r="D2042" t="s">
        <v>891</v>
      </c>
      <c r="E2042" t="s">
        <v>273</v>
      </c>
      <c r="F2042" t="s">
        <v>179</v>
      </c>
      <c r="H2042">
        <v>2277</v>
      </c>
      <c r="I2042">
        <v>0</v>
      </c>
      <c r="J2042">
        <v>0</v>
      </c>
      <c r="M2042" s="7"/>
    </row>
    <row r="2043" spans="2:13" customFormat="1" x14ac:dyDescent="0.25">
      <c r="B2043" t="s">
        <v>856</v>
      </c>
      <c r="C2043" t="s">
        <v>392</v>
      </c>
      <c r="D2043" t="s">
        <v>891</v>
      </c>
      <c r="E2043" t="s">
        <v>393</v>
      </c>
      <c r="F2043" t="s">
        <v>394</v>
      </c>
      <c r="H2043">
        <v>0</v>
      </c>
      <c r="I2043">
        <v>1223.05</v>
      </c>
      <c r="J2043">
        <v>8498.2099999999991</v>
      </c>
      <c r="M2043" s="7"/>
    </row>
    <row r="2044" spans="2:13" customFormat="1" x14ac:dyDescent="0.25">
      <c r="B2044" t="s">
        <v>856</v>
      </c>
      <c r="C2044" t="s">
        <v>591</v>
      </c>
      <c r="D2044" t="s">
        <v>891</v>
      </c>
      <c r="E2044" t="s">
        <v>592</v>
      </c>
      <c r="F2044" t="s">
        <v>593</v>
      </c>
      <c r="H2044">
        <v>0</v>
      </c>
      <c r="I2044">
        <v>360.94</v>
      </c>
      <c r="J2044">
        <v>1414.9</v>
      </c>
      <c r="M2044" s="7"/>
    </row>
    <row r="2045" spans="2:13" customFormat="1" x14ac:dyDescent="0.25">
      <c r="B2045" t="s">
        <v>856</v>
      </c>
      <c r="C2045" t="s">
        <v>100</v>
      </c>
      <c r="D2045" t="s">
        <v>891</v>
      </c>
      <c r="E2045" t="s">
        <v>274</v>
      </c>
      <c r="F2045" t="s">
        <v>180</v>
      </c>
      <c r="H2045">
        <v>2015</v>
      </c>
      <c r="I2045">
        <v>1940.84</v>
      </c>
      <c r="J2045">
        <v>12676.09</v>
      </c>
      <c r="M2045" s="7"/>
    </row>
    <row r="2046" spans="2:13" customFormat="1" x14ac:dyDescent="0.25">
      <c r="B2046" t="s">
        <v>856</v>
      </c>
      <c r="C2046" t="s">
        <v>101</v>
      </c>
      <c r="D2046" t="s">
        <v>891</v>
      </c>
      <c r="E2046" t="s">
        <v>275</v>
      </c>
      <c r="F2046" t="s">
        <v>181</v>
      </c>
      <c r="H2046">
        <v>0</v>
      </c>
      <c r="I2046">
        <v>290</v>
      </c>
      <c r="J2046">
        <v>290</v>
      </c>
      <c r="M2046" s="7"/>
    </row>
    <row r="2047" spans="2:13" customFormat="1" x14ac:dyDescent="0.25">
      <c r="B2047" t="s">
        <v>856</v>
      </c>
      <c r="C2047" t="s">
        <v>67</v>
      </c>
      <c r="D2047" t="s">
        <v>891</v>
      </c>
      <c r="E2047" t="s">
        <v>276</v>
      </c>
      <c r="F2047" t="s">
        <v>182</v>
      </c>
      <c r="H2047">
        <v>170.3</v>
      </c>
      <c r="I2047">
        <v>557.72</v>
      </c>
      <c r="J2047">
        <v>29087.52</v>
      </c>
      <c r="M2047" s="7"/>
    </row>
    <row r="2048" spans="2:13" customFormat="1" x14ac:dyDescent="0.25">
      <c r="B2048" t="s">
        <v>856</v>
      </c>
      <c r="C2048" t="s">
        <v>497</v>
      </c>
      <c r="D2048" t="s">
        <v>891</v>
      </c>
      <c r="E2048" t="s">
        <v>498</v>
      </c>
      <c r="F2048" t="s">
        <v>499</v>
      </c>
      <c r="H2048">
        <v>0</v>
      </c>
      <c r="I2048">
        <v>0</v>
      </c>
      <c r="J2048">
        <v>600</v>
      </c>
      <c r="M2048" s="7"/>
    </row>
    <row r="2049" spans="2:13" customFormat="1" x14ac:dyDescent="0.25">
      <c r="B2049" t="s">
        <v>856</v>
      </c>
      <c r="C2049" t="s">
        <v>102</v>
      </c>
      <c r="D2049" t="s">
        <v>891</v>
      </c>
      <c r="E2049" t="s">
        <v>277</v>
      </c>
      <c r="F2049" t="s">
        <v>183</v>
      </c>
      <c r="H2049">
        <v>0</v>
      </c>
      <c r="I2049">
        <v>0</v>
      </c>
      <c r="J2049">
        <v>8901.9</v>
      </c>
      <c r="M2049" s="7"/>
    </row>
    <row r="2050" spans="2:13" customFormat="1" x14ac:dyDescent="0.25">
      <c r="B2050" t="s">
        <v>856</v>
      </c>
      <c r="C2050" t="s">
        <v>68</v>
      </c>
      <c r="D2050" t="s">
        <v>891</v>
      </c>
      <c r="E2050" t="s">
        <v>279</v>
      </c>
      <c r="F2050" t="s">
        <v>185</v>
      </c>
      <c r="H2050">
        <v>0</v>
      </c>
      <c r="I2050">
        <v>194.76</v>
      </c>
      <c r="J2050">
        <v>5884.12</v>
      </c>
      <c r="M2050" s="7"/>
    </row>
    <row r="2051" spans="2:13" customFormat="1" x14ac:dyDescent="0.25">
      <c r="B2051" t="s">
        <v>856</v>
      </c>
      <c r="C2051" t="s">
        <v>594</v>
      </c>
      <c r="D2051" t="s">
        <v>891</v>
      </c>
      <c r="E2051" t="s">
        <v>595</v>
      </c>
      <c r="F2051" t="s">
        <v>596</v>
      </c>
      <c r="H2051">
        <v>0</v>
      </c>
      <c r="I2051">
        <v>347</v>
      </c>
      <c r="J2051">
        <v>347</v>
      </c>
      <c r="M2051" s="7"/>
    </row>
    <row r="2052" spans="2:13" customFormat="1" x14ac:dyDescent="0.25">
      <c r="B2052" t="s">
        <v>856</v>
      </c>
      <c r="C2052" t="s">
        <v>395</v>
      </c>
      <c r="D2052" t="s">
        <v>891</v>
      </c>
      <c r="E2052" t="s">
        <v>396</v>
      </c>
      <c r="F2052" t="s">
        <v>397</v>
      </c>
      <c r="H2052">
        <v>0</v>
      </c>
      <c r="I2052">
        <v>400</v>
      </c>
      <c r="J2052">
        <v>2800</v>
      </c>
      <c r="M2052" s="7"/>
    </row>
    <row r="2053" spans="2:13" customFormat="1" x14ac:dyDescent="0.25">
      <c r="B2053" t="s">
        <v>856</v>
      </c>
      <c r="C2053" t="s">
        <v>104</v>
      </c>
      <c r="D2053" t="s">
        <v>891</v>
      </c>
      <c r="E2053" t="s">
        <v>280</v>
      </c>
      <c r="F2053" t="s">
        <v>186</v>
      </c>
      <c r="H2053">
        <v>0</v>
      </c>
      <c r="I2053">
        <v>2246.7399999999998</v>
      </c>
      <c r="J2053">
        <v>6281.63</v>
      </c>
      <c r="M2053" s="7"/>
    </row>
    <row r="2054" spans="2:13" customFormat="1" x14ac:dyDescent="0.25">
      <c r="B2054" t="s">
        <v>856</v>
      </c>
      <c r="C2054" t="s">
        <v>356</v>
      </c>
      <c r="D2054" t="s">
        <v>891</v>
      </c>
      <c r="E2054" t="s">
        <v>357</v>
      </c>
      <c r="F2054" t="s">
        <v>358</v>
      </c>
      <c r="H2054">
        <v>0</v>
      </c>
      <c r="I2054">
        <v>990</v>
      </c>
      <c r="J2054">
        <v>4173.03</v>
      </c>
      <c r="M2054" s="7"/>
    </row>
    <row r="2055" spans="2:13" customFormat="1" x14ac:dyDescent="0.25">
      <c r="B2055" t="s">
        <v>856</v>
      </c>
      <c r="C2055" t="s">
        <v>105</v>
      </c>
      <c r="D2055" t="s">
        <v>891</v>
      </c>
      <c r="E2055" t="s">
        <v>281</v>
      </c>
      <c r="F2055" t="s">
        <v>187</v>
      </c>
      <c r="H2055">
        <v>0</v>
      </c>
      <c r="I2055">
        <v>567.16999999999996</v>
      </c>
      <c r="J2055">
        <v>2195.4699999999998</v>
      </c>
      <c r="M2055" s="7"/>
    </row>
    <row r="2056" spans="2:13" customFormat="1" x14ac:dyDescent="0.25">
      <c r="B2056" t="s">
        <v>856</v>
      </c>
      <c r="C2056" t="s">
        <v>106</v>
      </c>
      <c r="D2056" t="s">
        <v>891</v>
      </c>
      <c r="E2056" t="s">
        <v>282</v>
      </c>
      <c r="F2056" t="s">
        <v>188</v>
      </c>
      <c r="H2056">
        <v>0</v>
      </c>
      <c r="I2056">
        <v>144.13999999999999</v>
      </c>
      <c r="J2056">
        <v>1233.27</v>
      </c>
      <c r="M2056" s="7"/>
    </row>
    <row r="2057" spans="2:13" customFormat="1" x14ac:dyDescent="0.25">
      <c r="B2057" t="s">
        <v>856</v>
      </c>
      <c r="C2057" t="s">
        <v>107</v>
      </c>
      <c r="D2057" t="s">
        <v>891</v>
      </c>
      <c r="E2057" t="s">
        <v>283</v>
      </c>
      <c r="F2057" t="s">
        <v>189</v>
      </c>
      <c r="H2057">
        <v>444.04</v>
      </c>
      <c r="I2057">
        <v>4800.4399999999996</v>
      </c>
      <c r="J2057">
        <v>31006.880000000001</v>
      </c>
      <c r="M2057" s="7"/>
    </row>
    <row r="2058" spans="2:13" customFormat="1" x14ac:dyDescent="0.25">
      <c r="B2058" t="s">
        <v>856</v>
      </c>
      <c r="C2058" t="s">
        <v>359</v>
      </c>
      <c r="D2058" t="s">
        <v>891</v>
      </c>
      <c r="E2058" t="s">
        <v>360</v>
      </c>
      <c r="F2058" t="s">
        <v>361</v>
      </c>
      <c r="H2058">
        <v>0</v>
      </c>
      <c r="I2058">
        <v>930.85</v>
      </c>
      <c r="J2058">
        <v>3311.67</v>
      </c>
      <c r="M2058" s="7"/>
    </row>
    <row r="2059" spans="2:13" customFormat="1" x14ac:dyDescent="0.25">
      <c r="B2059" t="s">
        <v>856</v>
      </c>
      <c r="C2059" t="s">
        <v>69</v>
      </c>
      <c r="D2059" t="s">
        <v>891</v>
      </c>
      <c r="E2059" t="s">
        <v>284</v>
      </c>
      <c r="F2059" t="s">
        <v>190</v>
      </c>
      <c r="H2059">
        <v>0</v>
      </c>
      <c r="I2059">
        <v>197.5</v>
      </c>
      <c r="J2059">
        <v>386.21</v>
      </c>
      <c r="M2059" s="7"/>
    </row>
    <row r="2060" spans="2:13" customFormat="1" x14ac:dyDescent="0.25">
      <c r="B2060" t="s">
        <v>856</v>
      </c>
      <c r="C2060" t="s">
        <v>633</v>
      </c>
      <c r="D2060" t="s">
        <v>891</v>
      </c>
      <c r="E2060" t="s">
        <v>634</v>
      </c>
      <c r="F2060" t="s">
        <v>635</v>
      </c>
      <c r="H2060">
        <v>0</v>
      </c>
      <c r="I2060">
        <v>0</v>
      </c>
      <c r="J2060">
        <v>2929.66</v>
      </c>
      <c r="M2060" s="7"/>
    </row>
    <row r="2061" spans="2:13" customFormat="1" x14ac:dyDescent="0.25">
      <c r="B2061" t="s">
        <v>856</v>
      </c>
      <c r="C2061" t="s">
        <v>108</v>
      </c>
      <c r="D2061" t="s">
        <v>891</v>
      </c>
      <c r="E2061" t="s">
        <v>285</v>
      </c>
      <c r="F2061" t="s">
        <v>191</v>
      </c>
      <c r="H2061">
        <v>0</v>
      </c>
      <c r="I2061">
        <v>0</v>
      </c>
      <c r="J2061">
        <v>404.12</v>
      </c>
      <c r="M2061" s="7"/>
    </row>
    <row r="2062" spans="2:13" customFormat="1" x14ac:dyDescent="0.25">
      <c r="B2062" t="s">
        <v>856</v>
      </c>
      <c r="C2062" t="s">
        <v>70</v>
      </c>
      <c r="D2062" t="s">
        <v>891</v>
      </c>
      <c r="E2062" t="s">
        <v>286</v>
      </c>
      <c r="F2062" t="s">
        <v>192</v>
      </c>
      <c r="H2062">
        <v>0</v>
      </c>
      <c r="I2062">
        <v>2561.6</v>
      </c>
      <c r="J2062">
        <v>8004.84</v>
      </c>
      <c r="M2062" s="7"/>
    </row>
    <row r="2063" spans="2:13" customFormat="1" x14ac:dyDescent="0.25">
      <c r="B2063" t="s">
        <v>856</v>
      </c>
      <c r="C2063" t="s">
        <v>597</v>
      </c>
      <c r="D2063" t="s">
        <v>891</v>
      </c>
      <c r="E2063" t="s">
        <v>598</v>
      </c>
      <c r="F2063" t="s">
        <v>599</v>
      </c>
      <c r="H2063">
        <v>0</v>
      </c>
      <c r="I2063">
        <v>350</v>
      </c>
      <c r="J2063">
        <v>1850</v>
      </c>
      <c r="M2063" s="7"/>
    </row>
    <row r="2064" spans="2:13" customFormat="1" x14ac:dyDescent="0.25">
      <c r="B2064" t="s">
        <v>856</v>
      </c>
      <c r="C2064" t="s">
        <v>109</v>
      </c>
      <c r="D2064" t="s">
        <v>891</v>
      </c>
      <c r="E2064" t="s">
        <v>287</v>
      </c>
      <c r="F2064" t="s">
        <v>193</v>
      </c>
      <c r="H2064">
        <v>0</v>
      </c>
      <c r="I2064">
        <v>4436.92</v>
      </c>
      <c r="J2064">
        <v>14839.02</v>
      </c>
      <c r="M2064" s="7"/>
    </row>
    <row r="2065" spans="2:13" customFormat="1" x14ac:dyDescent="0.25">
      <c r="B2065" t="s">
        <v>856</v>
      </c>
      <c r="C2065" t="s">
        <v>110</v>
      </c>
      <c r="D2065" t="s">
        <v>891</v>
      </c>
      <c r="E2065" t="s">
        <v>288</v>
      </c>
      <c r="F2065" t="s">
        <v>194</v>
      </c>
      <c r="H2065">
        <v>0</v>
      </c>
      <c r="I2065">
        <v>4063.5</v>
      </c>
      <c r="J2065">
        <v>4463.5</v>
      </c>
      <c r="M2065" s="7"/>
    </row>
    <row r="2066" spans="2:13" customFormat="1" x14ac:dyDescent="0.25">
      <c r="B2066" t="s">
        <v>856</v>
      </c>
      <c r="C2066" t="s">
        <v>440</v>
      </c>
      <c r="D2066" t="s">
        <v>891</v>
      </c>
      <c r="E2066" t="s">
        <v>441</v>
      </c>
      <c r="F2066" t="s">
        <v>442</v>
      </c>
      <c r="H2066">
        <v>0</v>
      </c>
      <c r="I2066">
        <v>0</v>
      </c>
      <c r="J2066">
        <v>3675.58</v>
      </c>
      <c r="M2066" s="7"/>
    </row>
    <row r="2067" spans="2:13" customFormat="1" x14ac:dyDescent="0.25">
      <c r="B2067" t="s">
        <v>856</v>
      </c>
      <c r="C2067" t="s">
        <v>111</v>
      </c>
      <c r="D2067" t="s">
        <v>891</v>
      </c>
      <c r="E2067" t="s">
        <v>289</v>
      </c>
      <c r="F2067" t="s">
        <v>195</v>
      </c>
      <c r="H2067">
        <v>0</v>
      </c>
      <c r="I2067">
        <v>0</v>
      </c>
      <c r="J2067">
        <v>-434.23</v>
      </c>
      <c r="M2067" s="7"/>
    </row>
    <row r="2068" spans="2:13" customFormat="1" x14ac:dyDescent="0.25">
      <c r="B2068" t="s">
        <v>856</v>
      </c>
      <c r="C2068" t="s">
        <v>203</v>
      </c>
      <c r="D2068" t="s">
        <v>891</v>
      </c>
      <c r="E2068" t="s">
        <v>297</v>
      </c>
      <c r="F2068" t="s">
        <v>204</v>
      </c>
      <c r="H2068">
        <v>0</v>
      </c>
      <c r="I2068">
        <v>47105.27</v>
      </c>
      <c r="J2068">
        <v>47105.27</v>
      </c>
      <c r="M2068" s="7"/>
    </row>
    <row r="2069" spans="2:13" customFormat="1" x14ac:dyDescent="0.25">
      <c r="B2069" t="s">
        <v>856</v>
      </c>
      <c r="C2069" t="s">
        <v>398</v>
      </c>
      <c r="D2069" t="s">
        <v>891</v>
      </c>
      <c r="E2069" t="s">
        <v>399</v>
      </c>
      <c r="F2069" t="s">
        <v>400</v>
      </c>
      <c r="H2069">
        <v>0</v>
      </c>
      <c r="I2069">
        <v>1017.82</v>
      </c>
      <c r="J2069">
        <v>6599.23</v>
      </c>
      <c r="M2069" s="7"/>
    </row>
    <row r="2070" spans="2:13" customFormat="1" x14ac:dyDescent="0.25">
      <c r="B2070" t="s">
        <v>856</v>
      </c>
      <c r="C2070" t="s">
        <v>443</v>
      </c>
      <c r="D2070" t="s">
        <v>891</v>
      </c>
      <c r="E2070" t="s">
        <v>444</v>
      </c>
      <c r="F2070" t="s">
        <v>445</v>
      </c>
      <c r="H2070">
        <v>0</v>
      </c>
      <c r="I2070">
        <v>1145.3800000000001</v>
      </c>
      <c r="J2070">
        <v>13744.52</v>
      </c>
      <c r="M2070" s="7"/>
    </row>
    <row r="2071" spans="2:13" customFormat="1" x14ac:dyDescent="0.25">
      <c r="B2071" t="s">
        <v>856</v>
      </c>
      <c r="C2071" t="s">
        <v>404</v>
      </c>
      <c r="D2071" t="s">
        <v>891</v>
      </c>
      <c r="E2071" t="s">
        <v>405</v>
      </c>
      <c r="F2071" t="s">
        <v>406</v>
      </c>
      <c r="H2071">
        <v>0</v>
      </c>
      <c r="I2071">
        <v>0</v>
      </c>
      <c r="J2071">
        <v>35.65</v>
      </c>
      <c r="M2071" s="7"/>
    </row>
    <row r="2072" spans="2:13" customFormat="1" x14ac:dyDescent="0.25">
      <c r="B2072" t="s">
        <v>856</v>
      </c>
      <c r="C2072" t="s">
        <v>407</v>
      </c>
      <c r="D2072" t="s">
        <v>891</v>
      </c>
      <c r="E2072" t="s">
        <v>408</v>
      </c>
      <c r="F2072" t="s">
        <v>409</v>
      </c>
      <c r="H2072">
        <v>0</v>
      </c>
      <c r="I2072">
        <v>0</v>
      </c>
      <c r="J2072">
        <v>287.38</v>
      </c>
      <c r="M2072" s="7"/>
    </row>
    <row r="2073" spans="2:13" customFormat="1" x14ac:dyDescent="0.25">
      <c r="B2073" t="s">
        <v>856</v>
      </c>
      <c r="C2073" t="s">
        <v>71</v>
      </c>
      <c r="D2073" t="s">
        <v>891</v>
      </c>
      <c r="E2073" t="s">
        <v>291</v>
      </c>
      <c r="F2073" t="s">
        <v>197</v>
      </c>
      <c r="H2073">
        <v>0</v>
      </c>
      <c r="I2073">
        <v>445.57</v>
      </c>
      <c r="J2073">
        <v>3539.46</v>
      </c>
      <c r="M2073" s="7"/>
    </row>
    <row r="2074" spans="2:13" customFormat="1" x14ac:dyDescent="0.25">
      <c r="B2074" t="s">
        <v>856</v>
      </c>
      <c r="C2074" t="s">
        <v>72</v>
      </c>
      <c r="D2074" t="s">
        <v>891</v>
      </c>
      <c r="E2074" t="s">
        <v>292</v>
      </c>
      <c r="F2074" t="s">
        <v>198</v>
      </c>
      <c r="H2074">
        <v>0</v>
      </c>
      <c r="I2074">
        <v>641.79999999999995</v>
      </c>
      <c r="J2074">
        <v>2462.64</v>
      </c>
      <c r="M2074" s="7"/>
    </row>
    <row r="2075" spans="2:13" customFormat="1" x14ac:dyDescent="0.25">
      <c r="B2075" t="s">
        <v>856</v>
      </c>
      <c r="C2075" t="s">
        <v>73</v>
      </c>
      <c r="D2075" t="s">
        <v>891</v>
      </c>
      <c r="E2075" t="s">
        <v>293</v>
      </c>
      <c r="F2075" t="s">
        <v>199</v>
      </c>
      <c r="H2075">
        <v>0</v>
      </c>
      <c r="I2075">
        <v>355.81</v>
      </c>
      <c r="J2075">
        <v>1676.35</v>
      </c>
      <c r="M2075" s="7"/>
    </row>
    <row r="2076" spans="2:13" customFormat="1" x14ac:dyDescent="0.25">
      <c r="B2076" t="s">
        <v>856</v>
      </c>
      <c r="C2076" t="s">
        <v>74</v>
      </c>
      <c r="D2076" t="s">
        <v>891</v>
      </c>
      <c r="E2076" t="s">
        <v>294</v>
      </c>
      <c r="F2076" t="s">
        <v>200</v>
      </c>
      <c r="H2076">
        <v>0</v>
      </c>
      <c r="I2076">
        <v>5064.7700000000004</v>
      </c>
      <c r="J2076">
        <v>47404.69</v>
      </c>
      <c r="M2076" s="7"/>
    </row>
    <row r="2077" spans="2:13" customFormat="1" x14ac:dyDescent="0.25">
      <c r="B2077" t="s">
        <v>856</v>
      </c>
      <c r="C2077" t="s">
        <v>75</v>
      </c>
      <c r="D2077" t="s">
        <v>891</v>
      </c>
      <c r="E2077" t="s">
        <v>295</v>
      </c>
      <c r="F2077" t="s">
        <v>201</v>
      </c>
      <c r="H2077">
        <v>0</v>
      </c>
      <c r="I2077">
        <v>118.44</v>
      </c>
      <c r="J2077">
        <v>1785.53</v>
      </c>
      <c r="M2077" s="7"/>
    </row>
    <row r="2078" spans="2:13" customFormat="1" x14ac:dyDescent="0.25">
      <c r="B2078" t="s">
        <v>856</v>
      </c>
      <c r="C2078" t="s">
        <v>76</v>
      </c>
      <c r="D2078" t="s">
        <v>891</v>
      </c>
      <c r="E2078" t="s">
        <v>296</v>
      </c>
      <c r="F2078" t="s">
        <v>202</v>
      </c>
      <c r="H2078">
        <v>0</v>
      </c>
      <c r="I2078">
        <v>71.06</v>
      </c>
      <c r="J2078">
        <v>1071.31</v>
      </c>
      <c r="M2078" s="7"/>
    </row>
    <row r="2079" spans="2:13" customFormat="1" x14ac:dyDescent="0.25">
      <c r="B2079" t="s">
        <v>860</v>
      </c>
      <c r="C2079" t="s">
        <v>27</v>
      </c>
      <c r="D2079" t="s">
        <v>891</v>
      </c>
      <c r="E2079" t="s">
        <v>212</v>
      </c>
      <c r="F2079" t="s">
        <v>117</v>
      </c>
      <c r="H2079">
        <v>0</v>
      </c>
      <c r="I2079">
        <v>0</v>
      </c>
      <c r="J2079">
        <v>8698.69</v>
      </c>
      <c r="M2079" s="7"/>
    </row>
    <row r="2080" spans="2:13" customFormat="1" x14ac:dyDescent="0.25">
      <c r="B2080" t="s">
        <v>860</v>
      </c>
      <c r="C2080" t="s">
        <v>30</v>
      </c>
      <c r="D2080" t="s">
        <v>891</v>
      </c>
      <c r="E2080" t="s">
        <v>215</v>
      </c>
      <c r="F2080" t="s">
        <v>120</v>
      </c>
      <c r="H2080">
        <v>163029.39000000001</v>
      </c>
      <c r="I2080">
        <v>679.78</v>
      </c>
      <c r="J2080">
        <v>1336.12</v>
      </c>
      <c r="M2080" s="7"/>
    </row>
    <row r="2081" spans="2:13" customFormat="1" x14ac:dyDescent="0.25">
      <c r="B2081" t="s">
        <v>860</v>
      </c>
      <c r="C2081" t="s">
        <v>449</v>
      </c>
      <c r="D2081" t="s">
        <v>891</v>
      </c>
      <c r="E2081" t="s">
        <v>450</v>
      </c>
      <c r="F2081" t="s">
        <v>451</v>
      </c>
      <c r="H2081">
        <v>0</v>
      </c>
      <c r="I2081">
        <v>0</v>
      </c>
      <c r="J2081">
        <v>893742.22</v>
      </c>
      <c r="M2081" s="7"/>
    </row>
    <row r="2082" spans="2:13" customFormat="1" x14ac:dyDescent="0.25">
      <c r="B2082" t="s">
        <v>860</v>
      </c>
      <c r="C2082" t="s">
        <v>33</v>
      </c>
      <c r="D2082" t="s">
        <v>891</v>
      </c>
      <c r="E2082" t="s">
        <v>219</v>
      </c>
      <c r="F2082" t="s">
        <v>124</v>
      </c>
      <c r="H2082">
        <v>179.59</v>
      </c>
      <c r="I2082">
        <v>0</v>
      </c>
      <c r="J2082">
        <v>20849.759999999998</v>
      </c>
      <c r="M2082" s="7"/>
    </row>
    <row r="2083" spans="2:13" customFormat="1" x14ac:dyDescent="0.25">
      <c r="B2083" t="s">
        <v>860</v>
      </c>
      <c r="C2083" t="s">
        <v>34</v>
      </c>
      <c r="D2083" t="s">
        <v>891</v>
      </c>
      <c r="E2083" t="s">
        <v>220</v>
      </c>
      <c r="F2083" t="s">
        <v>125</v>
      </c>
      <c r="H2083">
        <v>737.28</v>
      </c>
      <c r="I2083">
        <v>0</v>
      </c>
      <c r="J2083">
        <v>58594.6</v>
      </c>
      <c r="M2083" s="7"/>
    </row>
    <row r="2084" spans="2:13" customFormat="1" x14ac:dyDescent="0.25">
      <c r="B2084" t="s">
        <v>860</v>
      </c>
      <c r="C2084" t="s">
        <v>205</v>
      </c>
      <c r="D2084" t="s">
        <v>891</v>
      </c>
      <c r="E2084" t="s">
        <v>298</v>
      </c>
      <c r="F2084" t="s">
        <v>206</v>
      </c>
      <c r="H2084">
        <v>0</v>
      </c>
      <c r="I2084">
        <v>0</v>
      </c>
      <c r="J2084">
        <v>200</v>
      </c>
      <c r="M2084" s="7"/>
    </row>
    <row r="2085" spans="2:13" customFormat="1" x14ac:dyDescent="0.25">
      <c r="B2085" t="s">
        <v>860</v>
      </c>
      <c r="C2085" t="s">
        <v>35</v>
      </c>
      <c r="D2085" t="s">
        <v>891</v>
      </c>
      <c r="E2085" t="s">
        <v>221</v>
      </c>
      <c r="F2085" t="s">
        <v>127</v>
      </c>
      <c r="H2085">
        <v>0</v>
      </c>
      <c r="I2085">
        <v>0</v>
      </c>
      <c r="J2085">
        <v>111849.43</v>
      </c>
      <c r="M2085" s="7"/>
    </row>
    <row r="2086" spans="2:13" customFormat="1" x14ac:dyDescent="0.25">
      <c r="B2086" t="s">
        <v>860</v>
      </c>
      <c r="C2086" t="s">
        <v>36</v>
      </c>
      <c r="D2086" t="s">
        <v>891</v>
      </c>
      <c r="E2086" t="s">
        <v>222</v>
      </c>
      <c r="F2086" t="s">
        <v>128</v>
      </c>
      <c r="H2086">
        <v>0</v>
      </c>
      <c r="I2086">
        <v>0</v>
      </c>
      <c r="J2086">
        <v>8818.69</v>
      </c>
      <c r="M2086" s="7"/>
    </row>
    <row r="2087" spans="2:13" customFormat="1" x14ac:dyDescent="0.25">
      <c r="B2087" t="s">
        <v>860</v>
      </c>
      <c r="C2087" t="s">
        <v>37</v>
      </c>
      <c r="D2087" t="s">
        <v>891</v>
      </c>
      <c r="E2087" t="s">
        <v>223</v>
      </c>
      <c r="F2087" t="s">
        <v>129</v>
      </c>
      <c r="H2087">
        <v>0</v>
      </c>
      <c r="I2087">
        <v>0</v>
      </c>
      <c r="J2087">
        <v>39554.839999999997</v>
      </c>
      <c r="M2087" s="7"/>
    </row>
    <row r="2088" spans="2:13" customFormat="1" x14ac:dyDescent="0.25">
      <c r="B2088" t="s">
        <v>860</v>
      </c>
      <c r="C2088" t="s">
        <v>413</v>
      </c>
      <c r="D2088" t="s">
        <v>891</v>
      </c>
      <c r="E2088" t="s">
        <v>414</v>
      </c>
      <c r="F2088" t="s">
        <v>415</v>
      </c>
      <c r="H2088">
        <v>0</v>
      </c>
      <c r="I2088">
        <v>0</v>
      </c>
      <c r="J2088">
        <v>479.48</v>
      </c>
      <c r="M2088" s="7"/>
    </row>
    <row r="2089" spans="2:13" customFormat="1" x14ac:dyDescent="0.25">
      <c r="B2089" t="s">
        <v>860</v>
      </c>
      <c r="C2089" t="s">
        <v>304</v>
      </c>
      <c r="D2089" t="s">
        <v>891</v>
      </c>
      <c r="E2089" t="s">
        <v>305</v>
      </c>
      <c r="F2089" t="s">
        <v>306</v>
      </c>
      <c r="H2089">
        <v>0</v>
      </c>
      <c r="I2089">
        <v>0</v>
      </c>
      <c r="J2089">
        <v>32925.699999999997</v>
      </c>
      <c r="M2089" s="7"/>
    </row>
    <row r="2090" spans="2:13" customFormat="1" x14ac:dyDescent="0.25">
      <c r="B2090" t="s">
        <v>860</v>
      </c>
      <c r="C2090" t="s">
        <v>38</v>
      </c>
      <c r="D2090" t="s">
        <v>891</v>
      </c>
      <c r="E2090" t="s">
        <v>224</v>
      </c>
      <c r="F2090" t="s">
        <v>130</v>
      </c>
      <c r="H2090">
        <v>0</v>
      </c>
      <c r="I2090">
        <v>0</v>
      </c>
      <c r="J2090">
        <v>6806.33</v>
      </c>
      <c r="M2090" s="7"/>
    </row>
    <row r="2091" spans="2:13" customFormat="1" x14ac:dyDescent="0.25">
      <c r="B2091" t="s">
        <v>860</v>
      </c>
      <c r="C2091" t="s">
        <v>39</v>
      </c>
      <c r="D2091" t="s">
        <v>891</v>
      </c>
      <c r="E2091" t="s">
        <v>225</v>
      </c>
      <c r="F2091" t="s">
        <v>131</v>
      </c>
      <c r="H2091">
        <v>0</v>
      </c>
      <c r="I2091">
        <v>0</v>
      </c>
      <c r="J2091">
        <v>175769.57</v>
      </c>
      <c r="M2091" s="7"/>
    </row>
    <row r="2092" spans="2:13" customFormat="1" x14ac:dyDescent="0.25">
      <c r="B2092" t="s">
        <v>860</v>
      </c>
      <c r="C2092" t="s">
        <v>861</v>
      </c>
      <c r="D2092" t="s">
        <v>891</v>
      </c>
      <c r="E2092" t="s">
        <v>862</v>
      </c>
      <c r="F2092" t="s">
        <v>863</v>
      </c>
      <c r="H2092">
        <v>0</v>
      </c>
      <c r="I2092">
        <v>0</v>
      </c>
      <c r="J2092">
        <v>49786.09</v>
      </c>
      <c r="M2092" s="7"/>
    </row>
    <row r="2093" spans="2:13" customFormat="1" x14ac:dyDescent="0.25">
      <c r="B2093" t="s">
        <v>860</v>
      </c>
      <c r="C2093" t="s">
        <v>864</v>
      </c>
      <c r="D2093" t="s">
        <v>891</v>
      </c>
      <c r="E2093" t="s">
        <v>865</v>
      </c>
      <c r="F2093" t="s">
        <v>866</v>
      </c>
      <c r="H2093">
        <v>0</v>
      </c>
      <c r="I2093">
        <v>0</v>
      </c>
      <c r="J2093">
        <v>79497.149999999994</v>
      </c>
      <c r="M2093" s="7"/>
    </row>
    <row r="2094" spans="2:13" customFormat="1" x14ac:dyDescent="0.25">
      <c r="B2094" t="s">
        <v>860</v>
      </c>
      <c r="C2094" t="s">
        <v>452</v>
      </c>
      <c r="D2094" t="s">
        <v>891</v>
      </c>
      <c r="E2094" t="s">
        <v>453</v>
      </c>
      <c r="F2094" t="s">
        <v>454</v>
      </c>
      <c r="H2094">
        <v>0</v>
      </c>
      <c r="I2094">
        <v>0</v>
      </c>
      <c r="J2094">
        <v>73142.58</v>
      </c>
      <c r="M2094" s="7"/>
    </row>
    <row r="2095" spans="2:13" customFormat="1" x14ac:dyDescent="0.25">
      <c r="B2095" t="s">
        <v>860</v>
      </c>
      <c r="C2095" t="s">
        <v>362</v>
      </c>
      <c r="D2095" t="s">
        <v>891</v>
      </c>
      <c r="E2095" t="s">
        <v>363</v>
      </c>
      <c r="F2095" t="s">
        <v>364</v>
      </c>
      <c r="H2095">
        <v>0</v>
      </c>
      <c r="I2095">
        <v>0</v>
      </c>
      <c r="J2095">
        <v>900000</v>
      </c>
      <c r="M2095" s="7"/>
    </row>
    <row r="2096" spans="2:13" customFormat="1" x14ac:dyDescent="0.25">
      <c r="B2096" t="s">
        <v>860</v>
      </c>
      <c r="C2096" t="s">
        <v>455</v>
      </c>
      <c r="D2096" t="s">
        <v>891</v>
      </c>
      <c r="E2096" t="s">
        <v>456</v>
      </c>
      <c r="F2096" t="s">
        <v>457</v>
      </c>
      <c r="H2096">
        <v>0</v>
      </c>
      <c r="I2096">
        <v>0</v>
      </c>
      <c r="J2096">
        <v>19865.14</v>
      </c>
      <c r="M2096" s="7"/>
    </row>
    <row r="2097" spans="2:13" customFormat="1" x14ac:dyDescent="0.25">
      <c r="B2097" t="s">
        <v>860</v>
      </c>
      <c r="C2097" t="s">
        <v>416</v>
      </c>
      <c r="D2097" t="s">
        <v>891</v>
      </c>
      <c r="E2097" t="s">
        <v>417</v>
      </c>
      <c r="F2097" t="s">
        <v>418</v>
      </c>
      <c r="H2097">
        <v>0</v>
      </c>
      <c r="I2097">
        <v>0</v>
      </c>
      <c r="J2097">
        <v>23513.16</v>
      </c>
      <c r="M2097" s="7"/>
    </row>
    <row r="2098" spans="2:13" customFormat="1" x14ac:dyDescent="0.25">
      <c r="B2098" t="s">
        <v>860</v>
      </c>
      <c r="C2098" t="s">
        <v>458</v>
      </c>
      <c r="D2098" t="s">
        <v>891</v>
      </c>
      <c r="E2098" t="s">
        <v>459</v>
      </c>
      <c r="F2098" t="s">
        <v>460</v>
      </c>
      <c r="H2098">
        <v>0</v>
      </c>
      <c r="I2098">
        <v>0</v>
      </c>
      <c r="J2098">
        <v>2158.27</v>
      </c>
      <c r="M2098" s="7"/>
    </row>
    <row r="2099" spans="2:13" customFormat="1" x14ac:dyDescent="0.25">
      <c r="B2099" t="s">
        <v>860</v>
      </c>
      <c r="C2099" t="s">
        <v>461</v>
      </c>
      <c r="D2099" t="s">
        <v>891</v>
      </c>
      <c r="E2099" t="s">
        <v>462</v>
      </c>
      <c r="F2099" t="s">
        <v>463</v>
      </c>
      <c r="H2099">
        <v>0</v>
      </c>
      <c r="I2099">
        <v>0</v>
      </c>
      <c r="J2099">
        <v>2212.04</v>
      </c>
      <c r="M2099" s="7"/>
    </row>
    <row r="2100" spans="2:13" customFormat="1" x14ac:dyDescent="0.25">
      <c r="B2100" t="s">
        <v>860</v>
      </c>
      <c r="C2100" t="s">
        <v>464</v>
      </c>
      <c r="D2100" t="s">
        <v>891</v>
      </c>
      <c r="E2100" t="s">
        <v>465</v>
      </c>
      <c r="F2100" t="s">
        <v>466</v>
      </c>
      <c r="H2100">
        <v>0</v>
      </c>
      <c r="I2100">
        <v>25254.48</v>
      </c>
      <c r="J2100">
        <v>25254.48</v>
      </c>
      <c r="M2100" s="7"/>
    </row>
    <row r="2101" spans="2:13" customFormat="1" x14ac:dyDescent="0.25">
      <c r="B2101" t="s">
        <v>860</v>
      </c>
      <c r="C2101" t="s">
        <v>467</v>
      </c>
      <c r="D2101" t="s">
        <v>891</v>
      </c>
      <c r="E2101" t="s">
        <v>468</v>
      </c>
      <c r="F2101" t="s">
        <v>469</v>
      </c>
      <c r="H2101">
        <v>25254.48</v>
      </c>
      <c r="I2101">
        <v>0</v>
      </c>
      <c r="J2101">
        <v>0</v>
      </c>
      <c r="M2101" s="7"/>
    </row>
    <row r="2102" spans="2:13" customFormat="1" x14ac:dyDescent="0.25">
      <c r="B2102" t="s">
        <v>860</v>
      </c>
      <c r="C2102" t="s">
        <v>470</v>
      </c>
      <c r="D2102" t="s">
        <v>891</v>
      </c>
      <c r="E2102" t="s">
        <v>471</v>
      </c>
      <c r="F2102" t="s">
        <v>472</v>
      </c>
      <c r="H2102">
        <v>165.54</v>
      </c>
      <c r="I2102">
        <v>0</v>
      </c>
      <c r="J2102">
        <v>-1416.07</v>
      </c>
      <c r="M2102" s="7"/>
    </row>
    <row r="2103" spans="2:13" customFormat="1" x14ac:dyDescent="0.25">
      <c r="B2103" t="s">
        <v>860</v>
      </c>
      <c r="C2103" t="s">
        <v>419</v>
      </c>
      <c r="D2103" t="s">
        <v>891</v>
      </c>
      <c r="E2103" t="s">
        <v>420</v>
      </c>
      <c r="F2103" t="s">
        <v>421</v>
      </c>
      <c r="H2103">
        <v>195.94</v>
      </c>
      <c r="I2103">
        <v>0</v>
      </c>
      <c r="J2103">
        <v>-10481.64</v>
      </c>
      <c r="M2103" s="7"/>
    </row>
    <row r="2104" spans="2:13" customFormat="1" x14ac:dyDescent="0.25">
      <c r="B2104" t="s">
        <v>860</v>
      </c>
      <c r="C2104" t="s">
        <v>473</v>
      </c>
      <c r="D2104" t="s">
        <v>891</v>
      </c>
      <c r="E2104" t="s">
        <v>474</v>
      </c>
      <c r="F2104" t="s">
        <v>475</v>
      </c>
      <c r="H2104">
        <v>35.97</v>
      </c>
      <c r="I2104">
        <v>0</v>
      </c>
      <c r="J2104">
        <v>-1279.21</v>
      </c>
      <c r="M2104" s="7"/>
    </row>
    <row r="2105" spans="2:13" customFormat="1" x14ac:dyDescent="0.25">
      <c r="B2105" t="s">
        <v>860</v>
      </c>
      <c r="C2105" t="s">
        <v>476</v>
      </c>
      <c r="D2105" t="s">
        <v>891</v>
      </c>
      <c r="E2105" t="s">
        <v>477</v>
      </c>
      <c r="F2105" t="s">
        <v>478</v>
      </c>
      <c r="H2105">
        <v>18.43</v>
      </c>
      <c r="I2105">
        <v>0</v>
      </c>
      <c r="J2105">
        <v>-55.29</v>
      </c>
      <c r="M2105" s="7"/>
    </row>
    <row r="2106" spans="2:13" customFormat="1" x14ac:dyDescent="0.25">
      <c r="B2106" t="s">
        <v>860</v>
      </c>
      <c r="C2106" t="s">
        <v>479</v>
      </c>
      <c r="D2106" t="s">
        <v>891</v>
      </c>
      <c r="E2106" t="s">
        <v>480</v>
      </c>
      <c r="F2106" t="s">
        <v>481</v>
      </c>
      <c r="H2106">
        <v>210.45</v>
      </c>
      <c r="I2106">
        <v>0</v>
      </c>
      <c r="J2106">
        <v>-210.45</v>
      </c>
      <c r="M2106" s="7"/>
    </row>
    <row r="2107" spans="2:13" customFormat="1" x14ac:dyDescent="0.25">
      <c r="B2107" t="s">
        <v>860</v>
      </c>
      <c r="C2107" t="s">
        <v>40</v>
      </c>
      <c r="D2107" t="s">
        <v>891</v>
      </c>
      <c r="E2107" t="s">
        <v>227</v>
      </c>
      <c r="F2107" t="s">
        <v>133</v>
      </c>
      <c r="H2107">
        <v>1651.41</v>
      </c>
      <c r="I2107">
        <v>3029.39</v>
      </c>
      <c r="J2107">
        <v>-9254.73</v>
      </c>
      <c r="M2107" s="7"/>
    </row>
    <row r="2108" spans="2:13" customFormat="1" x14ac:dyDescent="0.25">
      <c r="B2108" t="s">
        <v>860</v>
      </c>
      <c r="C2108" t="s">
        <v>761</v>
      </c>
      <c r="D2108" t="s">
        <v>891</v>
      </c>
      <c r="E2108" t="s">
        <v>762</v>
      </c>
      <c r="F2108" t="s">
        <v>763</v>
      </c>
      <c r="H2108">
        <v>0</v>
      </c>
      <c r="I2108">
        <v>0</v>
      </c>
      <c r="J2108">
        <v>-31763.38</v>
      </c>
      <c r="M2108" s="7"/>
    </row>
    <row r="2109" spans="2:13" customFormat="1" x14ac:dyDescent="0.25">
      <c r="B2109" t="s">
        <v>860</v>
      </c>
      <c r="C2109" t="s">
        <v>545</v>
      </c>
      <c r="D2109" t="s">
        <v>891</v>
      </c>
      <c r="E2109" t="s">
        <v>546</v>
      </c>
      <c r="F2109" t="s">
        <v>547</v>
      </c>
      <c r="H2109">
        <v>0</v>
      </c>
      <c r="I2109">
        <v>0</v>
      </c>
      <c r="J2109">
        <v>1220.68</v>
      </c>
      <c r="M2109" s="7"/>
    </row>
    <row r="2110" spans="2:13" customFormat="1" x14ac:dyDescent="0.25">
      <c r="B2110" t="s">
        <v>860</v>
      </c>
      <c r="C2110" t="s">
        <v>491</v>
      </c>
      <c r="D2110" t="s">
        <v>891</v>
      </c>
      <c r="E2110" t="s">
        <v>492</v>
      </c>
      <c r="F2110" t="s">
        <v>493</v>
      </c>
      <c r="H2110">
        <v>0</v>
      </c>
      <c r="I2110">
        <v>0</v>
      </c>
      <c r="J2110">
        <v>-12142.38</v>
      </c>
      <c r="M2110" s="7"/>
    </row>
    <row r="2111" spans="2:13" customFormat="1" x14ac:dyDescent="0.25">
      <c r="B2111" t="s">
        <v>860</v>
      </c>
      <c r="C2111" t="s">
        <v>79</v>
      </c>
      <c r="D2111" t="s">
        <v>891</v>
      </c>
      <c r="E2111" t="s">
        <v>234</v>
      </c>
      <c r="F2111" t="s">
        <v>140</v>
      </c>
      <c r="H2111">
        <v>0</v>
      </c>
      <c r="I2111">
        <v>0</v>
      </c>
      <c r="J2111">
        <v>-2869.15</v>
      </c>
      <c r="M2111" s="7"/>
    </row>
    <row r="2112" spans="2:13" customFormat="1" x14ac:dyDescent="0.25">
      <c r="B2112" t="s">
        <v>860</v>
      </c>
      <c r="C2112" t="s">
        <v>44</v>
      </c>
      <c r="D2112" t="s">
        <v>891</v>
      </c>
      <c r="E2112" t="s">
        <v>235</v>
      </c>
      <c r="F2112" t="s">
        <v>141</v>
      </c>
      <c r="H2112">
        <v>0</v>
      </c>
      <c r="I2112">
        <v>0</v>
      </c>
      <c r="J2112">
        <v>-390.53</v>
      </c>
      <c r="M2112" s="7"/>
    </row>
    <row r="2113" spans="2:13" customFormat="1" x14ac:dyDescent="0.25">
      <c r="B2113" t="s">
        <v>860</v>
      </c>
      <c r="C2113" t="s">
        <v>45</v>
      </c>
      <c r="D2113" t="s">
        <v>891</v>
      </c>
      <c r="E2113" t="s">
        <v>236</v>
      </c>
      <c r="F2113" t="s">
        <v>142</v>
      </c>
      <c r="H2113">
        <v>0</v>
      </c>
      <c r="I2113">
        <v>0</v>
      </c>
      <c r="J2113">
        <v>-8673.99</v>
      </c>
      <c r="M2113" s="7"/>
    </row>
    <row r="2114" spans="2:13" customFormat="1" x14ac:dyDescent="0.25">
      <c r="B2114" t="s">
        <v>860</v>
      </c>
      <c r="C2114" t="s">
        <v>764</v>
      </c>
      <c r="D2114" t="s">
        <v>891</v>
      </c>
      <c r="E2114" t="s">
        <v>765</v>
      </c>
      <c r="F2114" t="s">
        <v>766</v>
      </c>
      <c r="H2114">
        <v>0</v>
      </c>
      <c r="I2114">
        <v>0</v>
      </c>
      <c r="J2114">
        <v>-4116.12</v>
      </c>
      <c r="M2114" s="7"/>
    </row>
    <row r="2115" spans="2:13" customFormat="1" x14ac:dyDescent="0.25">
      <c r="B2115" t="s">
        <v>860</v>
      </c>
      <c r="C2115" t="s">
        <v>494</v>
      </c>
      <c r="D2115" t="s">
        <v>891</v>
      </c>
      <c r="E2115" t="s">
        <v>495</v>
      </c>
      <c r="F2115" t="s">
        <v>496</v>
      </c>
      <c r="H2115">
        <v>0</v>
      </c>
      <c r="I2115">
        <v>0</v>
      </c>
      <c r="J2115">
        <v>-73142.58</v>
      </c>
      <c r="M2115" s="7"/>
    </row>
    <row r="2116" spans="2:13" customFormat="1" x14ac:dyDescent="0.25">
      <c r="B2116" t="s">
        <v>860</v>
      </c>
      <c r="C2116" t="s">
        <v>588</v>
      </c>
      <c r="D2116" t="s">
        <v>891</v>
      </c>
      <c r="E2116" t="s">
        <v>589</v>
      </c>
      <c r="F2116" t="s">
        <v>590</v>
      </c>
      <c r="H2116">
        <v>0</v>
      </c>
      <c r="I2116">
        <v>0</v>
      </c>
      <c r="J2116">
        <v>-254452.04</v>
      </c>
      <c r="M2116" s="7"/>
    </row>
    <row r="2117" spans="2:13" customFormat="1" x14ac:dyDescent="0.25">
      <c r="B2117" t="s">
        <v>860</v>
      </c>
      <c r="C2117" t="s">
        <v>85</v>
      </c>
      <c r="D2117" t="s">
        <v>891</v>
      </c>
      <c r="E2117" t="s">
        <v>240</v>
      </c>
      <c r="F2117" t="s">
        <v>146</v>
      </c>
      <c r="H2117">
        <v>0</v>
      </c>
      <c r="I2117">
        <v>0</v>
      </c>
      <c r="J2117">
        <v>568755.62</v>
      </c>
      <c r="M2117" s="7"/>
    </row>
    <row r="2118" spans="2:13" customFormat="1" x14ac:dyDescent="0.25">
      <c r="B2118" t="s">
        <v>860</v>
      </c>
      <c r="C2118" t="s">
        <v>371</v>
      </c>
      <c r="D2118" t="s">
        <v>891</v>
      </c>
      <c r="E2118" t="s">
        <v>372</v>
      </c>
      <c r="F2118" t="s">
        <v>373</v>
      </c>
      <c r="H2118">
        <v>0</v>
      </c>
      <c r="I2118">
        <v>0</v>
      </c>
      <c r="J2118">
        <v>-2226130.66</v>
      </c>
      <c r="M2118" s="7"/>
    </row>
    <row r="2119" spans="2:13" customFormat="1" x14ac:dyDescent="0.25">
      <c r="B2119" t="s">
        <v>860</v>
      </c>
      <c r="C2119" t="s">
        <v>374</v>
      </c>
      <c r="D2119" t="s">
        <v>891</v>
      </c>
      <c r="E2119" t="s">
        <v>375</v>
      </c>
      <c r="F2119" t="s">
        <v>376</v>
      </c>
      <c r="H2119">
        <v>0</v>
      </c>
      <c r="I2119">
        <v>0</v>
      </c>
      <c r="J2119">
        <v>-272256.37</v>
      </c>
      <c r="M2119" s="7"/>
    </row>
    <row r="2120" spans="2:13" customFormat="1" x14ac:dyDescent="0.25">
      <c r="B2120" t="s">
        <v>860</v>
      </c>
      <c r="C2120" t="s">
        <v>434</v>
      </c>
      <c r="D2120" t="s">
        <v>891</v>
      </c>
      <c r="E2120" t="s">
        <v>435</v>
      </c>
      <c r="F2120" t="s">
        <v>436</v>
      </c>
      <c r="H2120">
        <v>0</v>
      </c>
      <c r="I2120">
        <v>0</v>
      </c>
      <c r="J2120">
        <v>-660357.89</v>
      </c>
      <c r="M2120" s="7"/>
    </row>
    <row r="2121" spans="2:13" customFormat="1" x14ac:dyDescent="0.25">
      <c r="B2121" t="s">
        <v>860</v>
      </c>
      <c r="C2121" t="s">
        <v>48</v>
      </c>
      <c r="D2121" t="s">
        <v>891</v>
      </c>
      <c r="E2121" t="s">
        <v>241</v>
      </c>
      <c r="F2121" t="s">
        <v>147</v>
      </c>
      <c r="H2121">
        <v>0</v>
      </c>
      <c r="I2121">
        <v>0</v>
      </c>
      <c r="J2121">
        <v>-27356.67</v>
      </c>
      <c r="M2121" s="7"/>
    </row>
    <row r="2122" spans="2:13" customFormat="1" x14ac:dyDescent="0.25">
      <c r="B2122" t="s">
        <v>860</v>
      </c>
      <c r="C2122" t="s">
        <v>49</v>
      </c>
      <c r="D2122" t="s">
        <v>891</v>
      </c>
      <c r="E2122" t="s">
        <v>243</v>
      </c>
      <c r="F2122" t="s">
        <v>149</v>
      </c>
      <c r="H2122">
        <v>0</v>
      </c>
      <c r="I2122">
        <v>0</v>
      </c>
      <c r="J2122">
        <v>730.16</v>
      </c>
      <c r="M2122" s="7"/>
    </row>
    <row r="2123" spans="2:13" customFormat="1" x14ac:dyDescent="0.25">
      <c r="B2123" t="s">
        <v>860</v>
      </c>
      <c r="C2123" t="s">
        <v>50</v>
      </c>
      <c r="D2123" t="s">
        <v>891</v>
      </c>
      <c r="E2123" t="s">
        <v>244</v>
      </c>
      <c r="F2123" t="s">
        <v>150</v>
      </c>
      <c r="H2123">
        <v>0</v>
      </c>
      <c r="I2123">
        <v>0</v>
      </c>
      <c r="J2123">
        <v>130.38999999999999</v>
      </c>
      <c r="M2123" s="7"/>
    </row>
    <row r="2124" spans="2:13" customFormat="1" x14ac:dyDescent="0.25">
      <c r="B2124" t="s">
        <v>860</v>
      </c>
      <c r="C2124" t="s">
        <v>51</v>
      </c>
      <c r="D2124" t="s">
        <v>891</v>
      </c>
      <c r="E2124" t="s">
        <v>245</v>
      </c>
      <c r="F2124" t="s">
        <v>151</v>
      </c>
      <c r="H2124">
        <v>0</v>
      </c>
      <c r="I2124">
        <v>0</v>
      </c>
      <c r="J2124">
        <v>599.85</v>
      </c>
      <c r="M2124" s="7"/>
    </row>
    <row r="2125" spans="2:13" customFormat="1" x14ac:dyDescent="0.25">
      <c r="B2125" t="s">
        <v>860</v>
      </c>
      <c r="C2125" t="s">
        <v>87</v>
      </c>
      <c r="D2125" t="s">
        <v>891</v>
      </c>
      <c r="E2125" t="s">
        <v>246</v>
      </c>
      <c r="F2125" t="s">
        <v>152</v>
      </c>
      <c r="H2125">
        <v>0</v>
      </c>
      <c r="I2125">
        <v>0</v>
      </c>
      <c r="J2125">
        <v>-5043.84</v>
      </c>
      <c r="M2125" s="7"/>
    </row>
    <row r="2126" spans="2:13" customFormat="1" x14ac:dyDescent="0.25">
      <c r="B2126" t="s">
        <v>860</v>
      </c>
      <c r="C2126" t="s">
        <v>52</v>
      </c>
      <c r="D2126" t="s">
        <v>891</v>
      </c>
      <c r="E2126" t="s">
        <v>247</v>
      </c>
      <c r="F2126" t="s">
        <v>153</v>
      </c>
      <c r="H2126">
        <v>0</v>
      </c>
      <c r="I2126">
        <v>0</v>
      </c>
      <c r="J2126">
        <v>-0.02</v>
      </c>
      <c r="M2126" s="7"/>
    </row>
    <row r="2127" spans="2:13" customFormat="1" x14ac:dyDescent="0.25">
      <c r="B2127" t="s">
        <v>860</v>
      </c>
      <c r="C2127" t="s">
        <v>377</v>
      </c>
      <c r="D2127" t="s">
        <v>891</v>
      </c>
      <c r="E2127" t="s">
        <v>378</v>
      </c>
      <c r="F2127" t="s">
        <v>379</v>
      </c>
      <c r="H2127">
        <v>0</v>
      </c>
      <c r="I2127">
        <v>0</v>
      </c>
      <c r="J2127">
        <v>1258973.0900000001</v>
      </c>
      <c r="M2127" s="7"/>
    </row>
    <row r="2128" spans="2:13" customFormat="1" x14ac:dyDescent="0.25">
      <c r="B2128" t="s">
        <v>860</v>
      </c>
      <c r="C2128" t="s">
        <v>54</v>
      </c>
      <c r="D2128" t="s">
        <v>891</v>
      </c>
      <c r="E2128" t="s">
        <v>250</v>
      </c>
      <c r="F2128" t="s">
        <v>156</v>
      </c>
      <c r="H2128">
        <v>0</v>
      </c>
      <c r="I2128">
        <v>0</v>
      </c>
      <c r="J2128">
        <v>11865.82</v>
      </c>
      <c r="M2128" s="7"/>
    </row>
    <row r="2129" spans="2:13" customFormat="1" x14ac:dyDescent="0.25">
      <c r="B2129" t="s">
        <v>860</v>
      </c>
      <c r="C2129" t="s">
        <v>55</v>
      </c>
      <c r="D2129" t="s">
        <v>891</v>
      </c>
      <c r="E2129" t="s">
        <v>252</v>
      </c>
      <c r="F2129" t="s">
        <v>158</v>
      </c>
      <c r="H2129">
        <v>0</v>
      </c>
      <c r="I2129">
        <v>0</v>
      </c>
      <c r="J2129">
        <v>184952.54</v>
      </c>
      <c r="M2129" s="7"/>
    </row>
    <row r="2130" spans="2:13" customFormat="1" x14ac:dyDescent="0.25">
      <c r="B2130" t="s">
        <v>860</v>
      </c>
      <c r="C2130" t="s">
        <v>56</v>
      </c>
      <c r="D2130" t="s">
        <v>891</v>
      </c>
      <c r="E2130" t="s">
        <v>253</v>
      </c>
      <c r="F2130" t="s">
        <v>159</v>
      </c>
      <c r="H2130">
        <v>0</v>
      </c>
      <c r="I2130">
        <v>0</v>
      </c>
      <c r="J2130">
        <v>-269866.15000000002</v>
      </c>
      <c r="M2130" s="7"/>
    </row>
    <row r="2131" spans="2:13" customFormat="1" x14ac:dyDescent="0.25">
      <c r="B2131" t="s">
        <v>860</v>
      </c>
      <c r="C2131" t="s">
        <v>57</v>
      </c>
      <c r="D2131" t="s">
        <v>891</v>
      </c>
      <c r="E2131" t="s">
        <v>254</v>
      </c>
      <c r="F2131" t="s">
        <v>160</v>
      </c>
      <c r="H2131">
        <v>0</v>
      </c>
      <c r="I2131">
        <v>0</v>
      </c>
      <c r="J2131">
        <v>-27686.39</v>
      </c>
      <c r="M2131" s="7"/>
    </row>
    <row r="2132" spans="2:13" customFormat="1" x14ac:dyDescent="0.25">
      <c r="B2132" t="s">
        <v>860</v>
      </c>
      <c r="C2132" t="s">
        <v>58</v>
      </c>
      <c r="D2132" t="s">
        <v>891</v>
      </c>
      <c r="E2132" t="s">
        <v>255</v>
      </c>
      <c r="F2132" t="s">
        <v>161</v>
      </c>
      <c r="H2132">
        <v>0</v>
      </c>
      <c r="I2132">
        <v>0</v>
      </c>
      <c r="J2132">
        <v>-2193.7800000000002</v>
      </c>
      <c r="M2132" s="7"/>
    </row>
    <row r="2133" spans="2:13" customFormat="1" x14ac:dyDescent="0.25">
      <c r="B2133" t="s">
        <v>860</v>
      </c>
      <c r="C2133" t="s">
        <v>654</v>
      </c>
      <c r="D2133" t="s">
        <v>891</v>
      </c>
      <c r="E2133" t="s">
        <v>655</v>
      </c>
      <c r="F2133" t="s">
        <v>656</v>
      </c>
      <c r="H2133">
        <v>0</v>
      </c>
      <c r="I2133">
        <v>0</v>
      </c>
      <c r="J2133">
        <v>622</v>
      </c>
      <c r="M2133" s="7"/>
    </row>
    <row r="2134" spans="2:13" customFormat="1" x14ac:dyDescent="0.25">
      <c r="B2134" t="s">
        <v>860</v>
      </c>
      <c r="C2134" t="s">
        <v>344</v>
      </c>
      <c r="D2134" t="s">
        <v>891</v>
      </c>
      <c r="E2134" t="s">
        <v>345</v>
      </c>
      <c r="F2134" t="s">
        <v>346</v>
      </c>
      <c r="H2134">
        <v>0</v>
      </c>
      <c r="I2134">
        <v>0</v>
      </c>
      <c r="J2134">
        <v>484.18</v>
      </c>
      <c r="M2134" s="7"/>
    </row>
    <row r="2135" spans="2:13" customFormat="1" x14ac:dyDescent="0.25">
      <c r="B2135" t="s">
        <v>860</v>
      </c>
      <c r="C2135" t="s">
        <v>62</v>
      </c>
      <c r="D2135" t="s">
        <v>891</v>
      </c>
      <c r="E2135" t="s">
        <v>260</v>
      </c>
      <c r="F2135" t="s">
        <v>166</v>
      </c>
      <c r="H2135">
        <v>0</v>
      </c>
      <c r="I2135">
        <v>0</v>
      </c>
      <c r="J2135">
        <v>1824.75</v>
      </c>
      <c r="M2135" s="7"/>
    </row>
    <row r="2136" spans="2:13" customFormat="1" x14ac:dyDescent="0.25">
      <c r="B2136" t="s">
        <v>860</v>
      </c>
      <c r="C2136" t="s">
        <v>207</v>
      </c>
      <c r="D2136" t="s">
        <v>891</v>
      </c>
      <c r="E2136" t="s">
        <v>299</v>
      </c>
      <c r="F2136" t="s">
        <v>208</v>
      </c>
      <c r="H2136">
        <v>0</v>
      </c>
      <c r="I2136">
        <v>0</v>
      </c>
      <c r="J2136">
        <v>14163.3</v>
      </c>
      <c r="M2136" s="7"/>
    </row>
    <row r="2137" spans="2:13" customFormat="1" x14ac:dyDescent="0.25">
      <c r="B2137" t="s">
        <v>860</v>
      </c>
      <c r="C2137" t="s">
        <v>63</v>
      </c>
      <c r="D2137" t="s">
        <v>891</v>
      </c>
      <c r="E2137" t="s">
        <v>261</v>
      </c>
      <c r="F2137" t="s">
        <v>167</v>
      </c>
      <c r="H2137">
        <v>0</v>
      </c>
      <c r="I2137">
        <v>305.64</v>
      </c>
      <c r="J2137">
        <v>12753.31</v>
      </c>
      <c r="M2137" s="7"/>
    </row>
    <row r="2138" spans="2:13" customFormat="1" x14ac:dyDescent="0.25">
      <c r="B2138" t="s">
        <v>860</v>
      </c>
      <c r="C2138" t="s">
        <v>380</v>
      </c>
      <c r="D2138" t="s">
        <v>891</v>
      </c>
      <c r="E2138" t="s">
        <v>381</v>
      </c>
      <c r="F2138" t="s">
        <v>382</v>
      </c>
      <c r="H2138">
        <v>0</v>
      </c>
      <c r="I2138">
        <v>0</v>
      </c>
      <c r="J2138">
        <v>1396.81</v>
      </c>
      <c r="M2138" s="7"/>
    </row>
    <row r="2139" spans="2:13" customFormat="1" x14ac:dyDescent="0.25">
      <c r="B2139" t="s">
        <v>860</v>
      </c>
      <c r="C2139" t="s">
        <v>383</v>
      </c>
      <c r="D2139" t="s">
        <v>891</v>
      </c>
      <c r="E2139" t="s">
        <v>384</v>
      </c>
      <c r="F2139" t="s">
        <v>385</v>
      </c>
      <c r="H2139">
        <v>0</v>
      </c>
      <c r="I2139">
        <v>0</v>
      </c>
      <c r="J2139">
        <v>-666.84</v>
      </c>
      <c r="M2139" s="7"/>
    </row>
    <row r="2140" spans="2:13" customFormat="1" x14ac:dyDescent="0.25">
      <c r="B2140" t="s">
        <v>860</v>
      </c>
      <c r="C2140" t="s">
        <v>386</v>
      </c>
      <c r="D2140" t="s">
        <v>891</v>
      </c>
      <c r="E2140" t="s">
        <v>387</v>
      </c>
      <c r="F2140" t="s">
        <v>388</v>
      </c>
      <c r="H2140">
        <v>0</v>
      </c>
      <c r="I2140">
        <v>92</v>
      </c>
      <c r="J2140">
        <v>12854.39</v>
      </c>
      <c r="M2140" s="7"/>
    </row>
    <row r="2141" spans="2:13" customFormat="1" x14ac:dyDescent="0.25">
      <c r="B2141" t="s">
        <v>860</v>
      </c>
      <c r="C2141" t="s">
        <v>350</v>
      </c>
      <c r="D2141" t="s">
        <v>891</v>
      </c>
      <c r="E2141" t="s">
        <v>351</v>
      </c>
      <c r="F2141" t="s">
        <v>352</v>
      </c>
      <c r="H2141">
        <v>0</v>
      </c>
      <c r="I2141">
        <v>0</v>
      </c>
      <c r="J2141">
        <v>-30864.86</v>
      </c>
      <c r="M2141" s="7"/>
    </row>
    <row r="2142" spans="2:13" customFormat="1" x14ac:dyDescent="0.25">
      <c r="B2142" t="s">
        <v>860</v>
      </c>
      <c r="C2142" t="s">
        <v>64</v>
      </c>
      <c r="D2142" t="s">
        <v>891</v>
      </c>
      <c r="E2142" t="s">
        <v>265</v>
      </c>
      <c r="F2142" t="s">
        <v>171</v>
      </c>
      <c r="H2142">
        <v>0</v>
      </c>
      <c r="I2142">
        <v>0</v>
      </c>
      <c r="J2142">
        <v>-8426.1200000000008</v>
      </c>
      <c r="M2142" s="7"/>
    </row>
    <row r="2143" spans="2:13" customFormat="1" x14ac:dyDescent="0.25">
      <c r="B2143" t="s">
        <v>860</v>
      </c>
      <c r="C2143" t="s">
        <v>94</v>
      </c>
      <c r="D2143" t="s">
        <v>891</v>
      </c>
      <c r="E2143" t="s">
        <v>266</v>
      </c>
      <c r="F2143" t="s">
        <v>172</v>
      </c>
      <c r="H2143">
        <v>0</v>
      </c>
      <c r="I2143">
        <v>0</v>
      </c>
      <c r="J2143">
        <v>-2464.84</v>
      </c>
      <c r="M2143" s="7"/>
    </row>
    <row r="2144" spans="2:13" customFormat="1" x14ac:dyDescent="0.25">
      <c r="B2144" t="s">
        <v>860</v>
      </c>
      <c r="C2144" t="s">
        <v>353</v>
      </c>
      <c r="D2144" t="s">
        <v>891</v>
      </c>
      <c r="E2144" t="s">
        <v>354</v>
      </c>
      <c r="F2144" t="s">
        <v>355</v>
      </c>
      <c r="H2144">
        <v>0</v>
      </c>
      <c r="I2144">
        <v>0</v>
      </c>
      <c r="J2144">
        <v>72.75</v>
      </c>
      <c r="M2144" s="7"/>
    </row>
    <row r="2145" spans="2:13" customFormat="1" x14ac:dyDescent="0.25">
      <c r="B2145" t="s">
        <v>860</v>
      </c>
      <c r="C2145" t="s">
        <v>95</v>
      </c>
      <c r="D2145" t="s">
        <v>891</v>
      </c>
      <c r="E2145" t="s">
        <v>267</v>
      </c>
      <c r="F2145" t="s">
        <v>173</v>
      </c>
      <c r="H2145">
        <v>0</v>
      </c>
      <c r="I2145">
        <v>0</v>
      </c>
      <c r="J2145">
        <v>248.18</v>
      </c>
      <c r="M2145" s="7"/>
    </row>
    <row r="2146" spans="2:13" customFormat="1" x14ac:dyDescent="0.25">
      <c r="B2146" t="s">
        <v>860</v>
      </c>
      <c r="C2146" t="s">
        <v>65</v>
      </c>
      <c r="D2146" t="s">
        <v>891</v>
      </c>
      <c r="E2146" t="s">
        <v>269</v>
      </c>
      <c r="F2146" t="s">
        <v>175</v>
      </c>
      <c r="H2146">
        <v>0</v>
      </c>
      <c r="I2146">
        <v>0</v>
      </c>
      <c r="J2146">
        <v>22259.58</v>
      </c>
      <c r="M2146" s="7"/>
    </row>
    <row r="2147" spans="2:13" customFormat="1" x14ac:dyDescent="0.25">
      <c r="B2147" t="s">
        <v>860</v>
      </c>
      <c r="C2147" t="s">
        <v>97</v>
      </c>
      <c r="D2147" t="s">
        <v>891</v>
      </c>
      <c r="E2147" t="s">
        <v>270</v>
      </c>
      <c r="F2147" t="s">
        <v>176</v>
      </c>
      <c r="H2147">
        <v>0</v>
      </c>
      <c r="I2147">
        <v>218.63</v>
      </c>
      <c r="J2147">
        <v>655.96</v>
      </c>
      <c r="M2147" s="7"/>
    </row>
    <row r="2148" spans="2:13" customFormat="1" x14ac:dyDescent="0.25">
      <c r="B2148" t="s">
        <v>860</v>
      </c>
      <c r="C2148" t="s">
        <v>66</v>
      </c>
      <c r="D2148" t="s">
        <v>891</v>
      </c>
      <c r="E2148" t="s">
        <v>272</v>
      </c>
      <c r="F2148" t="s">
        <v>178</v>
      </c>
      <c r="H2148">
        <v>0</v>
      </c>
      <c r="I2148">
        <v>0</v>
      </c>
      <c r="J2148">
        <v>412.66</v>
      </c>
      <c r="M2148" s="7"/>
    </row>
    <row r="2149" spans="2:13" customFormat="1" x14ac:dyDescent="0.25">
      <c r="B2149" t="s">
        <v>860</v>
      </c>
      <c r="C2149" t="s">
        <v>99</v>
      </c>
      <c r="D2149" t="s">
        <v>891</v>
      </c>
      <c r="E2149" t="s">
        <v>273</v>
      </c>
      <c r="F2149" t="s">
        <v>179</v>
      </c>
      <c r="H2149">
        <v>1518</v>
      </c>
      <c r="I2149">
        <v>0</v>
      </c>
      <c r="J2149">
        <v>0</v>
      </c>
      <c r="M2149" s="7"/>
    </row>
    <row r="2150" spans="2:13" customFormat="1" x14ac:dyDescent="0.25">
      <c r="B2150" t="s">
        <v>860</v>
      </c>
      <c r="C2150" t="s">
        <v>551</v>
      </c>
      <c r="D2150" t="s">
        <v>891</v>
      </c>
      <c r="E2150" t="s">
        <v>552</v>
      </c>
      <c r="F2150" t="s">
        <v>553</v>
      </c>
      <c r="H2150">
        <v>0</v>
      </c>
      <c r="I2150">
        <v>0</v>
      </c>
      <c r="J2150">
        <v>2000</v>
      </c>
      <c r="M2150" s="7"/>
    </row>
    <row r="2151" spans="2:13" customFormat="1" x14ac:dyDescent="0.25">
      <c r="B2151" t="s">
        <v>860</v>
      </c>
      <c r="C2151" t="s">
        <v>554</v>
      </c>
      <c r="D2151" t="s">
        <v>891</v>
      </c>
      <c r="E2151" t="s">
        <v>555</v>
      </c>
      <c r="F2151" t="s">
        <v>556</v>
      </c>
      <c r="H2151">
        <v>0</v>
      </c>
      <c r="I2151">
        <v>0</v>
      </c>
      <c r="J2151">
        <v>6767.6</v>
      </c>
      <c r="M2151" s="7"/>
    </row>
    <row r="2152" spans="2:13" customFormat="1" x14ac:dyDescent="0.25">
      <c r="B2152" t="s">
        <v>860</v>
      </c>
      <c r="C2152" t="s">
        <v>392</v>
      </c>
      <c r="D2152" t="s">
        <v>891</v>
      </c>
      <c r="E2152" t="s">
        <v>393</v>
      </c>
      <c r="F2152" t="s">
        <v>394</v>
      </c>
      <c r="H2152">
        <v>0</v>
      </c>
      <c r="I2152">
        <v>0</v>
      </c>
      <c r="J2152">
        <v>7449.24</v>
      </c>
      <c r="M2152" s="7"/>
    </row>
    <row r="2153" spans="2:13" customFormat="1" x14ac:dyDescent="0.25">
      <c r="B2153" t="s">
        <v>860</v>
      </c>
      <c r="C2153" t="s">
        <v>591</v>
      </c>
      <c r="D2153" t="s">
        <v>891</v>
      </c>
      <c r="E2153" t="s">
        <v>592</v>
      </c>
      <c r="F2153" t="s">
        <v>593</v>
      </c>
      <c r="H2153">
        <v>0</v>
      </c>
      <c r="I2153">
        <v>0</v>
      </c>
      <c r="J2153">
        <v>702.64</v>
      </c>
      <c r="M2153" s="7"/>
    </row>
    <row r="2154" spans="2:13" customFormat="1" x14ac:dyDescent="0.25">
      <c r="B2154" t="s">
        <v>860</v>
      </c>
      <c r="C2154" t="s">
        <v>67</v>
      </c>
      <c r="D2154" t="s">
        <v>891</v>
      </c>
      <c r="E2154" t="s">
        <v>276</v>
      </c>
      <c r="F2154" t="s">
        <v>182</v>
      </c>
      <c r="H2154">
        <v>0</v>
      </c>
      <c r="I2154">
        <v>0</v>
      </c>
      <c r="J2154">
        <v>7400.75</v>
      </c>
      <c r="M2154" s="7"/>
    </row>
    <row r="2155" spans="2:13" customFormat="1" x14ac:dyDescent="0.25">
      <c r="B2155" t="s">
        <v>860</v>
      </c>
      <c r="C2155" t="s">
        <v>102</v>
      </c>
      <c r="D2155" t="s">
        <v>891</v>
      </c>
      <c r="E2155" t="s">
        <v>277</v>
      </c>
      <c r="F2155" t="s">
        <v>183</v>
      </c>
      <c r="H2155">
        <v>0</v>
      </c>
      <c r="I2155">
        <v>0</v>
      </c>
      <c r="J2155">
        <v>8758.07</v>
      </c>
      <c r="M2155" s="7"/>
    </row>
    <row r="2156" spans="2:13" customFormat="1" x14ac:dyDescent="0.25">
      <c r="B2156" t="s">
        <v>860</v>
      </c>
      <c r="C2156" t="s">
        <v>594</v>
      </c>
      <c r="D2156" t="s">
        <v>891</v>
      </c>
      <c r="E2156" t="s">
        <v>595</v>
      </c>
      <c r="F2156" t="s">
        <v>596</v>
      </c>
      <c r="H2156">
        <v>0</v>
      </c>
      <c r="I2156">
        <v>0</v>
      </c>
      <c r="J2156">
        <v>7424.06</v>
      </c>
      <c r="M2156" s="7"/>
    </row>
    <row r="2157" spans="2:13" customFormat="1" x14ac:dyDescent="0.25">
      <c r="B2157" t="s">
        <v>860</v>
      </c>
      <c r="C2157" t="s">
        <v>395</v>
      </c>
      <c r="D2157" t="s">
        <v>891</v>
      </c>
      <c r="E2157" t="s">
        <v>396</v>
      </c>
      <c r="F2157" t="s">
        <v>397</v>
      </c>
      <c r="H2157">
        <v>0</v>
      </c>
      <c r="I2157">
        <v>0</v>
      </c>
      <c r="J2157">
        <v>21297.93</v>
      </c>
      <c r="M2157" s="7"/>
    </row>
    <row r="2158" spans="2:13" customFormat="1" x14ac:dyDescent="0.25">
      <c r="B2158" t="s">
        <v>860</v>
      </c>
      <c r="C2158" t="s">
        <v>104</v>
      </c>
      <c r="D2158" t="s">
        <v>891</v>
      </c>
      <c r="E2158" t="s">
        <v>280</v>
      </c>
      <c r="F2158" t="s">
        <v>186</v>
      </c>
      <c r="H2158">
        <v>0</v>
      </c>
      <c r="I2158">
        <v>0</v>
      </c>
      <c r="J2158">
        <v>1015</v>
      </c>
      <c r="M2158" s="7"/>
    </row>
    <row r="2159" spans="2:13" customFormat="1" x14ac:dyDescent="0.25">
      <c r="B2159" t="s">
        <v>860</v>
      </c>
      <c r="C2159" t="s">
        <v>105</v>
      </c>
      <c r="D2159" t="s">
        <v>891</v>
      </c>
      <c r="E2159" t="s">
        <v>281</v>
      </c>
      <c r="F2159" t="s">
        <v>187</v>
      </c>
      <c r="H2159">
        <v>0</v>
      </c>
      <c r="I2159">
        <v>0</v>
      </c>
      <c r="J2159">
        <v>1394.81</v>
      </c>
      <c r="M2159" s="7"/>
    </row>
    <row r="2160" spans="2:13" customFormat="1" x14ac:dyDescent="0.25">
      <c r="B2160" t="s">
        <v>860</v>
      </c>
      <c r="C2160" t="s">
        <v>106</v>
      </c>
      <c r="D2160" t="s">
        <v>891</v>
      </c>
      <c r="E2160" t="s">
        <v>282</v>
      </c>
      <c r="F2160" t="s">
        <v>188</v>
      </c>
      <c r="H2160">
        <v>0</v>
      </c>
      <c r="I2160">
        <v>0</v>
      </c>
      <c r="J2160">
        <v>394.45</v>
      </c>
      <c r="M2160" s="7"/>
    </row>
    <row r="2161" spans="2:13" customFormat="1" x14ac:dyDescent="0.25">
      <c r="B2161" t="s">
        <v>860</v>
      </c>
      <c r="C2161" t="s">
        <v>107</v>
      </c>
      <c r="D2161" t="s">
        <v>891</v>
      </c>
      <c r="E2161" t="s">
        <v>283</v>
      </c>
      <c r="F2161" t="s">
        <v>189</v>
      </c>
      <c r="H2161">
        <v>0</v>
      </c>
      <c r="I2161">
        <v>0</v>
      </c>
      <c r="J2161">
        <v>54889.41</v>
      </c>
      <c r="M2161" s="7"/>
    </row>
    <row r="2162" spans="2:13" customFormat="1" x14ac:dyDescent="0.25">
      <c r="B2162" t="s">
        <v>860</v>
      </c>
      <c r="C2162" t="s">
        <v>359</v>
      </c>
      <c r="D2162" t="s">
        <v>891</v>
      </c>
      <c r="E2162" t="s">
        <v>360</v>
      </c>
      <c r="F2162" t="s">
        <v>361</v>
      </c>
      <c r="H2162">
        <v>0</v>
      </c>
      <c r="I2162">
        <v>0</v>
      </c>
      <c r="J2162">
        <v>14069.85</v>
      </c>
      <c r="M2162" s="7"/>
    </row>
    <row r="2163" spans="2:13" customFormat="1" x14ac:dyDescent="0.25">
      <c r="B2163" t="s">
        <v>860</v>
      </c>
      <c r="C2163" t="s">
        <v>70</v>
      </c>
      <c r="D2163" t="s">
        <v>891</v>
      </c>
      <c r="E2163" t="s">
        <v>286</v>
      </c>
      <c r="F2163" t="s">
        <v>192</v>
      </c>
      <c r="H2163">
        <v>0</v>
      </c>
      <c r="I2163">
        <v>0</v>
      </c>
      <c r="J2163">
        <v>100</v>
      </c>
      <c r="M2163" s="7"/>
    </row>
    <row r="2164" spans="2:13" customFormat="1" x14ac:dyDescent="0.25">
      <c r="B2164" t="s">
        <v>860</v>
      </c>
      <c r="C2164" t="s">
        <v>109</v>
      </c>
      <c r="D2164" t="s">
        <v>891</v>
      </c>
      <c r="E2164" t="s">
        <v>287</v>
      </c>
      <c r="F2164" t="s">
        <v>193</v>
      </c>
      <c r="H2164">
        <v>0</v>
      </c>
      <c r="I2164">
        <v>2553.14</v>
      </c>
      <c r="J2164">
        <v>8883.7000000000007</v>
      </c>
      <c r="M2164" s="7"/>
    </row>
    <row r="2165" spans="2:13" customFormat="1" x14ac:dyDescent="0.25">
      <c r="B2165" t="s">
        <v>860</v>
      </c>
      <c r="C2165" t="s">
        <v>440</v>
      </c>
      <c r="D2165" t="s">
        <v>891</v>
      </c>
      <c r="E2165" t="s">
        <v>441</v>
      </c>
      <c r="F2165" t="s">
        <v>442</v>
      </c>
      <c r="H2165">
        <v>0</v>
      </c>
      <c r="I2165">
        <v>0</v>
      </c>
      <c r="J2165">
        <v>97041.33</v>
      </c>
      <c r="M2165" s="7"/>
    </row>
    <row r="2166" spans="2:13" customFormat="1" x14ac:dyDescent="0.25">
      <c r="B2166" t="s">
        <v>860</v>
      </c>
      <c r="C2166" t="s">
        <v>111</v>
      </c>
      <c r="D2166" t="s">
        <v>891</v>
      </c>
      <c r="E2166" t="s">
        <v>289</v>
      </c>
      <c r="F2166" t="s">
        <v>195</v>
      </c>
      <c r="H2166">
        <v>0</v>
      </c>
      <c r="I2166">
        <v>0</v>
      </c>
      <c r="J2166">
        <v>-824</v>
      </c>
      <c r="M2166" s="7"/>
    </row>
    <row r="2167" spans="2:13" customFormat="1" x14ac:dyDescent="0.25">
      <c r="B2167" t="s">
        <v>860</v>
      </c>
      <c r="C2167" t="s">
        <v>203</v>
      </c>
      <c r="D2167" t="s">
        <v>891</v>
      </c>
      <c r="E2167" t="s">
        <v>297</v>
      </c>
      <c r="F2167" t="s">
        <v>204</v>
      </c>
      <c r="H2167">
        <v>0</v>
      </c>
      <c r="I2167">
        <v>0</v>
      </c>
      <c r="J2167">
        <v>243.02</v>
      </c>
      <c r="M2167" s="7"/>
    </row>
    <row r="2168" spans="2:13" customFormat="1" x14ac:dyDescent="0.25">
      <c r="B2168" t="s">
        <v>860</v>
      </c>
      <c r="C2168" t="s">
        <v>398</v>
      </c>
      <c r="D2168" t="s">
        <v>891</v>
      </c>
      <c r="E2168" t="s">
        <v>399</v>
      </c>
      <c r="F2168" t="s">
        <v>400</v>
      </c>
      <c r="H2168">
        <v>0</v>
      </c>
      <c r="I2168">
        <v>626.33000000000004</v>
      </c>
      <c r="J2168">
        <v>3468.32</v>
      </c>
      <c r="M2168" s="7"/>
    </row>
    <row r="2169" spans="2:13" customFormat="1" x14ac:dyDescent="0.25">
      <c r="B2169" t="s">
        <v>860</v>
      </c>
      <c r="C2169" t="s">
        <v>401</v>
      </c>
      <c r="D2169" t="s">
        <v>891</v>
      </c>
      <c r="E2169" t="s">
        <v>402</v>
      </c>
      <c r="F2169" t="s">
        <v>403</v>
      </c>
      <c r="H2169">
        <v>0</v>
      </c>
      <c r="I2169">
        <v>0</v>
      </c>
      <c r="J2169">
        <v>6053.43</v>
      </c>
      <c r="M2169" s="7"/>
    </row>
    <row r="2170" spans="2:13" customFormat="1" x14ac:dyDescent="0.25">
      <c r="B2170" t="s">
        <v>860</v>
      </c>
      <c r="C2170" t="s">
        <v>404</v>
      </c>
      <c r="D2170" t="s">
        <v>891</v>
      </c>
      <c r="E2170" t="s">
        <v>405</v>
      </c>
      <c r="F2170" t="s">
        <v>406</v>
      </c>
      <c r="H2170">
        <v>0</v>
      </c>
      <c r="I2170">
        <v>0</v>
      </c>
      <c r="J2170">
        <v>-2539.23</v>
      </c>
      <c r="M2170" s="7"/>
    </row>
    <row r="2171" spans="2:13" customFormat="1" x14ac:dyDescent="0.25">
      <c r="B2171" t="s">
        <v>860</v>
      </c>
      <c r="C2171" t="s">
        <v>830</v>
      </c>
      <c r="D2171" t="s">
        <v>891</v>
      </c>
      <c r="E2171" t="s">
        <v>831</v>
      </c>
      <c r="F2171" t="s">
        <v>832</v>
      </c>
      <c r="H2171">
        <v>0</v>
      </c>
      <c r="I2171">
        <v>0</v>
      </c>
      <c r="J2171">
        <v>-1397953.88</v>
      </c>
      <c r="M2171" s="7"/>
    </row>
    <row r="2172" spans="2:13" customFormat="1" x14ac:dyDescent="0.25">
      <c r="B2172" t="s">
        <v>860</v>
      </c>
      <c r="C2172" t="s">
        <v>71</v>
      </c>
      <c r="D2172" t="s">
        <v>891</v>
      </c>
      <c r="E2172" t="s">
        <v>291</v>
      </c>
      <c r="F2172" t="s">
        <v>197</v>
      </c>
      <c r="H2172">
        <v>0</v>
      </c>
      <c r="I2172">
        <v>0</v>
      </c>
      <c r="J2172">
        <v>1654.56</v>
      </c>
      <c r="M2172" s="7"/>
    </row>
    <row r="2173" spans="2:13" customFormat="1" x14ac:dyDescent="0.25">
      <c r="B2173" t="s">
        <v>860</v>
      </c>
      <c r="C2173" t="s">
        <v>72</v>
      </c>
      <c r="D2173" t="s">
        <v>891</v>
      </c>
      <c r="E2173" t="s">
        <v>292</v>
      </c>
      <c r="F2173" t="s">
        <v>198</v>
      </c>
      <c r="H2173">
        <v>0</v>
      </c>
      <c r="I2173">
        <v>0</v>
      </c>
      <c r="J2173">
        <v>170.39</v>
      </c>
      <c r="M2173" s="7"/>
    </row>
    <row r="2174" spans="2:13" customFormat="1" x14ac:dyDescent="0.25">
      <c r="B2174" t="s">
        <v>860</v>
      </c>
      <c r="C2174" t="s">
        <v>73</v>
      </c>
      <c r="D2174" t="s">
        <v>891</v>
      </c>
      <c r="E2174" t="s">
        <v>293</v>
      </c>
      <c r="F2174" t="s">
        <v>199</v>
      </c>
      <c r="H2174">
        <v>0</v>
      </c>
      <c r="I2174">
        <v>160000</v>
      </c>
      <c r="J2174">
        <v>362218.84</v>
      </c>
      <c r="M2174" s="7"/>
    </row>
    <row r="2175" spans="2:13" customFormat="1" x14ac:dyDescent="0.25">
      <c r="B2175" t="s">
        <v>860</v>
      </c>
      <c r="C2175" t="s">
        <v>74</v>
      </c>
      <c r="D2175" t="s">
        <v>891</v>
      </c>
      <c r="E2175" t="s">
        <v>294</v>
      </c>
      <c r="F2175" t="s">
        <v>200</v>
      </c>
      <c r="H2175">
        <v>0</v>
      </c>
      <c r="I2175">
        <v>237.09</v>
      </c>
      <c r="J2175">
        <v>101451.34</v>
      </c>
      <c r="M2175" s="7"/>
    </row>
    <row r="2176" spans="2:13" customFormat="1" x14ac:dyDescent="0.25">
      <c r="B2176" t="s">
        <v>867</v>
      </c>
      <c r="C2176" t="s">
        <v>28</v>
      </c>
      <c r="D2176" t="s">
        <v>891</v>
      </c>
      <c r="E2176" t="s">
        <v>213</v>
      </c>
      <c r="F2176" t="s">
        <v>118</v>
      </c>
      <c r="H2176">
        <v>8670.31</v>
      </c>
      <c r="I2176">
        <v>1113.33</v>
      </c>
      <c r="J2176">
        <v>0</v>
      </c>
      <c r="M2176" s="7"/>
    </row>
    <row r="2177" spans="2:13" customFormat="1" x14ac:dyDescent="0.25">
      <c r="B2177" t="s">
        <v>867</v>
      </c>
      <c r="C2177" t="s">
        <v>410</v>
      </c>
      <c r="D2177" t="s">
        <v>891</v>
      </c>
      <c r="E2177" t="s">
        <v>411</v>
      </c>
      <c r="F2177" t="s">
        <v>412</v>
      </c>
      <c r="H2177">
        <v>1113.33</v>
      </c>
      <c r="I2177">
        <v>1113.33</v>
      </c>
      <c r="J2177">
        <v>0</v>
      </c>
      <c r="M2177" s="7"/>
    </row>
    <row r="2178" spans="2:13" customFormat="1" x14ac:dyDescent="0.25">
      <c r="B2178" t="s">
        <v>867</v>
      </c>
      <c r="C2178" t="s">
        <v>30</v>
      </c>
      <c r="D2178" t="s">
        <v>891</v>
      </c>
      <c r="E2178" t="s">
        <v>215</v>
      </c>
      <c r="F2178" t="s">
        <v>120</v>
      </c>
      <c r="H2178">
        <v>264854.69</v>
      </c>
      <c r="I2178">
        <v>28540.93</v>
      </c>
      <c r="J2178">
        <v>2417.2199999999998</v>
      </c>
      <c r="M2178" s="7"/>
    </row>
    <row r="2179" spans="2:13" customFormat="1" x14ac:dyDescent="0.25">
      <c r="B2179" t="s">
        <v>867</v>
      </c>
      <c r="C2179" t="s">
        <v>81</v>
      </c>
      <c r="D2179" t="s">
        <v>891</v>
      </c>
      <c r="E2179" t="s">
        <v>216</v>
      </c>
      <c r="F2179" t="s">
        <v>121</v>
      </c>
      <c r="H2179">
        <v>19920</v>
      </c>
      <c r="I2179">
        <v>0</v>
      </c>
      <c r="J2179">
        <v>64.02</v>
      </c>
      <c r="M2179" s="7"/>
    </row>
    <row r="2180" spans="2:13" customFormat="1" x14ac:dyDescent="0.25">
      <c r="B2180" t="s">
        <v>867</v>
      </c>
      <c r="C2180" t="s">
        <v>32</v>
      </c>
      <c r="D2180" t="s">
        <v>891</v>
      </c>
      <c r="E2180" t="s">
        <v>218</v>
      </c>
      <c r="F2180" t="s">
        <v>123</v>
      </c>
      <c r="H2180">
        <v>0</v>
      </c>
      <c r="I2180">
        <v>0</v>
      </c>
      <c r="J2180">
        <v>89120.92</v>
      </c>
      <c r="M2180" s="7"/>
    </row>
    <row r="2181" spans="2:13" customFormat="1" x14ac:dyDescent="0.25">
      <c r="B2181" t="s">
        <v>867</v>
      </c>
      <c r="C2181" t="s">
        <v>34</v>
      </c>
      <c r="D2181" t="s">
        <v>891</v>
      </c>
      <c r="E2181" t="s">
        <v>220</v>
      </c>
      <c r="F2181" t="s">
        <v>125</v>
      </c>
      <c r="H2181">
        <v>72.34</v>
      </c>
      <c r="I2181">
        <v>520.92999999999995</v>
      </c>
      <c r="J2181">
        <v>292.27</v>
      </c>
      <c r="M2181" s="7"/>
    </row>
    <row r="2182" spans="2:13" customFormat="1" x14ac:dyDescent="0.25">
      <c r="B2182" t="s">
        <v>867</v>
      </c>
      <c r="C2182" t="s">
        <v>36</v>
      </c>
      <c r="D2182" t="s">
        <v>891</v>
      </c>
      <c r="E2182" t="s">
        <v>222</v>
      </c>
      <c r="F2182" t="s">
        <v>128</v>
      </c>
      <c r="H2182">
        <v>0</v>
      </c>
      <c r="I2182">
        <v>115.41</v>
      </c>
      <c r="J2182">
        <v>10629.14</v>
      </c>
      <c r="M2182" s="7"/>
    </row>
    <row r="2183" spans="2:13" customFormat="1" x14ac:dyDescent="0.25">
      <c r="B2183" t="s">
        <v>867</v>
      </c>
      <c r="C2183" t="s">
        <v>37</v>
      </c>
      <c r="D2183" t="s">
        <v>891</v>
      </c>
      <c r="E2183" t="s">
        <v>223</v>
      </c>
      <c r="F2183" t="s">
        <v>129</v>
      </c>
      <c r="H2183">
        <v>0</v>
      </c>
      <c r="I2183">
        <v>531.61</v>
      </c>
      <c r="J2183">
        <v>48900.57</v>
      </c>
      <c r="M2183" s="7"/>
    </row>
    <row r="2184" spans="2:13" customFormat="1" x14ac:dyDescent="0.25">
      <c r="B2184" t="s">
        <v>867</v>
      </c>
      <c r="C2184" t="s">
        <v>868</v>
      </c>
      <c r="D2184" t="s">
        <v>891</v>
      </c>
      <c r="E2184" t="s">
        <v>869</v>
      </c>
      <c r="F2184" t="s">
        <v>870</v>
      </c>
      <c r="H2184">
        <v>0</v>
      </c>
      <c r="I2184">
        <v>0</v>
      </c>
      <c r="J2184">
        <v>61.98</v>
      </c>
      <c r="M2184" s="7"/>
    </row>
    <row r="2185" spans="2:13" customFormat="1" x14ac:dyDescent="0.25">
      <c r="B2185" t="s">
        <v>867</v>
      </c>
      <c r="C2185" t="s">
        <v>413</v>
      </c>
      <c r="D2185" t="s">
        <v>891</v>
      </c>
      <c r="E2185" t="s">
        <v>414</v>
      </c>
      <c r="F2185" t="s">
        <v>415</v>
      </c>
      <c r="H2185">
        <v>0</v>
      </c>
      <c r="I2185">
        <v>0</v>
      </c>
      <c r="J2185">
        <v>30.8</v>
      </c>
      <c r="M2185" s="7"/>
    </row>
    <row r="2186" spans="2:13" customFormat="1" x14ac:dyDescent="0.25">
      <c r="B2186" t="s">
        <v>867</v>
      </c>
      <c r="C2186" t="s">
        <v>304</v>
      </c>
      <c r="D2186" t="s">
        <v>891</v>
      </c>
      <c r="E2186" t="s">
        <v>305</v>
      </c>
      <c r="F2186" t="s">
        <v>306</v>
      </c>
      <c r="H2186">
        <v>0</v>
      </c>
      <c r="I2186">
        <v>0</v>
      </c>
      <c r="J2186">
        <v>66522.7</v>
      </c>
      <c r="M2186" s="7"/>
    </row>
    <row r="2187" spans="2:13" customFormat="1" x14ac:dyDescent="0.25">
      <c r="B2187" t="s">
        <v>867</v>
      </c>
      <c r="C2187" t="s">
        <v>38</v>
      </c>
      <c r="D2187" t="s">
        <v>891</v>
      </c>
      <c r="E2187" t="s">
        <v>224</v>
      </c>
      <c r="F2187" t="s">
        <v>130</v>
      </c>
      <c r="H2187">
        <v>0</v>
      </c>
      <c r="I2187">
        <v>0</v>
      </c>
      <c r="J2187">
        <v>28472.58</v>
      </c>
      <c r="M2187" s="7"/>
    </row>
    <row r="2188" spans="2:13" customFormat="1" x14ac:dyDescent="0.25">
      <c r="B2188" t="s">
        <v>867</v>
      </c>
      <c r="C2188" t="s">
        <v>39</v>
      </c>
      <c r="D2188" t="s">
        <v>891</v>
      </c>
      <c r="E2188" t="s">
        <v>225</v>
      </c>
      <c r="F2188" t="s">
        <v>131</v>
      </c>
      <c r="H2188">
        <v>0</v>
      </c>
      <c r="I2188">
        <v>0</v>
      </c>
      <c r="J2188">
        <v>14511.72</v>
      </c>
      <c r="M2188" s="7"/>
    </row>
    <row r="2189" spans="2:13" customFormat="1" x14ac:dyDescent="0.25">
      <c r="B2189" t="s">
        <v>867</v>
      </c>
      <c r="C2189" t="s">
        <v>422</v>
      </c>
      <c r="D2189" t="s">
        <v>891</v>
      </c>
      <c r="E2189" t="s">
        <v>423</v>
      </c>
      <c r="F2189" t="s">
        <v>424</v>
      </c>
      <c r="H2189">
        <v>0</v>
      </c>
      <c r="I2189">
        <v>0</v>
      </c>
      <c r="J2189">
        <v>822288</v>
      </c>
      <c r="M2189" s="7"/>
    </row>
    <row r="2190" spans="2:13" customFormat="1" x14ac:dyDescent="0.25">
      <c r="B2190" t="s">
        <v>867</v>
      </c>
      <c r="C2190" t="s">
        <v>40</v>
      </c>
      <c r="D2190" t="s">
        <v>891</v>
      </c>
      <c r="E2190" t="s">
        <v>227</v>
      </c>
      <c r="F2190" t="s">
        <v>133</v>
      </c>
      <c r="H2190">
        <v>3251.98</v>
      </c>
      <c r="I2190">
        <v>2619.7800000000002</v>
      </c>
      <c r="J2190">
        <v>-4365.08</v>
      </c>
      <c r="M2190" s="7"/>
    </row>
    <row r="2191" spans="2:13" customFormat="1" x14ac:dyDescent="0.25">
      <c r="B2191" t="s">
        <v>867</v>
      </c>
      <c r="C2191" t="s">
        <v>83</v>
      </c>
      <c r="D2191" t="s">
        <v>891</v>
      </c>
      <c r="E2191" t="s">
        <v>228</v>
      </c>
      <c r="F2191" t="s">
        <v>134</v>
      </c>
      <c r="H2191">
        <v>0</v>
      </c>
      <c r="I2191">
        <v>0</v>
      </c>
      <c r="J2191">
        <v>-5985.77</v>
      </c>
      <c r="M2191" s="7"/>
    </row>
    <row r="2192" spans="2:13" customFormat="1" x14ac:dyDescent="0.25">
      <c r="B2192" t="s">
        <v>867</v>
      </c>
      <c r="C2192" t="s">
        <v>113</v>
      </c>
      <c r="D2192" t="s">
        <v>891</v>
      </c>
      <c r="E2192" t="s">
        <v>229</v>
      </c>
      <c r="F2192" t="s">
        <v>135</v>
      </c>
      <c r="H2192">
        <v>0</v>
      </c>
      <c r="I2192">
        <v>0</v>
      </c>
      <c r="J2192">
        <v>-8156.28</v>
      </c>
      <c r="M2192" s="7"/>
    </row>
    <row r="2193" spans="2:13" customFormat="1" x14ac:dyDescent="0.25">
      <c r="B2193" t="s">
        <v>867</v>
      </c>
      <c r="C2193" t="s">
        <v>84</v>
      </c>
      <c r="D2193" t="s">
        <v>891</v>
      </c>
      <c r="E2193" t="s">
        <v>230</v>
      </c>
      <c r="F2193" t="s">
        <v>136</v>
      </c>
      <c r="H2193">
        <v>6994.83</v>
      </c>
      <c r="I2193">
        <v>6994.83</v>
      </c>
      <c r="J2193">
        <v>-822288</v>
      </c>
      <c r="M2193" s="7"/>
    </row>
    <row r="2194" spans="2:13" customFormat="1" x14ac:dyDescent="0.25">
      <c r="B2194" t="s">
        <v>867</v>
      </c>
      <c r="C2194" t="s">
        <v>491</v>
      </c>
      <c r="D2194" t="s">
        <v>891</v>
      </c>
      <c r="E2194" t="s">
        <v>492</v>
      </c>
      <c r="F2194" t="s">
        <v>493</v>
      </c>
      <c r="H2194">
        <v>0</v>
      </c>
      <c r="I2194">
        <v>0</v>
      </c>
      <c r="J2194">
        <v>-1.56</v>
      </c>
      <c r="M2194" s="7"/>
    </row>
    <row r="2195" spans="2:13" customFormat="1" x14ac:dyDescent="0.25">
      <c r="B2195" t="s">
        <v>867</v>
      </c>
      <c r="C2195" t="s">
        <v>44</v>
      </c>
      <c r="D2195" t="s">
        <v>891</v>
      </c>
      <c r="E2195" t="s">
        <v>235</v>
      </c>
      <c r="F2195" t="s">
        <v>141</v>
      </c>
      <c r="H2195">
        <v>0</v>
      </c>
      <c r="I2195">
        <v>0</v>
      </c>
      <c r="J2195">
        <v>-10.029999999999999</v>
      </c>
      <c r="M2195" s="7"/>
    </row>
    <row r="2196" spans="2:13" customFormat="1" x14ac:dyDescent="0.25">
      <c r="B2196" t="s">
        <v>867</v>
      </c>
      <c r="C2196" t="s">
        <v>45</v>
      </c>
      <c r="D2196" t="s">
        <v>891</v>
      </c>
      <c r="E2196" t="s">
        <v>236</v>
      </c>
      <c r="F2196" t="s">
        <v>142</v>
      </c>
      <c r="H2196">
        <v>0</v>
      </c>
      <c r="I2196">
        <v>0</v>
      </c>
      <c r="J2196">
        <v>-357.26</v>
      </c>
      <c r="M2196" s="7"/>
    </row>
    <row r="2197" spans="2:13" customFormat="1" x14ac:dyDescent="0.25">
      <c r="B2197" t="s">
        <v>867</v>
      </c>
      <c r="C2197" t="s">
        <v>341</v>
      </c>
      <c r="D2197" t="s">
        <v>891</v>
      </c>
      <c r="E2197" t="s">
        <v>342</v>
      </c>
      <c r="F2197" t="s">
        <v>343</v>
      </c>
      <c r="H2197">
        <v>0</v>
      </c>
      <c r="I2197">
        <v>0</v>
      </c>
      <c r="J2197">
        <v>-60</v>
      </c>
      <c r="M2197" s="7"/>
    </row>
    <row r="2198" spans="2:13" customFormat="1" x14ac:dyDescent="0.25">
      <c r="B2198" t="s">
        <v>867</v>
      </c>
      <c r="C2198" t="s">
        <v>46</v>
      </c>
      <c r="D2198" t="s">
        <v>891</v>
      </c>
      <c r="E2198" t="s">
        <v>237</v>
      </c>
      <c r="F2198" t="s">
        <v>143</v>
      </c>
      <c r="H2198">
        <v>0</v>
      </c>
      <c r="I2198">
        <v>0</v>
      </c>
      <c r="J2198">
        <v>-1200000</v>
      </c>
      <c r="M2198" s="7"/>
    </row>
    <row r="2199" spans="2:13" customFormat="1" x14ac:dyDescent="0.25">
      <c r="B2199" t="s">
        <v>867</v>
      </c>
      <c r="C2199" t="s">
        <v>80</v>
      </c>
      <c r="D2199" t="s">
        <v>891</v>
      </c>
      <c r="E2199" t="s">
        <v>239</v>
      </c>
      <c r="F2199" t="s">
        <v>145</v>
      </c>
      <c r="H2199">
        <v>0</v>
      </c>
      <c r="I2199">
        <v>0</v>
      </c>
      <c r="J2199">
        <v>-1164771.6599999999</v>
      </c>
      <c r="M2199" s="7"/>
    </row>
    <row r="2200" spans="2:13" customFormat="1" x14ac:dyDescent="0.25">
      <c r="B2200" t="s">
        <v>867</v>
      </c>
      <c r="C2200" t="s">
        <v>85</v>
      </c>
      <c r="D2200" t="s">
        <v>891</v>
      </c>
      <c r="E2200" t="s">
        <v>240</v>
      </c>
      <c r="F2200" t="s">
        <v>146</v>
      </c>
      <c r="H2200">
        <v>0</v>
      </c>
      <c r="I2200">
        <v>0</v>
      </c>
      <c r="J2200">
        <v>1344134.62</v>
      </c>
      <c r="M2200" s="7"/>
    </row>
    <row r="2201" spans="2:13" customFormat="1" x14ac:dyDescent="0.25">
      <c r="B2201" t="s">
        <v>867</v>
      </c>
      <c r="C2201" t="s">
        <v>371</v>
      </c>
      <c r="D2201" t="s">
        <v>891</v>
      </c>
      <c r="E2201" t="s">
        <v>372</v>
      </c>
      <c r="F2201" t="s">
        <v>373</v>
      </c>
      <c r="H2201">
        <v>0</v>
      </c>
      <c r="I2201">
        <v>0</v>
      </c>
      <c r="J2201">
        <v>-615162.84</v>
      </c>
      <c r="M2201" s="7"/>
    </row>
    <row r="2202" spans="2:13" customFormat="1" x14ac:dyDescent="0.25">
      <c r="B2202" t="s">
        <v>867</v>
      </c>
      <c r="C2202" t="s">
        <v>48</v>
      </c>
      <c r="D2202" t="s">
        <v>891</v>
      </c>
      <c r="E2202" t="s">
        <v>241</v>
      </c>
      <c r="F2202" t="s">
        <v>147</v>
      </c>
      <c r="H2202">
        <v>0</v>
      </c>
      <c r="I2202">
        <v>0</v>
      </c>
      <c r="J2202">
        <v>-968.96</v>
      </c>
      <c r="M2202" s="7"/>
    </row>
    <row r="2203" spans="2:13" customFormat="1" x14ac:dyDescent="0.25">
      <c r="B2203" t="s">
        <v>867</v>
      </c>
      <c r="C2203" t="s">
        <v>86</v>
      </c>
      <c r="D2203" t="s">
        <v>891</v>
      </c>
      <c r="E2203" t="s">
        <v>242</v>
      </c>
      <c r="F2203" t="s">
        <v>148</v>
      </c>
      <c r="H2203">
        <v>0</v>
      </c>
      <c r="I2203">
        <v>0</v>
      </c>
      <c r="J2203">
        <v>-66335.7</v>
      </c>
      <c r="M2203" s="7"/>
    </row>
    <row r="2204" spans="2:13" customFormat="1" x14ac:dyDescent="0.25">
      <c r="B2204" t="s">
        <v>867</v>
      </c>
      <c r="C2204" t="s">
        <v>49</v>
      </c>
      <c r="D2204" t="s">
        <v>891</v>
      </c>
      <c r="E2204" t="s">
        <v>243</v>
      </c>
      <c r="F2204" t="s">
        <v>149</v>
      </c>
      <c r="H2204">
        <v>0</v>
      </c>
      <c r="I2204">
        <v>0</v>
      </c>
      <c r="J2204">
        <v>5297.19</v>
      </c>
      <c r="M2204" s="7"/>
    </row>
    <row r="2205" spans="2:13" customFormat="1" x14ac:dyDescent="0.25">
      <c r="B2205" t="s">
        <v>867</v>
      </c>
      <c r="C2205" t="s">
        <v>50</v>
      </c>
      <c r="D2205" t="s">
        <v>891</v>
      </c>
      <c r="E2205" t="s">
        <v>244</v>
      </c>
      <c r="F2205" t="s">
        <v>150</v>
      </c>
      <c r="H2205">
        <v>0</v>
      </c>
      <c r="I2205">
        <v>0</v>
      </c>
      <c r="J2205">
        <v>634.41999999999996</v>
      </c>
      <c r="M2205" s="7"/>
    </row>
    <row r="2206" spans="2:13" customFormat="1" x14ac:dyDescent="0.25">
      <c r="B2206" t="s">
        <v>867</v>
      </c>
      <c r="C2206" t="s">
        <v>51</v>
      </c>
      <c r="D2206" t="s">
        <v>891</v>
      </c>
      <c r="E2206" t="s">
        <v>245</v>
      </c>
      <c r="F2206" t="s">
        <v>151</v>
      </c>
      <c r="H2206">
        <v>0</v>
      </c>
      <c r="I2206">
        <v>0</v>
      </c>
      <c r="J2206">
        <v>2922.15</v>
      </c>
      <c r="M2206" s="7"/>
    </row>
    <row r="2207" spans="2:13" customFormat="1" x14ac:dyDescent="0.25">
      <c r="B2207" t="s">
        <v>867</v>
      </c>
      <c r="C2207" t="s">
        <v>87</v>
      </c>
      <c r="D2207" t="s">
        <v>891</v>
      </c>
      <c r="E2207" t="s">
        <v>246</v>
      </c>
      <c r="F2207" t="s">
        <v>152</v>
      </c>
      <c r="H2207">
        <v>0</v>
      </c>
      <c r="I2207">
        <v>0</v>
      </c>
      <c r="J2207">
        <v>773.27</v>
      </c>
      <c r="M2207" s="7"/>
    </row>
    <row r="2208" spans="2:13" customFormat="1" x14ac:dyDescent="0.25">
      <c r="B2208" t="s">
        <v>867</v>
      </c>
      <c r="C2208" t="s">
        <v>52</v>
      </c>
      <c r="D2208" t="s">
        <v>891</v>
      </c>
      <c r="E2208" t="s">
        <v>247</v>
      </c>
      <c r="F2208" t="s">
        <v>153</v>
      </c>
      <c r="H2208">
        <v>520.92999999999995</v>
      </c>
      <c r="I2208">
        <v>0</v>
      </c>
      <c r="J2208">
        <v>-520.92999999999995</v>
      </c>
      <c r="M2208" s="7"/>
    </row>
    <row r="2209" spans="2:13" customFormat="1" x14ac:dyDescent="0.25">
      <c r="B2209" t="s">
        <v>867</v>
      </c>
      <c r="C2209" t="s">
        <v>838</v>
      </c>
      <c r="D2209" t="s">
        <v>891</v>
      </c>
      <c r="E2209" t="s">
        <v>839</v>
      </c>
      <c r="F2209" t="s">
        <v>840</v>
      </c>
      <c r="H2209">
        <v>0</v>
      </c>
      <c r="I2209">
        <v>0</v>
      </c>
      <c r="J2209">
        <v>-3000</v>
      </c>
      <c r="M2209" s="7"/>
    </row>
    <row r="2210" spans="2:13" customFormat="1" x14ac:dyDescent="0.25">
      <c r="B2210" t="s">
        <v>867</v>
      </c>
      <c r="C2210" t="s">
        <v>88</v>
      </c>
      <c r="D2210" t="s">
        <v>891</v>
      </c>
      <c r="E2210" t="s">
        <v>248</v>
      </c>
      <c r="F2210" t="s">
        <v>154</v>
      </c>
      <c r="H2210">
        <v>0</v>
      </c>
      <c r="I2210">
        <v>0</v>
      </c>
      <c r="J2210">
        <v>-912.32</v>
      </c>
      <c r="M2210" s="7"/>
    </row>
    <row r="2211" spans="2:13" customFormat="1" x14ac:dyDescent="0.25">
      <c r="B2211" t="s">
        <v>867</v>
      </c>
      <c r="C2211" t="s">
        <v>377</v>
      </c>
      <c r="D2211" t="s">
        <v>891</v>
      </c>
      <c r="E2211" t="s">
        <v>378</v>
      </c>
      <c r="F2211" t="s">
        <v>379</v>
      </c>
      <c r="H2211">
        <v>0</v>
      </c>
      <c r="I2211">
        <v>0</v>
      </c>
      <c r="J2211">
        <v>574506.46</v>
      </c>
      <c r="M2211" s="7"/>
    </row>
    <row r="2212" spans="2:13" customFormat="1" x14ac:dyDescent="0.25">
      <c r="B2212" t="s">
        <v>867</v>
      </c>
      <c r="C2212" t="s">
        <v>53</v>
      </c>
      <c r="D2212" t="s">
        <v>891</v>
      </c>
      <c r="E2212" t="s">
        <v>249</v>
      </c>
      <c r="F2212" t="s">
        <v>155</v>
      </c>
      <c r="H2212">
        <v>0</v>
      </c>
      <c r="I2212">
        <v>0</v>
      </c>
      <c r="J2212">
        <v>41363</v>
      </c>
      <c r="M2212" s="7"/>
    </row>
    <row r="2213" spans="2:13" customFormat="1" x14ac:dyDescent="0.25">
      <c r="B2213" t="s">
        <v>867</v>
      </c>
      <c r="C2213" t="s">
        <v>54</v>
      </c>
      <c r="D2213" t="s">
        <v>891</v>
      </c>
      <c r="E2213" t="s">
        <v>250</v>
      </c>
      <c r="F2213" t="s">
        <v>156</v>
      </c>
      <c r="H2213">
        <v>0</v>
      </c>
      <c r="I2213">
        <v>0</v>
      </c>
      <c r="J2213">
        <v>371</v>
      </c>
      <c r="M2213" s="7"/>
    </row>
    <row r="2214" spans="2:13" customFormat="1" x14ac:dyDescent="0.25">
      <c r="B2214" t="s">
        <v>867</v>
      </c>
      <c r="C2214" t="s">
        <v>55</v>
      </c>
      <c r="D2214" t="s">
        <v>891</v>
      </c>
      <c r="E2214" t="s">
        <v>252</v>
      </c>
      <c r="F2214" t="s">
        <v>158</v>
      </c>
      <c r="H2214">
        <v>0</v>
      </c>
      <c r="I2214">
        <v>0</v>
      </c>
      <c r="J2214">
        <v>25302.25</v>
      </c>
      <c r="M2214" s="7"/>
    </row>
    <row r="2215" spans="2:13" customFormat="1" x14ac:dyDescent="0.25">
      <c r="B2215" t="s">
        <v>867</v>
      </c>
      <c r="C2215" t="s">
        <v>56</v>
      </c>
      <c r="D2215" t="s">
        <v>891</v>
      </c>
      <c r="E2215" t="s">
        <v>253</v>
      </c>
      <c r="F2215" t="s">
        <v>159</v>
      </c>
      <c r="H2215">
        <v>0</v>
      </c>
      <c r="I2215">
        <v>0</v>
      </c>
      <c r="J2215">
        <v>11198.72</v>
      </c>
      <c r="M2215" s="7"/>
    </row>
    <row r="2216" spans="2:13" customFormat="1" x14ac:dyDescent="0.25">
      <c r="B2216" t="s">
        <v>867</v>
      </c>
      <c r="C2216" t="s">
        <v>57</v>
      </c>
      <c r="D2216" t="s">
        <v>891</v>
      </c>
      <c r="E2216" t="s">
        <v>254</v>
      </c>
      <c r="F2216" t="s">
        <v>160</v>
      </c>
      <c r="H2216">
        <v>0</v>
      </c>
      <c r="I2216">
        <v>0</v>
      </c>
      <c r="J2216">
        <v>-7826.17</v>
      </c>
      <c r="M2216" s="7"/>
    </row>
    <row r="2217" spans="2:13" customFormat="1" x14ac:dyDescent="0.25">
      <c r="B2217" t="s">
        <v>867</v>
      </c>
      <c r="C2217" t="s">
        <v>58</v>
      </c>
      <c r="D2217" t="s">
        <v>891</v>
      </c>
      <c r="E2217" t="s">
        <v>255</v>
      </c>
      <c r="F2217" t="s">
        <v>161</v>
      </c>
      <c r="H2217">
        <v>0</v>
      </c>
      <c r="I2217">
        <v>0</v>
      </c>
      <c r="J2217">
        <v>31342.5</v>
      </c>
      <c r="M2217" s="7"/>
    </row>
    <row r="2218" spans="2:13" customFormat="1" x14ac:dyDescent="0.25">
      <c r="B2218" t="s">
        <v>867</v>
      </c>
      <c r="C2218" t="s">
        <v>59</v>
      </c>
      <c r="D2218" t="s">
        <v>891</v>
      </c>
      <c r="E2218" t="s">
        <v>256</v>
      </c>
      <c r="F2218" t="s">
        <v>162</v>
      </c>
      <c r="H2218">
        <v>0</v>
      </c>
      <c r="I2218">
        <v>0</v>
      </c>
      <c r="J2218">
        <v>-954.13</v>
      </c>
      <c r="M2218" s="7"/>
    </row>
    <row r="2219" spans="2:13" customFormat="1" x14ac:dyDescent="0.25">
      <c r="B2219" t="s">
        <v>867</v>
      </c>
      <c r="C2219" t="s">
        <v>90</v>
      </c>
      <c r="D2219" t="s">
        <v>891</v>
      </c>
      <c r="E2219" t="s">
        <v>257</v>
      </c>
      <c r="F2219" t="s">
        <v>163</v>
      </c>
      <c r="H2219">
        <v>0</v>
      </c>
      <c r="I2219">
        <v>0</v>
      </c>
      <c r="J2219">
        <v>23074.41</v>
      </c>
      <c r="M2219" s="7"/>
    </row>
    <row r="2220" spans="2:13" customFormat="1" x14ac:dyDescent="0.25">
      <c r="B2220" t="s">
        <v>867</v>
      </c>
      <c r="C2220" t="s">
        <v>60</v>
      </c>
      <c r="D2220" t="s">
        <v>891</v>
      </c>
      <c r="E2220" t="s">
        <v>258</v>
      </c>
      <c r="F2220" t="s">
        <v>164</v>
      </c>
      <c r="H2220">
        <v>0</v>
      </c>
      <c r="I2220">
        <v>0</v>
      </c>
      <c r="J2220">
        <v>3448.85</v>
      </c>
      <c r="M2220" s="7"/>
    </row>
    <row r="2221" spans="2:13" customFormat="1" x14ac:dyDescent="0.25">
      <c r="B2221" t="s">
        <v>867</v>
      </c>
      <c r="C2221" t="s">
        <v>61</v>
      </c>
      <c r="D2221" t="s">
        <v>891</v>
      </c>
      <c r="E2221" t="s">
        <v>259</v>
      </c>
      <c r="F2221" t="s">
        <v>165</v>
      </c>
      <c r="H2221">
        <v>0</v>
      </c>
      <c r="I2221">
        <v>0</v>
      </c>
      <c r="J2221">
        <v>17411.14</v>
      </c>
      <c r="M2221" s="7"/>
    </row>
    <row r="2222" spans="2:13" customFormat="1" x14ac:dyDescent="0.25">
      <c r="B2222" t="s">
        <v>867</v>
      </c>
      <c r="C2222" t="s">
        <v>344</v>
      </c>
      <c r="D2222" t="s">
        <v>891</v>
      </c>
      <c r="E2222" t="s">
        <v>345</v>
      </c>
      <c r="F2222" t="s">
        <v>346</v>
      </c>
      <c r="H2222">
        <v>0</v>
      </c>
      <c r="I2222">
        <v>0</v>
      </c>
      <c r="J2222">
        <v>1143.6500000000001</v>
      </c>
      <c r="M2222" s="7"/>
    </row>
    <row r="2223" spans="2:13" customFormat="1" x14ac:dyDescent="0.25">
      <c r="B2223" t="s">
        <v>867</v>
      </c>
      <c r="C2223" t="s">
        <v>62</v>
      </c>
      <c r="D2223" t="s">
        <v>891</v>
      </c>
      <c r="E2223" t="s">
        <v>260</v>
      </c>
      <c r="F2223" t="s">
        <v>166</v>
      </c>
      <c r="H2223">
        <v>0</v>
      </c>
      <c r="I2223">
        <v>0</v>
      </c>
      <c r="J2223">
        <v>10195.25</v>
      </c>
      <c r="M2223" s="7"/>
    </row>
    <row r="2224" spans="2:13" customFormat="1" x14ac:dyDescent="0.25">
      <c r="B2224" t="s">
        <v>867</v>
      </c>
      <c r="C2224" t="s">
        <v>207</v>
      </c>
      <c r="D2224" t="s">
        <v>891</v>
      </c>
      <c r="E2224" t="s">
        <v>299</v>
      </c>
      <c r="F2224" t="s">
        <v>208</v>
      </c>
      <c r="H2224">
        <v>0</v>
      </c>
      <c r="I2224">
        <v>0</v>
      </c>
      <c r="J2224">
        <v>-1488.77</v>
      </c>
      <c r="M2224" s="7"/>
    </row>
    <row r="2225" spans="2:13" customFormat="1" x14ac:dyDescent="0.25">
      <c r="B2225" t="s">
        <v>867</v>
      </c>
      <c r="C2225" t="s">
        <v>63</v>
      </c>
      <c r="D2225" t="s">
        <v>891</v>
      </c>
      <c r="E2225" t="s">
        <v>261</v>
      </c>
      <c r="F2225" t="s">
        <v>167</v>
      </c>
      <c r="H2225">
        <v>0</v>
      </c>
      <c r="I2225">
        <v>0</v>
      </c>
      <c r="J2225">
        <v>-908.93</v>
      </c>
      <c r="M2225" s="7"/>
    </row>
    <row r="2226" spans="2:13" customFormat="1" x14ac:dyDescent="0.25">
      <c r="B2226" t="s">
        <v>867</v>
      </c>
      <c r="C2226" t="s">
        <v>380</v>
      </c>
      <c r="D2226" t="s">
        <v>891</v>
      </c>
      <c r="E2226" t="s">
        <v>381</v>
      </c>
      <c r="F2226" t="s">
        <v>382</v>
      </c>
      <c r="H2226">
        <v>0</v>
      </c>
      <c r="I2226">
        <v>0</v>
      </c>
      <c r="J2226">
        <v>2105.4899999999998</v>
      </c>
      <c r="M2226" s="7"/>
    </row>
    <row r="2227" spans="2:13" customFormat="1" x14ac:dyDescent="0.25">
      <c r="B2227" t="s">
        <v>867</v>
      </c>
      <c r="C2227" t="s">
        <v>383</v>
      </c>
      <c r="D2227" t="s">
        <v>891</v>
      </c>
      <c r="E2227" t="s">
        <v>384</v>
      </c>
      <c r="F2227" t="s">
        <v>385</v>
      </c>
      <c r="H2227">
        <v>0</v>
      </c>
      <c r="I2227">
        <v>0</v>
      </c>
      <c r="J2227">
        <v>1070.1600000000001</v>
      </c>
      <c r="M2227" s="7"/>
    </row>
    <row r="2228" spans="2:13" customFormat="1" x14ac:dyDescent="0.25">
      <c r="B2228" t="s">
        <v>867</v>
      </c>
      <c r="C2228" t="s">
        <v>386</v>
      </c>
      <c r="D2228" t="s">
        <v>891</v>
      </c>
      <c r="E2228" t="s">
        <v>387</v>
      </c>
      <c r="F2228" t="s">
        <v>388</v>
      </c>
      <c r="H2228">
        <v>0</v>
      </c>
      <c r="I2228">
        <v>0</v>
      </c>
      <c r="J2228">
        <v>3561.41</v>
      </c>
      <c r="M2228" s="7"/>
    </row>
    <row r="2229" spans="2:13" customFormat="1" x14ac:dyDescent="0.25">
      <c r="B2229" t="s">
        <v>867</v>
      </c>
      <c r="C2229" t="s">
        <v>92</v>
      </c>
      <c r="D2229" t="s">
        <v>891</v>
      </c>
      <c r="E2229" t="s">
        <v>263</v>
      </c>
      <c r="F2229" t="s">
        <v>169</v>
      </c>
      <c r="H2229">
        <v>0</v>
      </c>
      <c r="I2229">
        <v>0</v>
      </c>
      <c r="J2229">
        <v>912.32</v>
      </c>
      <c r="M2229" s="7"/>
    </row>
    <row r="2230" spans="2:13" customFormat="1" x14ac:dyDescent="0.25">
      <c r="B2230" t="s">
        <v>867</v>
      </c>
      <c r="C2230" t="s">
        <v>524</v>
      </c>
      <c r="D2230" t="s">
        <v>891</v>
      </c>
      <c r="E2230" t="s">
        <v>525</v>
      </c>
      <c r="F2230" t="s">
        <v>526</v>
      </c>
      <c r="H2230">
        <v>0</v>
      </c>
      <c r="I2230">
        <v>0</v>
      </c>
      <c r="J2230">
        <v>274</v>
      </c>
      <c r="M2230" s="7"/>
    </row>
    <row r="2231" spans="2:13" customFormat="1" x14ac:dyDescent="0.25">
      <c r="B2231" t="s">
        <v>867</v>
      </c>
      <c r="C2231" t="s">
        <v>350</v>
      </c>
      <c r="D2231" t="s">
        <v>891</v>
      </c>
      <c r="E2231" t="s">
        <v>351</v>
      </c>
      <c r="F2231" t="s">
        <v>352</v>
      </c>
      <c r="H2231">
        <v>0</v>
      </c>
      <c r="I2231">
        <v>0</v>
      </c>
      <c r="J2231">
        <v>-32004.05</v>
      </c>
      <c r="M2231" s="7"/>
    </row>
    <row r="2232" spans="2:13" customFormat="1" x14ac:dyDescent="0.25">
      <c r="B2232" t="s">
        <v>867</v>
      </c>
      <c r="C2232" t="s">
        <v>64</v>
      </c>
      <c r="D2232" t="s">
        <v>891</v>
      </c>
      <c r="E2232" t="s">
        <v>265</v>
      </c>
      <c r="F2232" t="s">
        <v>171</v>
      </c>
      <c r="H2232">
        <v>0</v>
      </c>
      <c r="I2232">
        <v>0</v>
      </c>
      <c r="J2232">
        <v>11528.49</v>
      </c>
      <c r="M2232" s="7"/>
    </row>
    <row r="2233" spans="2:13" customFormat="1" x14ac:dyDescent="0.25">
      <c r="B2233" t="s">
        <v>867</v>
      </c>
      <c r="C2233" t="s">
        <v>94</v>
      </c>
      <c r="D2233" t="s">
        <v>891</v>
      </c>
      <c r="E2233" t="s">
        <v>266</v>
      </c>
      <c r="F2233" t="s">
        <v>172</v>
      </c>
      <c r="H2233">
        <v>0</v>
      </c>
      <c r="I2233">
        <v>0</v>
      </c>
      <c r="J2233">
        <v>-164.29</v>
      </c>
      <c r="M2233" s="7"/>
    </row>
    <row r="2234" spans="2:13" customFormat="1" x14ac:dyDescent="0.25">
      <c r="B2234" t="s">
        <v>867</v>
      </c>
      <c r="C2234" t="s">
        <v>353</v>
      </c>
      <c r="D2234" t="s">
        <v>891</v>
      </c>
      <c r="E2234" t="s">
        <v>354</v>
      </c>
      <c r="F2234" t="s">
        <v>355</v>
      </c>
      <c r="H2234">
        <v>0</v>
      </c>
      <c r="I2234">
        <v>0</v>
      </c>
      <c r="J2234">
        <v>44.88</v>
      </c>
      <c r="M2234" s="7"/>
    </row>
    <row r="2235" spans="2:13" customFormat="1" x14ac:dyDescent="0.25">
      <c r="B2235" t="s">
        <v>867</v>
      </c>
      <c r="C2235" t="s">
        <v>95</v>
      </c>
      <c r="D2235" t="s">
        <v>891</v>
      </c>
      <c r="E2235" t="s">
        <v>267</v>
      </c>
      <c r="F2235" t="s">
        <v>173</v>
      </c>
      <c r="H2235">
        <v>0</v>
      </c>
      <c r="I2235">
        <v>0</v>
      </c>
      <c r="J2235">
        <v>158.72</v>
      </c>
      <c r="M2235" s="7"/>
    </row>
    <row r="2236" spans="2:13" customFormat="1" x14ac:dyDescent="0.25">
      <c r="B2236" t="s">
        <v>867</v>
      </c>
      <c r="C2236" t="s">
        <v>65</v>
      </c>
      <c r="D2236" t="s">
        <v>891</v>
      </c>
      <c r="E2236" t="s">
        <v>269</v>
      </c>
      <c r="F2236" t="s">
        <v>175</v>
      </c>
      <c r="H2236">
        <v>0</v>
      </c>
      <c r="I2236">
        <v>0</v>
      </c>
      <c r="J2236">
        <v>-33692.050000000003</v>
      </c>
      <c r="M2236" s="7"/>
    </row>
    <row r="2237" spans="2:13" customFormat="1" x14ac:dyDescent="0.25">
      <c r="B2237" t="s">
        <v>867</v>
      </c>
      <c r="C2237" t="s">
        <v>97</v>
      </c>
      <c r="D2237" t="s">
        <v>891</v>
      </c>
      <c r="E2237" t="s">
        <v>270</v>
      </c>
      <c r="F2237" t="s">
        <v>176</v>
      </c>
      <c r="H2237">
        <v>0</v>
      </c>
      <c r="I2237">
        <v>346.61</v>
      </c>
      <c r="J2237">
        <v>701.56</v>
      </c>
      <c r="M2237" s="7"/>
    </row>
    <row r="2238" spans="2:13" customFormat="1" x14ac:dyDescent="0.25">
      <c r="B2238" t="s">
        <v>867</v>
      </c>
      <c r="C2238" t="s">
        <v>548</v>
      </c>
      <c r="D2238" t="s">
        <v>891</v>
      </c>
      <c r="E2238" t="s">
        <v>549</v>
      </c>
      <c r="F2238" t="s">
        <v>550</v>
      </c>
      <c r="H2238">
        <v>0</v>
      </c>
      <c r="I2238">
        <v>0</v>
      </c>
      <c r="J2238">
        <v>7864.88</v>
      </c>
      <c r="M2238" s="7"/>
    </row>
    <row r="2239" spans="2:13" customFormat="1" x14ac:dyDescent="0.25">
      <c r="B2239" t="s">
        <v>867</v>
      </c>
      <c r="C2239" t="s">
        <v>66</v>
      </c>
      <c r="D2239" t="s">
        <v>891</v>
      </c>
      <c r="E2239" t="s">
        <v>272</v>
      </c>
      <c r="F2239" t="s">
        <v>178</v>
      </c>
      <c r="H2239">
        <v>0</v>
      </c>
      <c r="I2239">
        <v>0</v>
      </c>
      <c r="J2239">
        <v>418.99</v>
      </c>
      <c r="M2239" s="7"/>
    </row>
    <row r="2240" spans="2:13" customFormat="1" x14ac:dyDescent="0.25">
      <c r="B2240" t="s">
        <v>867</v>
      </c>
      <c r="C2240" t="s">
        <v>99</v>
      </c>
      <c r="D2240" t="s">
        <v>891</v>
      </c>
      <c r="E2240" t="s">
        <v>273</v>
      </c>
      <c r="F2240" t="s">
        <v>179</v>
      </c>
      <c r="H2240">
        <v>2277</v>
      </c>
      <c r="I2240">
        <v>0</v>
      </c>
      <c r="J2240">
        <v>0</v>
      </c>
      <c r="M2240" s="7"/>
    </row>
    <row r="2241" spans="2:13" customFormat="1" x14ac:dyDescent="0.25">
      <c r="B2241" t="s">
        <v>867</v>
      </c>
      <c r="C2241" t="s">
        <v>551</v>
      </c>
      <c r="D2241" t="s">
        <v>891</v>
      </c>
      <c r="E2241" t="s">
        <v>552</v>
      </c>
      <c r="F2241" t="s">
        <v>553</v>
      </c>
      <c r="H2241">
        <v>0</v>
      </c>
      <c r="I2241">
        <v>0</v>
      </c>
      <c r="J2241">
        <v>1200</v>
      </c>
      <c r="M2241" s="7"/>
    </row>
    <row r="2242" spans="2:13" customFormat="1" x14ac:dyDescent="0.25">
      <c r="B2242" t="s">
        <v>867</v>
      </c>
      <c r="C2242" t="s">
        <v>554</v>
      </c>
      <c r="D2242" t="s">
        <v>891</v>
      </c>
      <c r="E2242" t="s">
        <v>555</v>
      </c>
      <c r="F2242" t="s">
        <v>556</v>
      </c>
      <c r="H2242">
        <v>0</v>
      </c>
      <c r="I2242">
        <v>0</v>
      </c>
      <c r="J2242">
        <v>5541.79</v>
      </c>
      <c r="M2242" s="7"/>
    </row>
    <row r="2243" spans="2:13" customFormat="1" x14ac:dyDescent="0.25">
      <c r="B2243" t="s">
        <v>867</v>
      </c>
      <c r="C2243" t="s">
        <v>871</v>
      </c>
      <c r="D2243" t="s">
        <v>891</v>
      </c>
      <c r="E2243" t="s">
        <v>872</v>
      </c>
      <c r="F2243" t="s">
        <v>873</v>
      </c>
      <c r="H2243">
        <v>0</v>
      </c>
      <c r="I2243">
        <v>0</v>
      </c>
      <c r="J2243">
        <v>8873.58</v>
      </c>
      <c r="M2243" s="7"/>
    </row>
    <row r="2244" spans="2:13" customFormat="1" x14ac:dyDescent="0.25">
      <c r="B2244" t="s">
        <v>867</v>
      </c>
      <c r="C2244" t="s">
        <v>392</v>
      </c>
      <c r="D2244" t="s">
        <v>891</v>
      </c>
      <c r="E2244" t="s">
        <v>393</v>
      </c>
      <c r="F2244" t="s">
        <v>394</v>
      </c>
      <c r="H2244">
        <v>0</v>
      </c>
      <c r="I2244">
        <v>0</v>
      </c>
      <c r="J2244">
        <v>3459.39</v>
      </c>
      <c r="M2244" s="7"/>
    </row>
    <row r="2245" spans="2:13" customFormat="1" x14ac:dyDescent="0.25">
      <c r="B2245" t="s">
        <v>867</v>
      </c>
      <c r="C2245" t="s">
        <v>591</v>
      </c>
      <c r="D2245" t="s">
        <v>891</v>
      </c>
      <c r="E2245" t="s">
        <v>592</v>
      </c>
      <c r="F2245" t="s">
        <v>593</v>
      </c>
      <c r="H2245">
        <v>0</v>
      </c>
      <c r="I2245">
        <v>0</v>
      </c>
      <c r="J2245">
        <v>526.98</v>
      </c>
      <c r="M2245" s="7"/>
    </row>
    <row r="2246" spans="2:13" customFormat="1" x14ac:dyDescent="0.25">
      <c r="B2246" t="s">
        <v>867</v>
      </c>
      <c r="C2246" t="s">
        <v>100</v>
      </c>
      <c r="D2246" t="s">
        <v>891</v>
      </c>
      <c r="E2246" t="s">
        <v>274</v>
      </c>
      <c r="F2246" t="s">
        <v>180</v>
      </c>
      <c r="H2246">
        <v>0</v>
      </c>
      <c r="I2246">
        <v>0</v>
      </c>
      <c r="J2246">
        <v>8811.74</v>
      </c>
      <c r="M2246" s="7"/>
    </row>
    <row r="2247" spans="2:13" customFormat="1" x14ac:dyDescent="0.25">
      <c r="B2247" t="s">
        <v>867</v>
      </c>
      <c r="C2247" t="s">
        <v>67</v>
      </c>
      <c r="D2247" t="s">
        <v>891</v>
      </c>
      <c r="E2247" t="s">
        <v>276</v>
      </c>
      <c r="F2247" t="s">
        <v>182</v>
      </c>
      <c r="H2247">
        <v>0</v>
      </c>
      <c r="I2247">
        <v>0</v>
      </c>
      <c r="J2247">
        <v>1646.79</v>
      </c>
      <c r="M2247" s="7"/>
    </row>
    <row r="2248" spans="2:13" customFormat="1" x14ac:dyDescent="0.25">
      <c r="B2248" t="s">
        <v>867</v>
      </c>
      <c r="C2248" t="s">
        <v>102</v>
      </c>
      <c r="D2248" t="s">
        <v>891</v>
      </c>
      <c r="E2248" t="s">
        <v>277</v>
      </c>
      <c r="F2248" t="s">
        <v>183</v>
      </c>
      <c r="H2248">
        <v>0</v>
      </c>
      <c r="I2248">
        <v>0</v>
      </c>
      <c r="J2248">
        <v>8905.17</v>
      </c>
      <c r="M2248" s="7"/>
    </row>
    <row r="2249" spans="2:13" customFormat="1" x14ac:dyDescent="0.25">
      <c r="B2249" t="s">
        <v>867</v>
      </c>
      <c r="C2249" t="s">
        <v>68</v>
      </c>
      <c r="D2249" t="s">
        <v>891</v>
      </c>
      <c r="E2249" t="s">
        <v>279</v>
      </c>
      <c r="F2249" t="s">
        <v>185</v>
      </c>
      <c r="H2249">
        <v>0</v>
      </c>
      <c r="I2249">
        <v>0</v>
      </c>
      <c r="J2249">
        <v>2903.8</v>
      </c>
      <c r="M2249" s="7"/>
    </row>
    <row r="2250" spans="2:13" customFormat="1" x14ac:dyDescent="0.25">
      <c r="B2250" t="s">
        <v>867</v>
      </c>
      <c r="C2250" t="s">
        <v>594</v>
      </c>
      <c r="D2250" t="s">
        <v>891</v>
      </c>
      <c r="E2250" t="s">
        <v>595</v>
      </c>
      <c r="F2250" t="s">
        <v>596</v>
      </c>
      <c r="H2250">
        <v>0</v>
      </c>
      <c r="I2250">
        <v>400</v>
      </c>
      <c r="J2250">
        <v>400</v>
      </c>
      <c r="M2250" s="7"/>
    </row>
    <row r="2251" spans="2:13" customFormat="1" x14ac:dyDescent="0.25">
      <c r="B2251" t="s">
        <v>867</v>
      </c>
      <c r="C2251" t="s">
        <v>395</v>
      </c>
      <c r="D2251" t="s">
        <v>891</v>
      </c>
      <c r="E2251" t="s">
        <v>396</v>
      </c>
      <c r="F2251" t="s">
        <v>397</v>
      </c>
      <c r="H2251">
        <v>0</v>
      </c>
      <c r="I2251">
        <v>0</v>
      </c>
      <c r="J2251">
        <v>907.5</v>
      </c>
      <c r="M2251" s="7"/>
    </row>
    <row r="2252" spans="2:13" customFormat="1" x14ac:dyDescent="0.25">
      <c r="B2252" t="s">
        <v>867</v>
      </c>
      <c r="C2252" t="s">
        <v>104</v>
      </c>
      <c r="D2252" t="s">
        <v>891</v>
      </c>
      <c r="E2252" t="s">
        <v>280</v>
      </c>
      <c r="F2252" t="s">
        <v>186</v>
      </c>
      <c r="H2252">
        <v>0</v>
      </c>
      <c r="I2252">
        <v>0</v>
      </c>
      <c r="J2252">
        <v>11000</v>
      </c>
      <c r="M2252" s="7"/>
    </row>
    <row r="2253" spans="2:13" customFormat="1" x14ac:dyDescent="0.25">
      <c r="B2253" t="s">
        <v>867</v>
      </c>
      <c r="C2253" t="s">
        <v>105</v>
      </c>
      <c r="D2253" t="s">
        <v>891</v>
      </c>
      <c r="E2253" t="s">
        <v>281</v>
      </c>
      <c r="F2253" t="s">
        <v>187</v>
      </c>
      <c r="H2253">
        <v>0</v>
      </c>
      <c r="I2253">
        <v>0</v>
      </c>
      <c r="J2253">
        <v>3656.65</v>
      </c>
      <c r="M2253" s="7"/>
    </row>
    <row r="2254" spans="2:13" customFormat="1" x14ac:dyDescent="0.25">
      <c r="B2254" t="s">
        <v>867</v>
      </c>
      <c r="C2254" t="s">
        <v>106</v>
      </c>
      <c r="D2254" t="s">
        <v>891</v>
      </c>
      <c r="E2254" t="s">
        <v>282</v>
      </c>
      <c r="F2254" t="s">
        <v>188</v>
      </c>
      <c r="H2254">
        <v>0</v>
      </c>
      <c r="I2254">
        <v>0</v>
      </c>
      <c r="J2254">
        <v>920.62</v>
      </c>
      <c r="M2254" s="7"/>
    </row>
    <row r="2255" spans="2:13" customFormat="1" x14ac:dyDescent="0.25">
      <c r="B2255" t="s">
        <v>867</v>
      </c>
      <c r="C2255" t="s">
        <v>107</v>
      </c>
      <c r="D2255" t="s">
        <v>891</v>
      </c>
      <c r="E2255" t="s">
        <v>283</v>
      </c>
      <c r="F2255" t="s">
        <v>189</v>
      </c>
      <c r="H2255">
        <v>0</v>
      </c>
      <c r="I2255">
        <v>0</v>
      </c>
      <c r="J2255">
        <v>22162.18</v>
      </c>
      <c r="M2255" s="7"/>
    </row>
    <row r="2256" spans="2:13" customFormat="1" x14ac:dyDescent="0.25">
      <c r="B2256" t="s">
        <v>867</v>
      </c>
      <c r="C2256" t="s">
        <v>359</v>
      </c>
      <c r="D2256" t="s">
        <v>891</v>
      </c>
      <c r="E2256" t="s">
        <v>360</v>
      </c>
      <c r="F2256" t="s">
        <v>361</v>
      </c>
      <c r="H2256">
        <v>0</v>
      </c>
      <c r="I2256">
        <v>0</v>
      </c>
      <c r="J2256">
        <v>3771.78</v>
      </c>
      <c r="M2256" s="7"/>
    </row>
    <row r="2257" spans="2:13" customFormat="1" x14ac:dyDescent="0.25">
      <c r="B2257" t="s">
        <v>867</v>
      </c>
      <c r="C2257" t="s">
        <v>69</v>
      </c>
      <c r="D2257" t="s">
        <v>891</v>
      </c>
      <c r="E2257" t="s">
        <v>284</v>
      </c>
      <c r="F2257" t="s">
        <v>190</v>
      </c>
      <c r="H2257">
        <v>0</v>
      </c>
      <c r="I2257">
        <v>197.5</v>
      </c>
      <c r="J2257">
        <v>197.5</v>
      </c>
      <c r="M2257" s="7"/>
    </row>
    <row r="2258" spans="2:13" customFormat="1" x14ac:dyDescent="0.25">
      <c r="B2258" t="s">
        <v>867</v>
      </c>
      <c r="C2258" t="s">
        <v>70</v>
      </c>
      <c r="D2258" t="s">
        <v>891</v>
      </c>
      <c r="E2258" t="s">
        <v>286</v>
      </c>
      <c r="F2258" t="s">
        <v>192</v>
      </c>
      <c r="H2258">
        <v>647.02</v>
      </c>
      <c r="I2258">
        <v>6994.83</v>
      </c>
      <c r="J2258">
        <v>6504.16</v>
      </c>
      <c r="M2258" s="7"/>
    </row>
    <row r="2259" spans="2:13" customFormat="1" x14ac:dyDescent="0.25">
      <c r="B2259" t="s">
        <v>867</v>
      </c>
      <c r="C2259" t="s">
        <v>597</v>
      </c>
      <c r="D2259" t="s">
        <v>891</v>
      </c>
      <c r="E2259" t="s">
        <v>598</v>
      </c>
      <c r="F2259" t="s">
        <v>599</v>
      </c>
      <c r="H2259">
        <v>0</v>
      </c>
      <c r="I2259">
        <v>0</v>
      </c>
      <c r="J2259">
        <v>200</v>
      </c>
      <c r="M2259" s="7"/>
    </row>
    <row r="2260" spans="2:13" customFormat="1" x14ac:dyDescent="0.25">
      <c r="B2260" t="s">
        <v>867</v>
      </c>
      <c r="C2260" t="s">
        <v>109</v>
      </c>
      <c r="D2260" t="s">
        <v>891</v>
      </c>
      <c r="E2260" t="s">
        <v>287</v>
      </c>
      <c r="F2260" t="s">
        <v>193</v>
      </c>
      <c r="H2260">
        <v>0</v>
      </c>
      <c r="I2260">
        <v>3835.87</v>
      </c>
      <c r="J2260">
        <v>10853.22</v>
      </c>
      <c r="M2260" s="7"/>
    </row>
    <row r="2261" spans="2:13" customFormat="1" x14ac:dyDescent="0.25">
      <c r="B2261" t="s">
        <v>867</v>
      </c>
      <c r="C2261" t="s">
        <v>110</v>
      </c>
      <c r="D2261" t="s">
        <v>891</v>
      </c>
      <c r="E2261" t="s">
        <v>288</v>
      </c>
      <c r="F2261" t="s">
        <v>194</v>
      </c>
      <c r="H2261">
        <v>0</v>
      </c>
      <c r="I2261">
        <v>0</v>
      </c>
      <c r="J2261">
        <v>1830</v>
      </c>
      <c r="M2261" s="7"/>
    </row>
    <row r="2262" spans="2:13" customFormat="1" x14ac:dyDescent="0.25">
      <c r="B2262" t="s">
        <v>867</v>
      </c>
      <c r="C2262" t="s">
        <v>437</v>
      </c>
      <c r="D2262" t="s">
        <v>891</v>
      </c>
      <c r="E2262" t="s">
        <v>438</v>
      </c>
      <c r="F2262" t="s">
        <v>439</v>
      </c>
      <c r="H2262">
        <v>0</v>
      </c>
      <c r="I2262">
        <v>0</v>
      </c>
      <c r="J2262">
        <v>89.74</v>
      </c>
      <c r="M2262" s="7"/>
    </row>
    <row r="2263" spans="2:13" customFormat="1" x14ac:dyDescent="0.25">
      <c r="B2263" t="s">
        <v>867</v>
      </c>
      <c r="C2263" t="s">
        <v>203</v>
      </c>
      <c r="D2263" t="s">
        <v>891</v>
      </c>
      <c r="E2263" t="s">
        <v>297</v>
      </c>
      <c r="F2263" t="s">
        <v>204</v>
      </c>
      <c r="H2263">
        <v>1113.33</v>
      </c>
      <c r="I2263">
        <v>0</v>
      </c>
      <c r="J2263">
        <v>724.73</v>
      </c>
      <c r="M2263" s="7"/>
    </row>
    <row r="2264" spans="2:13" customFormat="1" x14ac:dyDescent="0.25">
      <c r="B2264" t="s">
        <v>867</v>
      </c>
      <c r="C2264" t="s">
        <v>398</v>
      </c>
      <c r="D2264" t="s">
        <v>891</v>
      </c>
      <c r="E2264" t="s">
        <v>399</v>
      </c>
      <c r="F2264" t="s">
        <v>400</v>
      </c>
      <c r="H2264">
        <v>0</v>
      </c>
      <c r="I2264">
        <v>0</v>
      </c>
      <c r="J2264">
        <v>66363.899999999994</v>
      </c>
      <c r="M2264" s="7"/>
    </row>
    <row r="2265" spans="2:13" customFormat="1" x14ac:dyDescent="0.25">
      <c r="B2265" t="s">
        <v>867</v>
      </c>
      <c r="C2265" t="s">
        <v>443</v>
      </c>
      <c r="D2265" t="s">
        <v>891</v>
      </c>
      <c r="E2265" t="s">
        <v>444</v>
      </c>
      <c r="F2265" t="s">
        <v>445</v>
      </c>
      <c r="H2265">
        <v>0</v>
      </c>
      <c r="I2265">
        <v>0</v>
      </c>
      <c r="J2265">
        <v>54999.96</v>
      </c>
      <c r="M2265" s="7"/>
    </row>
    <row r="2266" spans="2:13" customFormat="1" x14ac:dyDescent="0.25">
      <c r="B2266" t="s">
        <v>867</v>
      </c>
      <c r="C2266" t="s">
        <v>401</v>
      </c>
      <c r="D2266" t="s">
        <v>891</v>
      </c>
      <c r="E2266" t="s">
        <v>402</v>
      </c>
      <c r="F2266" t="s">
        <v>403</v>
      </c>
      <c r="H2266">
        <v>0</v>
      </c>
      <c r="I2266">
        <v>0</v>
      </c>
      <c r="J2266">
        <v>1266.52</v>
      </c>
      <c r="M2266" s="7"/>
    </row>
    <row r="2267" spans="2:13" customFormat="1" x14ac:dyDescent="0.25">
      <c r="B2267" t="s">
        <v>867</v>
      </c>
      <c r="C2267" t="s">
        <v>566</v>
      </c>
      <c r="D2267" t="s">
        <v>891</v>
      </c>
      <c r="E2267" t="s">
        <v>567</v>
      </c>
      <c r="F2267" t="s">
        <v>568</v>
      </c>
      <c r="H2267">
        <v>0</v>
      </c>
      <c r="I2267">
        <v>950</v>
      </c>
      <c r="J2267">
        <v>950</v>
      </c>
      <c r="M2267" s="7"/>
    </row>
    <row r="2268" spans="2:13" customFormat="1" x14ac:dyDescent="0.25">
      <c r="B2268" t="s">
        <v>867</v>
      </c>
      <c r="C2268" t="s">
        <v>446</v>
      </c>
      <c r="D2268" t="s">
        <v>891</v>
      </c>
      <c r="E2268" t="s">
        <v>447</v>
      </c>
      <c r="F2268" t="s">
        <v>448</v>
      </c>
      <c r="H2268">
        <v>0</v>
      </c>
      <c r="I2268">
        <v>0</v>
      </c>
      <c r="J2268">
        <v>812</v>
      </c>
      <c r="M2268" s="7"/>
    </row>
    <row r="2269" spans="2:13" customFormat="1" x14ac:dyDescent="0.25">
      <c r="B2269" t="s">
        <v>867</v>
      </c>
      <c r="C2269" t="s">
        <v>404</v>
      </c>
      <c r="D2269" t="s">
        <v>891</v>
      </c>
      <c r="E2269" t="s">
        <v>405</v>
      </c>
      <c r="F2269" t="s">
        <v>406</v>
      </c>
      <c r="H2269">
        <v>0</v>
      </c>
      <c r="I2269">
        <v>0</v>
      </c>
      <c r="J2269">
        <v>-18.32</v>
      </c>
      <c r="M2269" s="7"/>
    </row>
    <row r="2270" spans="2:13" customFormat="1" x14ac:dyDescent="0.25">
      <c r="B2270" t="s">
        <v>867</v>
      </c>
      <c r="C2270" t="s">
        <v>407</v>
      </c>
      <c r="D2270" t="s">
        <v>891</v>
      </c>
      <c r="E2270" t="s">
        <v>408</v>
      </c>
      <c r="F2270" t="s">
        <v>409</v>
      </c>
      <c r="H2270">
        <v>0</v>
      </c>
      <c r="I2270">
        <v>0</v>
      </c>
      <c r="J2270">
        <v>2780</v>
      </c>
      <c r="M2270" s="7"/>
    </row>
    <row r="2271" spans="2:13" customFormat="1" x14ac:dyDescent="0.25">
      <c r="B2271" t="s">
        <v>867</v>
      </c>
      <c r="C2271" t="s">
        <v>71</v>
      </c>
      <c r="D2271" t="s">
        <v>891</v>
      </c>
      <c r="E2271" t="s">
        <v>291</v>
      </c>
      <c r="F2271" t="s">
        <v>197</v>
      </c>
      <c r="H2271">
        <v>0</v>
      </c>
      <c r="I2271">
        <v>120</v>
      </c>
      <c r="J2271">
        <v>1396.2</v>
      </c>
      <c r="M2271" s="7"/>
    </row>
    <row r="2272" spans="2:13" customFormat="1" x14ac:dyDescent="0.25">
      <c r="B2272" t="s">
        <v>867</v>
      </c>
      <c r="C2272" t="s">
        <v>72</v>
      </c>
      <c r="D2272" t="s">
        <v>891</v>
      </c>
      <c r="E2272" t="s">
        <v>292</v>
      </c>
      <c r="F2272" t="s">
        <v>198</v>
      </c>
      <c r="H2272">
        <v>0</v>
      </c>
      <c r="I2272">
        <v>39.08</v>
      </c>
      <c r="J2272">
        <v>1390.19</v>
      </c>
      <c r="M2272" s="7"/>
    </row>
    <row r="2273" spans="2:13" customFormat="1" x14ac:dyDescent="0.25">
      <c r="B2273" t="s">
        <v>867</v>
      </c>
      <c r="C2273" t="s">
        <v>73</v>
      </c>
      <c r="D2273" t="s">
        <v>891</v>
      </c>
      <c r="E2273" t="s">
        <v>293</v>
      </c>
      <c r="F2273" t="s">
        <v>199</v>
      </c>
      <c r="H2273">
        <v>0</v>
      </c>
      <c r="I2273">
        <v>255000</v>
      </c>
      <c r="J2273">
        <v>512976.53</v>
      </c>
      <c r="M2273" s="7"/>
    </row>
    <row r="2274" spans="2:13" customFormat="1" x14ac:dyDescent="0.25">
      <c r="B2274" t="s">
        <v>867</v>
      </c>
      <c r="C2274" t="s">
        <v>74</v>
      </c>
      <c r="D2274" t="s">
        <v>891</v>
      </c>
      <c r="E2274" t="s">
        <v>294</v>
      </c>
      <c r="F2274" t="s">
        <v>200</v>
      </c>
      <c r="H2274">
        <v>0</v>
      </c>
      <c r="I2274">
        <v>1.72</v>
      </c>
      <c r="J2274">
        <v>16858.78</v>
      </c>
      <c r="M2274" s="7"/>
    </row>
    <row r="2275" spans="2:13" customFormat="1" x14ac:dyDescent="0.25">
      <c r="B2275" t="s">
        <v>600</v>
      </c>
      <c r="C2275" t="s">
        <v>26</v>
      </c>
      <c r="D2275" t="s">
        <v>891</v>
      </c>
      <c r="E2275" t="s">
        <v>211</v>
      </c>
      <c r="F2275" t="s">
        <v>116</v>
      </c>
      <c r="H2275">
        <v>154325.71</v>
      </c>
      <c r="I2275">
        <v>154325.71</v>
      </c>
      <c r="J2275">
        <v>0</v>
      </c>
      <c r="M2275" s="7"/>
    </row>
    <row r="2276" spans="2:13" customFormat="1" x14ac:dyDescent="0.25">
      <c r="B2276" t="s">
        <v>600</v>
      </c>
      <c r="C2276" t="s">
        <v>27</v>
      </c>
      <c r="D2276" t="s">
        <v>891</v>
      </c>
      <c r="E2276" t="s">
        <v>212</v>
      </c>
      <c r="F2276" t="s">
        <v>117</v>
      </c>
      <c r="H2276">
        <v>3904.47</v>
      </c>
      <c r="I2276">
        <v>2766.03</v>
      </c>
      <c r="J2276">
        <v>14852.64</v>
      </c>
      <c r="M2276" s="7"/>
    </row>
    <row r="2277" spans="2:13" customFormat="1" x14ac:dyDescent="0.25">
      <c r="B2277" t="s">
        <v>600</v>
      </c>
      <c r="C2277" t="s">
        <v>28</v>
      </c>
      <c r="D2277" t="s">
        <v>891</v>
      </c>
      <c r="E2277" t="s">
        <v>213</v>
      </c>
      <c r="F2277" t="s">
        <v>118</v>
      </c>
      <c r="H2277">
        <v>144727.29999999999</v>
      </c>
      <c r="I2277">
        <v>147654.85999999999</v>
      </c>
      <c r="J2277">
        <v>1095.0999999999999</v>
      </c>
      <c r="M2277" s="7"/>
    </row>
    <row r="2278" spans="2:13" customFormat="1" x14ac:dyDescent="0.25">
      <c r="B2278" t="s">
        <v>600</v>
      </c>
      <c r="C2278" t="s">
        <v>410</v>
      </c>
      <c r="D2278" t="s">
        <v>891</v>
      </c>
      <c r="E2278" t="s">
        <v>411</v>
      </c>
      <c r="F2278" t="s">
        <v>412</v>
      </c>
      <c r="H2278">
        <v>160045.31</v>
      </c>
      <c r="I2278">
        <v>154328.71</v>
      </c>
      <c r="J2278">
        <v>17165.439999999999</v>
      </c>
      <c r="M2278" s="7"/>
    </row>
    <row r="2279" spans="2:13" customFormat="1" x14ac:dyDescent="0.25">
      <c r="B2279" t="s">
        <v>600</v>
      </c>
      <c r="C2279" t="s">
        <v>30</v>
      </c>
      <c r="D2279" t="s">
        <v>891</v>
      </c>
      <c r="E2279" t="s">
        <v>215</v>
      </c>
      <c r="F2279" t="s">
        <v>120</v>
      </c>
      <c r="H2279">
        <v>694722.83</v>
      </c>
      <c r="I2279">
        <v>786928.26</v>
      </c>
      <c r="J2279">
        <v>478759.49</v>
      </c>
      <c r="M2279" s="7"/>
    </row>
    <row r="2280" spans="2:13" customFormat="1" x14ac:dyDescent="0.25">
      <c r="B2280" t="s">
        <v>600</v>
      </c>
      <c r="C2280" t="s">
        <v>81</v>
      </c>
      <c r="D2280" t="s">
        <v>891</v>
      </c>
      <c r="E2280" t="s">
        <v>216</v>
      </c>
      <c r="F2280" t="s">
        <v>121</v>
      </c>
      <c r="H2280">
        <v>60090</v>
      </c>
      <c r="I2280">
        <v>23400.69</v>
      </c>
      <c r="J2280">
        <v>29783.88</v>
      </c>
      <c r="M2280" s="7"/>
    </row>
    <row r="2281" spans="2:13" customFormat="1" x14ac:dyDescent="0.25">
      <c r="B2281" t="s">
        <v>600</v>
      </c>
      <c r="C2281" t="s">
        <v>31</v>
      </c>
      <c r="D2281" t="s">
        <v>891</v>
      </c>
      <c r="E2281" t="s">
        <v>217</v>
      </c>
      <c r="F2281" t="s">
        <v>122</v>
      </c>
      <c r="H2281">
        <v>752856.08</v>
      </c>
      <c r="I2281">
        <v>752856.08</v>
      </c>
      <c r="J2281">
        <v>0</v>
      </c>
      <c r="M2281" s="7"/>
    </row>
    <row r="2282" spans="2:13" customFormat="1" x14ac:dyDescent="0.25">
      <c r="B2282" t="s">
        <v>600</v>
      </c>
      <c r="C2282" t="s">
        <v>32</v>
      </c>
      <c r="D2282" t="s">
        <v>891</v>
      </c>
      <c r="E2282" t="s">
        <v>218</v>
      </c>
      <c r="F2282" t="s">
        <v>123</v>
      </c>
      <c r="H2282">
        <v>21649.5</v>
      </c>
      <c r="I2282">
        <v>13000</v>
      </c>
      <c r="J2282">
        <v>30927</v>
      </c>
      <c r="M2282" s="7"/>
    </row>
    <row r="2283" spans="2:13" customFormat="1" x14ac:dyDescent="0.25">
      <c r="B2283" t="s">
        <v>600</v>
      </c>
      <c r="C2283" t="s">
        <v>33</v>
      </c>
      <c r="D2283" t="s">
        <v>891</v>
      </c>
      <c r="E2283" t="s">
        <v>219</v>
      </c>
      <c r="F2283" t="s">
        <v>124</v>
      </c>
      <c r="H2283">
        <v>247771.44</v>
      </c>
      <c r="I2283">
        <v>261277.78</v>
      </c>
      <c r="J2283">
        <v>114676.47</v>
      </c>
      <c r="M2283" s="7"/>
    </row>
    <row r="2284" spans="2:13" customFormat="1" x14ac:dyDescent="0.25">
      <c r="B2284" t="s">
        <v>600</v>
      </c>
      <c r="C2284" t="s">
        <v>34</v>
      </c>
      <c r="D2284" t="s">
        <v>891</v>
      </c>
      <c r="E2284" t="s">
        <v>220</v>
      </c>
      <c r="F2284" t="s">
        <v>125</v>
      </c>
      <c r="H2284">
        <v>159307.5</v>
      </c>
      <c r="I2284">
        <v>161043.49</v>
      </c>
      <c r="J2284">
        <v>165676.39000000001</v>
      </c>
      <c r="M2284" s="7"/>
    </row>
    <row r="2285" spans="2:13" customFormat="1" x14ac:dyDescent="0.25">
      <c r="B2285" t="s">
        <v>600</v>
      </c>
      <c r="C2285" t="s">
        <v>205</v>
      </c>
      <c r="D2285" t="s">
        <v>891</v>
      </c>
      <c r="E2285" t="s">
        <v>298</v>
      </c>
      <c r="F2285" t="s">
        <v>206</v>
      </c>
      <c r="H2285">
        <v>25057.37</v>
      </c>
      <c r="I2285">
        <v>26283.25</v>
      </c>
      <c r="J2285">
        <v>26987.91</v>
      </c>
      <c r="M2285" s="7"/>
    </row>
    <row r="2286" spans="2:13" customFormat="1" x14ac:dyDescent="0.25">
      <c r="B2286" t="s">
        <v>600</v>
      </c>
      <c r="C2286" t="s">
        <v>301</v>
      </c>
      <c r="D2286" t="s">
        <v>891</v>
      </c>
      <c r="E2286" t="s">
        <v>302</v>
      </c>
      <c r="F2286" t="s">
        <v>303</v>
      </c>
      <c r="H2286">
        <v>6942.42</v>
      </c>
      <c r="I2286">
        <v>6942.42</v>
      </c>
      <c r="J2286">
        <v>0</v>
      </c>
      <c r="M2286" s="7"/>
    </row>
    <row r="2287" spans="2:13" customFormat="1" x14ac:dyDescent="0.25">
      <c r="B2287" t="s">
        <v>600</v>
      </c>
      <c r="C2287" t="s">
        <v>35</v>
      </c>
      <c r="D2287" t="s">
        <v>891</v>
      </c>
      <c r="E2287" t="s">
        <v>221</v>
      </c>
      <c r="F2287" t="s">
        <v>127</v>
      </c>
      <c r="H2287">
        <v>29.71</v>
      </c>
      <c r="I2287">
        <v>547.02</v>
      </c>
      <c r="J2287">
        <v>331.42</v>
      </c>
      <c r="M2287" s="7"/>
    </row>
    <row r="2288" spans="2:13" customFormat="1" x14ac:dyDescent="0.25">
      <c r="B2288" t="s">
        <v>600</v>
      </c>
      <c r="C2288" t="s">
        <v>36</v>
      </c>
      <c r="D2288" t="s">
        <v>891</v>
      </c>
      <c r="E2288" t="s">
        <v>222</v>
      </c>
      <c r="F2288" t="s">
        <v>128</v>
      </c>
      <c r="H2288">
        <v>134.86000000000001</v>
      </c>
      <c r="I2288">
        <v>320.98</v>
      </c>
      <c r="J2288">
        <v>6547.98</v>
      </c>
      <c r="M2288" s="7"/>
    </row>
    <row r="2289" spans="2:13" customFormat="1" x14ac:dyDescent="0.25">
      <c r="B2289" t="s">
        <v>600</v>
      </c>
      <c r="C2289" t="s">
        <v>37</v>
      </c>
      <c r="D2289" t="s">
        <v>891</v>
      </c>
      <c r="E2289" t="s">
        <v>223</v>
      </c>
      <c r="F2289" t="s">
        <v>129</v>
      </c>
      <c r="H2289">
        <v>621.17999999999995</v>
      </c>
      <c r="I2289">
        <v>1478.43</v>
      </c>
      <c r="J2289">
        <v>30160.39</v>
      </c>
      <c r="M2289" s="7"/>
    </row>
    <row r="2290" spans="2:13" customFormat="1" x14ac:dyDescent="0.25">
      <c r="B2290" t="s">
        <v>600</v>
      </c>
      <c r="C2290" t="s">
        <v>413</v>
      </c>
      <c r="D2290" t="s">
        <v>891</v>
      </c>
      <c r="E2290" t="s">
        <v>414</v>
      </c>
      <c r="F2290" t="s">
        <v>415</v>
      </c>
      <c r="H2290">
        <v>0</v>
      </c>
      <c r="I2290">
        <v>0</v>
      </c>
      <c r="J2290">
        <v>8.5</v>
      </c>
      <c r="M2290" s="7"/>
    </row>
    <row r="2291" spans="2:13" customFormat="1" x14ac:dyDescent="0.25">
      <c r="B2291" t="s">
        <v>600</v>
      </c>
      <c r="C2291" t="s">
        <v>304</v>
      </c>
      <c r="D2291" t="s">
        <v>891</v>
      </c>
      <c r="E2291" t="s">
        <v>305</v>
      </c>
      <c r="F2291" t="s">
        <v>306</v>
      </c>
      <c r="H2291">
        <v>676857.87</v>
      </c>
      <c r="I2291">
        <v>656944</v>
      </c>
      <c r="J2291">
        <v>126119.78</v>
      </c>
      <c r="M2291" s="7"/>
    </row>
    <row r="2292" spans="2:13" customFormat="1" x14ac:dyDescent="0.25">
      <c r="B2292" t="s">
        <v>600</v>
      </c>
      <c r="C2292" t="s">
        <v>38</v>
      </c>
      <c r="D2292" t="s">
        <v>891</v>
      </c>
      <c r="E2292" t="s">
        <v>224</v>
      </c>
      <c r="F2292" t="s">
        <v>130</v>
      </c>
      <c r="H2292">
        <v>0</v>
      </c>
      <c r="I2292">
        <v>0</v>
      </c>
      <c r="J2292">
        <v>5329.91</v>
      </c>
      <c r="M2292" s="7"/>
    </row>
    <row r="2293" spans="2:13" customFormat="1" x14ac:dyDescent="0.25">
      <c r="B2293" t="s">
        <v>600</v>
      </c>
      <c r="C2293" t="s">
        <v>39</v>
      </c>
      <c r="D2293" t="s">
        <v>891</v>
      </c>
      <c r="E2293" t="s">
        <v>225</v>
      </c>
      <c r="F2293" t="s">
        <v>131</v>
      </c>
      <c r="H2293">
        <v>6823.43</v>
      </c>
      <c r="I2293">
        <v>9744.99</v>
      </c>
      <c r="J2293">
        <v>34562.1</v>
      </c>
      <c r="M2293" s="7"/>
    </row>
    <row r="2294" spans="2:13" customFormat="1" x14ac:dyDescent="0.25">
      <c r="B2294" t="s">
        <v>600</v>
      </c>
      <c r="C2294" t="s">
        <v>82</v>
      </c>
      <c r="D2294" t="s">
        <v>891</v>
      </c>
      <c r="E2294" t="s">
        <v>226</v>
      </c>
      <c r="F2294" t="s">
        <v>132</v>
      </c>
      <c r="H2294">
        <v>0</v>
      </c>
      <c r="I2294">
        <v>0</v>
      </c>
      <c r="J2294">
        <v>-10510</v>
      </c>
      <c r="M2294" s="7"/>
    </row>
    <row r="2295" spans="2:13" customFormat="1" x14ac:dyDescent="0.25">
      <c r="B2295" t="s">
        <v>600</v>
      </c>
      <c r="C2295" t="s">
        <v>452</v>
      </c>
      <c r="D2295" t="s">
        <v>891</v>
      </c>
      <c r="E2295" t="s">
        <v>453</v>
      </c>
      <c r="F2295" t="s">
        <v>454</v>
      </c>
      <c r="H2295">
        <v>0</v>
      </c>
      <c r="I2295">
        <v>0</v>
      </c>
      <c r="J2295">
        <v>24307.53</v>
      </c>
      <c r="M2295" s="7"/>
    </row>
    <row r="2296" spans="2:13" customFormat="1" x14ac:dyDescent="0.25">
      <c r="B2296" t="s">
        <v>600</v>
      </c>
      <c r="C2296" t="s">
        <v>455</v>
      </c>
      <c r="D2296" t="s">
        <v>891</v>
      </c>
      <c r="E2296" t="s">
        <v>456</v>
      </c>
      <c r="F2296" t="s">
        <v>457</v>
      </c>
      <c r="H2296">
        <v>0</v>
      </c>
      <c r="I2296">
        <v>0</v>
      </c>
      <c r="J2296">
        <v>8469.16</v>
      </c>
      <c r="M2296" s="7"/>
    </row>
    <row r="2297" spans="2:13" customFormat="1" x14ac:dyDescent="0.25">
      <c r="B2297" t="s">
        <v>600</v>
      </c>
      <c r="C2297" t="s">
        <v>416</v>
      </c>
      <c r="D2297" t="s">
        <v>891</v>
      </c>
      <c r="E2297" t="s">
        <v>417</v>
      </c>
      <c r="F2297" t="s">
        <v>418</v>
      </c>
      <c r="H2297">
        <v>0</v>
      </c>
      <c r="I2297">
        <v>0</v>
      </c>
      <c r="J2297">
        <v>38969.519999999997</v>
      </c>
      <c r="M2297" s="7"/>
    </row>
    <row r="2298" spans="2:13" customFormat="1" x14ac:dyDescent="0.25">
      <c r="B2298" t="s">
        <v>600</v>
      </c>
      <c r="C2298" t="s">
        <v>458</v>
      </c>
      <c r="D2298" t="s">
        <v>891</v>
      </c>
      <c r="E2298" t="s">
        <v>459</v>
      </c>
      <c r="F2298" t="s">
        <v>460</v>
      </c>
      <c r="H2298">
        <v>0</v>
      </c>
      <c r="I2298">
        <v>0</v>
      </c>
      <c r="J2298">
        <v>42438.57</v>
      </c>
      <c r="M2298" s="7"/>
    </row>
    <row r="2299" spans="2:13" customFormat="1" x14ac:dyDescent="0.25">
      <c r="B2299" t="s">
        <v>600</v>
      </c>
      <c r="C2299" t="s">
        <v>515</v>
      </c>
      <c r="D2299" t="s">
        <v>891</v>
      </c>
      <c r="E2299" t="s">
        <v>516</v>
      </c>
      <c r="F2299" t="s">
        <v>517</v>
      </c>
      <c r="H2299">
        <v>0</v>
      </c>
      <c r="I2299">
        <v>0</v>
      </c>
      <c r="J2299">
        <v>580</v>
      </c>
      <c r="M2299" s="7"/>
    </row>
    <row r="2300" spans="2:13" customFormat="1" x14ac:dyDescent="0.25">
      <c r="B2300" t="s">
        <v>600</v>
      </c>
      <c r="C2300" t="s">
        <v>461</v>
      </c>
      <c r="D2300" t="s">
        <v>891</v>
      </c>
      <c r="E2300" t="s">
        <v>462</v>
      </c>
      <c r="F2300" t="s">
        <v>463</v>
      </c>
      <c r="H2300">
        <v>0</v>
      </c>
      <c r="I2300">
        <v>0</v>
      </c>
      <c r="J2300">
        <v>467</v>
      </c>
      <c r="M2300" s="7"/>
    </row>
    <row r="2301" spans="2:13" customFormat="1" x14ac:dyDescent="0.25">
      <c r="B2301" t="s">
        <v>600</v>
      </c>
      <c r="C2301" t="s">
        <v>470</v>
      </c>
      <c r="D2301" t="s">
        <v>891</v>
      </c>
      <c r="E2301" t="s">
        <v>471</v>
      </c>
      <c r="F2301" t="s">
        <v>472</v>
      </c>
      <c r="H2301">
        <v>70.58</v>
      </c>
      <c r="I2301">
        <v>0</v>
      </c>
      <c r="J2301">
        <v>-5234.68</v>
      </c>
      <c r="M2301" s="7"/>
    </row>
    <row r="2302" spans="2:13" customFormat="1" x14ac:dyDescent="0.25">
      <c r="B2302" t="s">
        <v>600</v>
      </c>
      <c r="C2302" t="s">
        <v>419</v>
      </c>
      <c r="D2302" t="s">
        <v>891</v>
      </c>
      <c r="E2302" t="s">
        <v>420</v>
      </c>
      <c r="F2302" t="s">
        <v>421</v>
      </c>
      <c r="H2302">
        <v>324.75</v>
      </c>
      <c r="I2302">
        <v>0</v>
      </c>
      <c r="J2302">
        <v>-17457.099999999999</v>
      </c>
      <c r="M2302" s="7"/>
    </row>
    <row r="2303" spans="2:13" customFormat="1" x14ac:dyDescent="0.25">
      <c r="B2303" t="s">
        <v>600</v>
      </c>
      <c r="C2303" t="s">
        <v>473</v>
      </c>
      <c r="D2303" t="s">
        <v>891</v>
      </c>
      <c r="E2303" t="s">
        <v>474</v>
      </c>
      <c r="F2303" t="s">
        <v>475</v>
      </c>
      <c r="H2303">
        <v>707.31</v>
      </c>
      <c r="I2303">
        <v>0</v>
      </c>
      <c r="J2303">
        <v>-31106.98</v>
      </c>
      <c r="M2303" s="7"/>
    </row>
    <row r="2304" spans="2:13" customFormat="1" x14ac:dyDescent="0.25">
      <c r="B2304" t="s">
        <v>600</v>
      </c>
      <c r="C2304" t="s">
        <v>518</v>
      </c>
      <c r="D2304" t="s">
        <v>891</v>
      </c>
      <c r="E2304" t="s">
        <v>519</v>
      </c>
      <c r="F2304" t="s">
        <v>520</v>
      </c>
      <c r="H2304">
        <v>4.83</v>
      </c>
      <c r="I2304">
        <v>0</v>
      </c>
      <c r="J2304">
        <v>-91.77</v>
      </c>
      <c r="M2304" s="7"/>
    </row>
    <row r="2305" spans="2:13" customFormat="1" x14ac:dyDescent="0.25">
      <c r="B2305" t="s">
        <v>600</v>
      </c>
      <c r="C2305" t="s">
        <v>476</v>
      </c>
      <c r="D2305" t="s">
        <v>891</v>
      </c>
      <c r="E2305" t="s">
        <v>477</v>
      </c>
      <c r="F2305" t="s">
        <v>478</v>
      </c>
      <c r="H2305">
        <v>3.89</v>
      </c>
      <c r="I2305">
        <v>0</v>
      </c>
      <c r="J2305">
        <v>-116.7</v>
      </c>
      <c r="M2305" s="7"/>
    </row>
    <row r="2306" spans="2:13" customFormat="1" x14ac:dyDescent="0.25">
      <c r="B2306" t="s">
        <v>600</v>
      </c>
      <c r="C2306" t="s">
        <v>40</v>
      </c>
      <c r="D2306" t="s">
        <v>891</v>
      </c>
      <c r="E2306" t="s">
        <v>227</v>
      </c>
      <c r="F2306" t="s">
        <v>133</v>
      </c>
      <c r="H2306">
        <v>23209.94</v>
      </c>
      <c r="I2306">
        <v>15742.65</v>
      </c>
      <c r="J2306">
        <v>-13072.57</v>
      </c>
      <c r="M2306" s="7"/>
    </row>
    <row r="2307" spans="2:13" customFormat="1" x14ac:dyDescent="0.25">
      <c r="B2307" t="s">
        <v>600</v>
      </c>
      <c r="C2307" t="s">
        <v>113</v>
      </c>
      <c r="D2307" t="s">
        <v>891</v>
      </c>
      <c r="E2307" t="s">
        <v>229</v>
      </c>
      <c r="F2307" t="s">
        <v>135</v>
      </c>
      <c r="H2307">
        <v>656944</v>
      </c>
      <c r="I2307">
        <v>629724.5</v>
      </c>
      <c r="J2307">
        <v>-164754.85999999999</v>
      </c>
      <c r="M2307" s="7"/>
    </row>
    <row r="2308" spans="2:13" customFormat="1" x14ac:dyDescent="0.25">
      <c r="B2308" t="s">
        <v>600</v>
      </c>
      <c r="C2308" t="s">
        <v>84</v>
      </c>
      <c r="D2308" t="s">
        <v>891</v>
      </c>
      <c r="E2308" t="s">
        <v>230</v>
      </c>
      <c r="F2308" t="s">
        <v>136</v>
      </c>
      <c r="H2308">
        <v>11120.16</v>
      </c>
      <c r="I2308">
        <v>11120.16</v>
      </c>
      <c r="J2308">
        <v>-22509.52</v>
      </c>
      <c r="M2308" s="7"/>
    </row>
    <row r="2309" spans="2:13" customFormat="1" x14ac:dyDescent="0.25">
      <c r="B2309" t="s">
        <v>600</v>
      </c>
      <c r="C2309" t="s">
        <v>310</v>
      </c>
      <c r="D2309" t="s">
        <v>891</v>
      </c>
      <c r="E2309" t="s">
        <v>311</v>
      </c>
      <c r="F2309" t="s">
        <v>312</v>
      </c>
      <c r="H2309">
        <v>42728.14</v>
      </c>
      <c r="I2309">
        <v>35065.85</v>
      </c>
      <c r="J2309">
        <v>-7662.29</v>
      </c>
      <c r="M2309" s="7"/>
    </row>
    <row r="2310" spans="2:13" customFormat="1" x14ac:dyDescent="0.25">
      <c r="B2310" t="s">
        <v>600</v>
      </c>
      <c r="C2310" t="s">
        <v>316</v>
      </c>
      <c r="D2310" t="s">
        <v>891</v>
      </c>
      <c r="E2310" t="s">
        <v>317</v>
      </c>
      <c r="F2310" t="s">
        <v>318</v>
      </c>
      <c r="H2310">
        <v>2539.2800000000002</v>
      </c>
      <c r="I2310">
        <v>1509.87</v>
      </c>
      <c r="J2310">
        <v>-10390.08</v>
      </c>
      <c r="M2310" s="7"/>
    </row>
    <row r="2311" spans="2:13" customFormat="1" x14ac:dyDescent="0.25">
      <c r="B2311" t="s">
        <v>600</v>
      </c>
      <c r="C2311" t="s">
        <v>319</v>
      </c>
      <c r="D2311" t="s">
        <v>891</v>
      </c>
      <c r="E2311" t="s">
        <v>320</v>
      </c>
      <c r="F2311" t="s">
        <v>321</v>
      </c>
      <c r="H2311">
        <v>1524.16</v>
      </c>
      <c r="I2311">
        <v>1141.45</v>
      </c>
      <c r="J2311">
        <v>-6181.33</v>
      </c>
      <c r="M2311" s="7"/>
    </row>
    <row r="2312" spans="2:13" customFormat="1" x14ac:dyDescent="0.25">
      <c r="B2312" t="s">
        <v>600</v>
      </c>
      <c r="C2312" t="s">
        <v>322</v>
      </c>
      <c r="D2312" t="s">
        <v>891</v>
      </c>
      <c r="E2312" t="s">
        <v>323</v>
      </c>
      <c r="F2312" t="s">
        <v>324</v>
      </c>
      <c r="H2312">
        <v>14609.09</v>
      </c>
      <c r="I2312">
        <v>17989.939999999999</v>
      </c>
      <c r="J2312">
        <v>-5555.62</v>
      </c>
      <c r="M2312" s="7"/>
    </row>
    <row r="2313" spans="2:13" customFormat="1" x14ac:dyDescent="0.25">
      <c r="B2313" t="s">
        <v>600</v>
      </c>
      <c r="C2313" t="s">
        <v>325</v>
      </c>
      <c r="D2313" t="s">
        <v>891</v>
      </c>
      <c r="E2313" t="s">
        <v>326</v>
      </c>
      <c r="F2313" t="s">
        <v>327</v>
      </c>
      <c r="H2313">
        <v>3169.98</v>
      </c>
      <c r="I2313">
        <v>3913.71</v>
      </c>
      <c r="J2313">
        <v>-1250.94</v>
      </c>
      <c r="M2313" s="7"/>
    </row>
    <row r="2314" spans="2:13" customFormat="1" x14ac:dyDescent="0.25">
      <c r="B2314" t="s">
        <v>600</v>
      </c>
      <c r="C2314" t="s">
        <v>328</v>
      </c>
      <c r="D2314" t="s">
        <v>891</v>
      </c>
      <c r="E2314" t="s">
        <v>329</v>
      </c>
      <c r="F2314" t="s">
        <v>171</v>
      </c>
      <c r="H2314">
        <v>693.23</v>
      </c>
      <c r="I2314">
        <v>412.2</v>
      </c>
      <c r="J2314">
        <v>-2836.5</v>
      </c>
      <c r="M2314" s="7"/>
    </row>
    <row r="2315" spans="2:13" customFormat="1" x14ac:dyDescent="0.25">
      <c r="B2315" t="s">
        <v>600</v>
      </c>
      <c r="C2315" t="s">
        <v>330</v>
      </c>
      <c r="D2315" t="s">
        <v>891</v>
      </c>
      <c r="E2315" t="s">
        <v>331</v>
      </c>
      <c r="F2315" t="s">
        <v>332</v>
      </c>
      <c r="H2315">
        <v>416.11</v>
      </c>
      <c r="I2315">
        <v>311.63</v>
      </c>
      <c r="J2315">
        <v>-1687.5</v>
      </c>
      <c r="M2315" s="7"/>
    </row>
    <row r="2316" spans="2:13" customFormat="1" x14ac:dyDescent="0.25">
      <c r="B2316" t="s">
        <v>600</v>
      </c>
      <c r="C2316" t="s">
        <v>333</v>
      </c>
      <c r="D2316" t="s">
        <v>891</v>
      </c>
      <c r="E2316" t="s">
        <v>334</v>
      </c>
      <c r="F2316" t="s">
        <v>172</v>
      </c>
      <c r="H2316">
        <v>203.15</v>
      </c>
      <c r="I2316">
        <v>120.8</v>
      </c>
      <c r="J2316">
        <v>-831.21</v>
      </c>
      <c r="M2316" s="7"/>
    </row>
    <row r="2317" spans="2:13" customFormat="1" x14ac:dyDescent="0.25">
      <c r="B2317" t="s">
        <v>600</v>
      </c>
      <c r="C2317" t="s">
        <v>335</v>
      </c>
      <c r="D2317" t="s">
        <v>891</v>
      </c>
      <c r="E2317" t="s">
        <v>336</v>
      </c>
      <c r="F2317" t="s">
        <v>337</v>
      </c>
      <c r="H2317">
        <v>121.94</v>
      </c>
      <c r="I2317">
        <v>91.32</v>
      </c>
      <c r="J2317">
        <v>-494.5</v>
      </c>
      <c r="M2317" s="7"/>
    </row>
    <row r="2318" spans="2:13" customFormat="1" x14ac:dyDescent="0.25">
      <c r="B2318" t="s">
        <v>600</v>
      </c>
      <c r="C2318" t="s">
        <v>41</v>
      </c>
      <c r="D2318" t="s">
        <v>891</v>
      </c>
      <c r="E2318" t="s">
        <v>231</v>
      </c>
      <c r="F2318" t="s">
        <v>137</v>
      </c>
      <c r="H2318">
        <v>156.18</v>
      </c>
      <c r="I2318">
        <v>215.6</v>
      </c>
      <c r="J2318">
        <v>59.42</v>
      </c>
      <c r="M2318" s="7"/>
    </row>
    <row r="2319" spans="2:13" customFormat="1" x14ac:dyDescent="0.25">
      <c r="B2319" t="s">
        <v>600</v>
      </c>
      <c r="C2319" t="s">
        <v>42</v>
      </c>
      <c r="D2319" t="s">
        <v>891</v>
      </c>
      <c r="E2319" t="s">
        <v>232</v>
      </c>
      <c r="F2319" t="s">
        <v>138</v>
      </c>
      <c r="H2319">
        <v>134.86000000000001</v>
      </c>
      <c r="I2319">
        <v>134.86000000000001</v>
      </c>
      <c r="J2319">
        <v>0</v>
      </c>
      <c r="M2319" s="7"/>
    </row>
    <row r="2320" spans="2:13" customFormat="1" x14ac:dyDescent="0.25">
      <c r="B2320" t="s">
        <v>600</v>
      </c>
      <c r="C2320" t="s">
        <v>43</v>
      </c>
      <c r="D2320" t="s">
        <v>891</v>
      </c>
      <c r="E2320" t="s">
        <v>233</v>
      </c>
      <c r="F2320" t="s">
        <v>139</v>
      </c>
      <c r="H2320">
        <v>621.17999999999995</v>
      </c>
      <c r="I2320">
        <v>621.17999999999995</v>
      </c>
      <c r="J2320">
        <v>0</v>
      </c>
      <c r="M2320" s="7"/>
    </row>
    <row r="2321" spans="2:13" customFormat="1" x14ac:dyDescent="0.25">
      <c r="B2321" t="s">
        <v>600</v>
      </c>
      <c r="C2321" t="s">
        <v>545</v>
      </c>
      <c r="D2321" t="s">
        <v>891</v>
      </c>
      <c r="E2321" t="s">
        <v>546</v>
      </c>
      <c r="F2321" t="s">
        <v>547</v>
      </c>
      <c r="H2321">
        <v>0</v>
      </c>
      <c r="I2321">
        <v>0</v>
      </c>
      <c r="J2321">
        <v>25.58</v>
      </c>
      <c r="M2321" s="7"/>
    </row>
    <row r="2322" spans="2:13" customFormat="1" x14ac:dyDescent="0.25">
      <c r="B2322" t="s">
        <v>600</v>
      </c>
      <c r="C2322" t="s">
        <v>365</v>
      </c>
      <c r="D2322" t="s">
        <v>891</v>
      </c>
      <c r="E2322" t="s">
        <v>366</v>
      </c>
      <c r="F2322" t="s">
        <v>367</v>
      </c>
      <c r="H2322">
        <v>0</v>
      </c>
      <c r="I2322">
        <v>6976.47</v>
      </c>
      <c r="J2322">
        <v>0</v>
      </c>
      <c r="M2322" s="7"/>
    </row>
    <row r="2323" spans="2:13" customFormat="1" x14ac:dyDescent="0.25">
      <c r="B2323" t="s">
        <v>600</v>
      </c>
      <c r="C2323" t="s">
        <v>368</v>
      </c>
      <c r="D2323" t="s">
        <v>891</v>
      </c>
      <c r="E2323" t="s">
        <v>369</v>
      </c>
      <c r="F2323" t="s">
        <v>370</v>
      </c>
      <c r="H2323">
        <v>0</v>
      </c>
      <c r="I2323">
        <v>4185.88</v>
      </c>
      <c r="J2323">
        <v>0</v>
      </c>
      <c r="M2323" s="7"/>
    </row>
    <row r="2324" spans="2:13" customFormat="1" x14ac:dyDescent="0.25">
      <c r="B2324" t="s">
        <v>600</v>
      </c>
      <c r="C2324" t="s">
        <v>491</v>
      </c>
      <c r="D2324" t="s">
        <v>891</v>
      </c>
      <c r="E2324" t="s">
        <v>492</v>
      </c>
      <c r="F2324" t="s">
        <v>493</v>
      </c>
      <c r="H2324">
        <v>0</v>
      </c>
      <c r="I2324">
        <v>62.4</v>
      </c>
      <c r="J2324">
        <v>-688.76</v>
      </c>
      <c r="M2324" s="7"/>
    </row>
    <row r="2325" spans="2:13" customFormat="1" x14ac:dyDescent="0.25">
      <c r="B2325" t="s">
        <v>600</v>
      </c>
      <c r="C2325" t="s">
        <v>79</v>
      </c>
      <c r="D2325" t="s">
        <v>891</v>
      </c>
      <c r="E2325" t="s">
        <v>234</v>
      </c>
      <c r="F2325" t="s">
        <v>140</v>
      </c>
      <c r="H2325">
        <v>8.17</v>
      </c>
      <c r="I2325">
        <v>0</v>
      </c>
      <c r="J2325">
        <v>-1066.1600000000001</v>
      </c>
      <c r="M2325" s="7"/>
    </row>
    <row r="2326" spans="2:13" customFormat="1" x14ac:dyDescent="0.25">
      <c r="B2326" t="s">
        <v>600</v>
      </c>
      <c r="C2326" t="s">
        <v>44</v>
      </c>
      <c r="D2326" t="s">
        <v>891</v>
      </c>
      <c r="E2326" t="s">
        <v>235</v>
      </c>
      <c r="F2326" t="s">
        <v>141</v>
      </c>
      <c r="H2326">
        <v>46.04</v>
      </c>
      <c r="I2326">
        <v>13.4</v>
      </c>
      <c r="J2326">
        <v>-74.09</v>
      </c>
      <c r="M2326" s="7"/>
    </row>
    <row r="2327" spans="2:13" customFormat="1" x14ac:dyDescent="0.25">
      <c r="B2327" t="s">
        <v>600</v>
      </c>
      <c r="C2327" t="s">
        <v>45</v>
      </c>
      <c r="D2327" t="s">
        <v>891</v>
      </c>
      <c r="E2327" t="s">
        <v>236</v>
      </c>
      <c r="F2327" t="s">
        <v>142</v>
      </c>
      <c r="H2327">
        <v>161.41999999999999</v>
      </c>
      <c r="I2327">
        <v>62.31</v>
      </c>
      <c r="J2327">
        <v>-763.02</v>
      </c>
      <c r="M2327" s="7"/>
    </row>
    <row r="2328" spans="2:13" customFormat="1" x14ac:dyDescent="0.25">
      <c r="B2328" t="s">
        <v>600</v>
      </c>
      <c r="C2328" t="s">
        <v>338</v>
      </c>
      <c r="D2328" t="s">
        <v>891</v>
      </c>
      <c r="E2328" t="s">
        <v>339</v>
      </c>
      <c r="F2328" t="s">
        <v>340</v>
      </c>
      <c r="H2328">
        <v>105.25</v>
      </c>
      <c r="I2328">
        <v>250.46</v>
      </c>
      <c r="J2328">
        <v>-105.25</v>
      </c>
      <c r="M2328" s="7"/>
    </row>
    <row r="2329" spans="2:13" customFormat="1" x14ac:dyDescent="0.25">
      <c r="B2329" t="s">
        <v>600</v>
      </c>
      <c r="C2329" t="s">
        <v>530</v>
      </c>
      <c r="D2329" t="s">
        <v>891</v>
      </c>
      <c r="E2329" t="s">
        <v>531</v>
      </c>
      <c r="F2329" t="s">
        <v>532</v>
      </c>
      <c r="H2329">
        <v>0</v>
      </c>
      <c r="I2329">
        <v>0</v>
      </c>
      <c r="J2329">
        <v>-24307.53</v>
      </c>
      <c r="M2329" s="7"/>
    </row>
    <row r="2330" spans="2:13" customFormat="1" x14ac:dyDescent="0.25">
      <c r="B2330" t="s">
        <v>600</v>
      </c>
      <c r="C2330" t="s">
        <v>601</v>
      </c>
      <c r="D2330" t="s">
        <v>891</v>
      </c>
      <c r="E2330" t="s">
        <v>602</v>
      </c>
      <c r="F2330" t="s">
        <v>603</v>
      </c>
      <c r="H2330">
        <v>19250</v>
      </c>
      <c r="I2330">
        <v>0</v>
      </c>
      <c r="J2330">
        <v>0</v>
      </c>
      <c r="M2330" s="7"/>
    </row>
    <row r="2331" spans="2:13" customFormat="1" x14ac:dyDescent="0.25">
      <c r="B2331" t="s">
        <v>600</v>
      </c>
      <c r="C2331" t="s">
        <v>46</v>
      </c>
      <c r="D2331" t="s">
        <v>891</v>
      </c>
      <c r="E2331" t="s">
        <v>237</v>
      </c>
      <c r="F2331" t="s">
        <v>143</v>
      </c>
      <c r="H2331">
        <v>0</v>
      </c>
      <c r="I2331">
        <v>0</v>
      </c>
      <c r="J2331">
        <v>-1905627</v>
      </c>
      <c r="M2331" s="7"/>
    </row>
    <row r="2332" spans="2:13" customFormat="1" x14ac:dyDescent="0.25">
      <c r="B2332" t="s">
        <v>600</v>
      </c>
      <c r="C2332" t="s">
        <v>47</v>
      </c>
      <c r="D2332" t="s">
        <v>891</v>
      </c>
      <c r="E2332" t="s">
        <v>238</v>
      </c>
      <c r="F2332" t="s">
        <v>144</v>
      </c>
      <c r="H2332">
        <v>0</v>
      </c>
      <c r="I2332">
        <v>0</v>
      </c>
      <c r="J2332">
        <v>1044627</v>
      </c>
      <c r="M2332" s="7"/>
    </row>
    <row r="2333" spans="2:13" customFormat="1" x14ac:dyDescent="0.25">
      <c r="B2333" t="s">
        <v>600</v>
      </c>
      <c r="C2333" t="s">
        <v>588</v>
      </c>
      <c r="D2333" t="s">
        <v>891</v>
      </c>
      <c r="E2333" t="s">
        <v>589</v>
      </c>
      <c r="F2333" t="s">
        <v>590</v>
      </c>
      <c r="H2333">
        <v>0</v>
      </c>
      <c r="I2333">
        <v>0</v>
      </c>
      <c r="J2333">
        <v>-54921.51</v>
      </c>
      <c r="M2333" s="7"/>
    </row>
    <row r="2334" spans="2:13" customFormat="1" x14ac:dyDescent="0.25">
      <c r="B2334" t="s">
        <v>600</v>
      </c>
      <c r="C2334" t="s">
        <v>85</v>
      </c>
      <c r="D2334" t="s">
        <v>891</v>
      </c>
      <c r="E2334" t="s">
        <v>240</v>
      </c>
      <c r="F2334" t="s">
        <v>146</v>
      </c>
      <c r="H2334">
        <v>0</v>
      </c>
      <c r="I2334">
        <v>0</v>
      </c>
      <c r="J2334">
        <v>99969.95</v>
      </c>
      <c r="M2334" s="7"/>
    </row>
    <row r="2335" spans="2:13" customFormat="1" x14ac:dyDescent="0.25">
      <c r="B2335" t="s">
        <v>600</v>
      </c>
      <c r="C2335" t="s">
        <v>371</v>
      </c>
      <c r="D2335" t="s">
        <v>891</v>
      </c>
      <c r="E2335" t="s">
        <v>372</v>
      </c>
      <c r="F2335" t="s">
        <v>373</v>
      </c>
      <c r="H2335">
        <v>735086.49</v>
      </c>
      <c r="I2335">
        <v>0</v>
      </c>
      <c r="J2335">
        <v>-4952141.75</v>
      </c>
      <c r="M2335" s="7"/>
    </row>
    <row r="2336" spans="2:13" customFormat="1" x14ac:dyDescent="0.25">
      <c r="B2336" t="s">
        <v>600</v>
      </c>
      <c r="C2336" t="s">
        <v>374</v>
      </c>
      <c r="D2336" t="s">
        <v>891</v>
      </c>
      <c r="E2336" t="s">
        <v>375</v>
      </c>
      <c r="F2336" t="s">
        <v>376</v>
      </c>
      <c r="H2336">
        <v>7575.8</v>
      </c>
      <c r="I2336">
        <v>0</v>
      </c>
      <c r="J2336">
        <v>-62936.5</v>
      </c>
      <c r="M2336" s="7"/>
    </row>
    <row r="2337" spans="2:13" customFormat="1" x14ac:dyDescent="0.25">
      <c r="B2337" t="s">
        <v>600</v>
      </c>
      <c r="C2337" t="s">
        <v>48</v>
      </c>
      <c r="D2337" t="s">
        <v>891</v>
      </c>
      <c r="E2337" t="s">
        <v>241</v>
      </c>
      <c r="F2337" t="s">
        <v>147</v>
      </c>
      <c r="H2337">
        <v>9219.24</v>
      </c>
      <c r="I2337">
        <v>0</v>
      </c>
      <c r="J2337">
        <v>-62325.9</v>
      </c>
      <c r="M2337" s="7"/>
    </row>
    <row r="2338" spans="2:13" customFormat="1" x14ac:dyDescent="0.25">
      <c r="B2338" t="s">
        <v>600</v>
      </c>
      <c r="C2338" t="s">
        <v>49</v>
      </c>
      <c r="D2338" t="s">
        <v>891</v>
      </c>
      <c r="E2338" t="s">
        <v>243</v>
      </c>
      <c r="F2338" t="s">
        <v>149</v>
      </c>
      <c r="H2338">
        <v>206.16</v>
      </c>
      <c r="I2338">
        <v>156.18</v>
      </c>
      <c r="J2338">
        <v>1281.73</v>
      </c>
      <c r="M2338" s="7"/>
    </row>
    <row r="2339" spans="2:13" customFormat="1" x14ac:dyDescent="0.25">
      <c r="B2339" t="s">
        <v>600</v>
      </c>
      <c r="C2339" t="s">
        <v>50</v>
      </c>
      <c r="D2339" t="s">
        <v>891</v>
      </c>
      <c r="E2339" t="s">
        <v>244</v>
      </c>
      <c r="F2339" t="s">
        <v>150</v>
      </c>
      <c r="H2339">
        <v>0</v>
      </c>
      <c r="I2339">
        <v>134.86000000000001</v>
      </c>
      <c r="J2339">
        <v>933.74</v>
      </c>
      <c r="M2339" s="7"/>
    </row>
    <row r="2340" spans="2:13" customFormat="1" x14ac:dyDescent="0.25">
      <c r="B2340" t="s">
        <v>600</v>
      </c>
      <c r="C2340" t="s">
        <v>51</v>
      </c>
      <c r="D2340" t="s">
        <v>891</v>
      </c>
      <c r="E2340" t="s">
        <v>245</v>
      </c>
      <c r="F2340" t="s">
        <v>151</v>
      </c>
      <c r="H2340">
        <v>0</v>
      </c>
      <c r="I2340">
        <v>621.17999999999995</v>
      </c>
      <c r="J2340">
        <v>4354.33</v>
      </c>
      <c r="M2340" s="7"/>
    </row>
    <row r="2341" spans="2:13" customFormat="1" x14ac:dyDescent="0.25">
      <c r="B2341" t="s">
        <v>600</v>
      </c>
      <c r="C2341" t="s">
        <v>87</v>
      </c>
      <c r="D2341" t="s">
        <v>891</v>
      </c>
      <c r="E2341" t="s">
        <v>246</v>
      </c>
      <c r="F2341" t="s">
        <v>152</v>
      </c>
      <c r="H2341">
        <v>21649.5</v>
      </c>
      <c r="I2341">
        <v>21649.5</v>
      </c>
      <c r="J2341">
        <v>-1651.27</v>
      </c>
      <c r="M2341" s="7"/>
    </row>
    <row r="2342" spans="2:13" customFormat="1" x14ac:dyDescent="0.25">
      <c r="B2342" t="s">
        <v>600</v>
      </c>
      <c r="C2342" t="s">
        <v>377</v>
      </c>
      <c r="D2342" t="s">
        <v>891</v>
      </c>
      <c r="E2342" t="s">
        <v>378</v>
      </c>
      <c r="F2342" t="s">
        <v>379</v>
      </c>
      <c r="H2342">
        <v>34649.5</v>
      </c>
      <c r="I2342">
        <v>698489.27</v>
      </c>
      <c r="J2342">
        <v>4415698.51</v>
      </c>
      <c r="M2342" s="7"/>
    </row>
    <row r="2343" spans="2:13" customFormat="1" x14ac:dyDescent="0.25">
      <c r="B2343" t="s">
        <v>600</v>
      </c>
      <c r="C2343" t="s">
        <v>53</v>
      </c>
      <c r="D2343" t="s">
        <v>891</v>
      </c>
      <c r="E2343" t="s">
        <v>249</v>
      </c>
      <c r="F2343" t="s">
        <v>155</v>
      </c>
      <c r="H2343">
        <v>913.42</v>
      </c>
      <c r="I2343">
        <v>0</v>
      </c>
      <c r="J2343">
        <v>-4562.67</v>
      </c>
      <c r="M2343" s="7"/>
    </row>
    <row r="2344" spans="2:13" customFormat="1" x14ac:dyDescent="0.25">
      <c r="B2344" t="s">
        <v>600</v>
      </c>
      <c r="C2344" t="s">
        <v>54</v>
      </c>
      <c r="D2344" t="s">
        <v>891</v>
      </c>
      <c r="E2344" t="s">
        <v>250</v>
      </c>
      <c r="F2344" t="s">
        <v>156</v>
      </c>
      <c r="H2344">
        <v>0</v>
      </c>
      <c r="I2344">
        <v>5729.13</v>
      </c>
      <c r="J2344">
        <v>35114.300000000003</v>
      </c>
      <c r="M2344" s="7"/>
    </row>
    <row r="2345" spans="2:13" customFormat="1" x14ac:dyDescent="0.25">
      <c r="B2345" t="s">
        <v>600</v>
      </c>
      <c r="C2345" t="s">
        <v>89</v>
      </c>
      <c r="D2345" t="s">
        <v>891</v>
      </c>
      <c r="E2345" t="s">
        <v>251</v>
      </c>
      <c r="F2345" t="s">
        <v>157</v>
      </c>
      <c r="H2345">
        <v>0</v>
      </c>
      <c r="I2345">
        <v>0</v>
      </c>
      <c r="J2345">
        <v>10510</v>
      </c>
      <c r="M2345" s="7"/>
    </row>
    <row r="2346" spans="2:13" customFormat="1" x14ac:dyDescent="0.25">
      <c r="B2346" t="s">
        <v>600</v>
      </c>
      <c r="C2346" t="s">
        <v>55</v>
      </c>
      <c r="D2346" t="s">
        <v>891</v>
      </c>
      <c r="E2346" t="s">
        <v>252</v>
      </c>
      <c r="F2346" t="s">
        <v>158</v>
      </c>
      <c r="H2346">
        <v>2086.7399999999998</v>
      </c>
      <c r="I2346">
        <v>22792.33</v>
      </c>
      <c r="J2346">
        <v>132587.93</v>
      </c>
      <c r="M2346" s="7"/>
    </row>
    <row r="2347" spans="2:13" customFormat="1" x14ac:dyDescent="0.25">
      <c r="B2347" t="s">
        <v>600</v>
      </c>
      <c r="C2347" t="s">
        <v>56</v>
      </c>
      <c r="D2347" t="s">
        <v>891</v>
      </c>
      <c r="E2347" t="s">
        <v>253</v>
      </c>
      <c r="F2347" t="s">
        <v>159</v>
      </c>
      <c r="H2347">
        <v>235.68</v>
      </c>
      <c r="I2347">
        <v>4268.96</v>
      </c>
      <c r="J2347">
        <v>28416.67</v>
      </c>
      <c r="M2347" s="7"/>
    </row>
    <row r="2348" spans="2:13" customFormat="1" x14ac:dyDescent="0.25">
      <c r="B2348" t="s">
        <v>600</v>
      </c>
      <c r="C2348" t="s">
        <v>57</v>
      </c>
      <c r="D2348" t="s">
        <v>891</v>
      </c>
      <c r="E2348" t="s">
        <v>254</v>
      </c>
      <c r="F2348" t="s">
        <v>160</v>
      </c>
      <c r="H2348">
        <v>14.81</v>
      </c>
      <c r="I2348">
        <v>1250.94</v>
      </c>
      <c r="J2348">
        <v>8621.69</v>
      </c>
      <c r="M2348" s="7"/>
    </row>
    <row r="2349" spans="2:13" customFormat="1" x14ac:dyDescent="0.25">
      <c r="B2349" t="s">
        <v>600</v>
      </c>
      <c r="C2349" t="s">
        <v>58</v>
      </c>
      <c r="D2349" t="s">
        <v>891</v>
      </c>
      <c r="E2349" t="s">
        <v>255</v>
      </c>
      <c r="F2349" t="s">
        <v>161</v>
      </c>
      <c r="H2349">
        <v>246.87</v>
      </c>
      <c r="I2349">
        <v>2539.2800000000002</v>
      </c>
      <c r="J2349">
        <v>31059.62</v>
      </c>
      <c r="M2349" s="7"/>
    </row>
    <row r="2350" spans="2:13" customFormat="1" x14ac:dyDescent="0.25">
      <c r="B2350" t="s">
        <v>600</v>
      </c>
      <c r="C2350" t="s">
        <v>59</v>
      </c>
      <c r="D2350" t="s">
        <v>891</v>
      </c>
      <c r="E2350" t="s">
        <v>256</v>
      </c>
      <c r="F2350" t="s">
        <v>162</v>
      </c>
      <c r="H2350">
        <v>0</v>
      </c>
      <c r="I2350">
        <v>1524.16</v>
      </c>
      <c r="J2350">
        <v>14743.66</v>
      </c>
      <c r="M2350" s="7"/>
    </row>
    <row r="2351" spans="2:13" customFormat="1" x14ac:dyDescent="0.25">
      <c r="B2351" t="s">
        <v>600</v>
      </c>
      <c r="C2351" t="s">
        <v>90</v>
      </c>
      <c r="D2351" t="s">
        <v>891</v>
      </c>
      <c r="E2351" t="s">
        <v>257</v>
      </c>
      <c r="F2351" t="s">
        <v>163</v>
      </c>
      <c r="H2351">
        <v>0</v>
      </c>
      <c r="I2351">
        <v>0</v>
      </c>
      <c r="J2351">
        <v>3600.92</v>
      </c>
      <c r="M2351" s="7"/>
    </row>
    <row r="2352" spans="2:13" customFormat="1" x14ac:dyDescent="0.25">
      <c r="B2352" t="s">
        <v>600</v>
      </c>
      <c r="C2352" t="s">
        <v>60</v>
      </c>
      <c r="D2352" t="s">
        <v>891</v>
      </c>
      <c r="E2352" t="s">
        <v>258</v>
      </c>
      <c r="F2352" t="s">
        <v>164</v>
      </c>
      <c r="H2352">
        <v>0</v>
      </c>
      <c r="I2352">
        <v>0</v>
      </c>
      <c r="J2352">
        <v>4401.91</v>
      </c>
      <c r="M2352" s="7"/>
    </row>
    <row r="2353" spans="2:13" customFormat="1" x14ac:dyDescent="0.25">
      <c r="B2353" t="s">
        <v>600</v>
      </c>
      <c r="C2353" t="s">
        <v>61</v>
      </c>
      <c r="D2353" t="s">
        <v>891</v>
      </c>
      <c r="E2353" t="s">
        <v>259</v>
      </c>
      <c r="F2353" t="s">
        <v>165</v>
      </c>
      <c r="H2353">
        <v>0</v>
      </c>
      <c r="I2353">
        <v>0</v>
      </c>
      <c r="J2353">
        <v>3891.99</v>
      </c>
      <c r="M2353" s="7"/>
    </row>
    <row r="2354" spans="2:13" customFormat="1" x14ac:dyDescent="0.25">
      <c r="B2354" t="s">
        <v>600</v>
      </c>
      <c r="C2354" t="s">
        <v>344</v>
      </c>
      <c r="D2354" t="s">
        <v>891</v>
      </c>
      <c r="E2354" t="s">
        <v>345</v>
      </c>
      <c r="F2354" t="s">
        <v>346</v>
      </c>
      <c r="H2354">
        <v>401.09</v>
      </c>
      <c r="I2354">
        <v>945.64</v>
      </c>
      <c r="J2354">
        <v>12278.74</v>
      </c>
      <c r="M2354" s="7"/>
    </row>
    <row r="2355" spans="2:13" customFormat="1" x14ac:dyDescent="0.25">
      <c r="B2355" t="s">
        <v>600</v>
      </c>
      <c r="C2355" t="s">
        <v>62</v>
      </c>
      <c r="D2355" t="s">
        <v>891</v>
      </c>
      <c r="E2355" t="s">
        <v>260</v>
      </c>
      <c r="F2355" t="s">
        <v>166</v>
      </c>
      <c r="H2355">
        <v>974.54</v>
      </c>
      <c r="I2355">
        <v>1243.8</v>
      </c>
      <c r="J2355">
        <v>4305.8599999999997</v>
      </c>
      <c r="M2355" s="7"/>
    </row>
    <row r="2356" spans="2:13" customFormat="1" x14ac:dyDescent="0.25">
      <c r="B2356" t="s">
        <v>600</v>
      </c>
      <c r="C2356" t="s">
        <v>207</v>
      </c>
      <c r="D2356" t="s">
        <v>891</v>
      </c>
      <c r="E2356" t="s">
        <v>299</v>
      </c>
      <c r="F2356" t="s">
        <v>208</v>
      </c>
      <c r="H2356">
        <v>140</v>
      </c>
      <c r="I2356">
        <v>1399.3</v>
      </c>
      <c r="J2356">
        <v>7256.85</v>
      </c>
      <c r="M2356" s="7"/>
    </row>
    <row r="2357" spans="2:13" customFormat="1" x14ac:dyDescent="0.25">
      <c r="B2357" t="s">
        <v>600</v>
      </c>
      <c r="C2357" t="s">
        <v>63</v>
      </c>
      <c r="D2357" t="s">
        <v>891</v>
      </c>
      <c r="E2357" t="s">
        <v>261</v>
      </c>
      <c r="F2357" t="s">
        <v>167</v>
      </c>
      <c r="H2357">
        <v>1960.63</v>
      </c>
      <c r="I2357">
        <v>2511.4</v>
      </c>
      <c r="J2357">
        <v>12668</v>
      </c>
      <c r="M2357" s="7"/>
    </row>
    <row r="2358" spans="2:13" customFormat="1" x14ac:dyDescent="0.25">
      <c r="B2358" t="s">
        <v>600</v>
      </c>
      <c r="C2358" t="s">
        <v>380</v>
      </c>
      <c r="D2358" t="s">
        <v>891</v>
      </c>
      <c r="E2358" t="s">
        <v>381</v>
      </c>
      <c r="F2358" t="s">
        <v>382</v>
      </c>
      <c r="H2358">
        <v>79.14</v>
      </c>
      <c r="I2358">
        <v>0</v>
      </c>
      <c r="J2358">
        <v>-53.8</v>
      </c>
      <c r="M2358" s="7"/>
    </row>
    <row r="2359" spans="2:13" customFormat="1" x14ac:dyDescent="0.25">
      <c r="B2359" t="s">
        <v>600</v>
      </c>
      <c r="C2359" t="s">
        <v>91</v>
      </c>
      <c r="D2359" t="s">
        <v>891</v>
      </c>
      <c r="E2359" t="s">
        <v>262</v>
      </c>
      <c r="F2359" t="s">
        <v>168</v>
      </c>
      <c r="H2359">
        <v>0</v>
      </c>
      <c r="I2359">
        <v>0</v>
      </c>
      <c r="J2359">
        <v>7918.76</v>
      </c>
      <c r="M2359" s="7"/>
    </row>
    <row r="2360" spans="2:13" customFormat="1" x14ac:dyDescent="0.25">
      <c r="B2360" t="s">
        <v>600</v>
      </c>
      <c r="C2360" t="s">
        <v>383</v>
      </c>
      <c r="D2360" t="s">
        <v>891</v>
      </c>
      <c r="E2360" t="s">
        <v>384</v>
      </c>
      <c r="F2360" t="s">
        <v>385</v>
      </c>
      <c r="H2360">
        <v>0</v>
      </c>
      <c r="I2360">
        <v>0</v>
      </c>
      <c r="J2360">
        <v>1070.1600000000001</v>
      </c>
      <c r="M2360" s="7"/>
    </row>
    <row r="2361" spans="2:13" customFormat="1" x14ac:dyDescent="0.25">
      <c r="B2361" t="s">
        <v>600</v>
      </c>
      <c r="C2361" t="s">
        <v>386</v>
      </c>
      <c r="D2361" t="s">
        <v>891</v>
      </c>
      <c r="E2361" t="s">
        <v>387</v>
      </c>
      <c r="F2361" t="s">
        <v>388</v>
      </c>
      <c r="H2361">
        <v>0</v>
      </c>
      <c r="I2361">
        <v>191.07</v>
      </c>
      <c r="J2361">
        <v>3510.3</v>
      </c>
      <c r="M2361" s="7"/>
    </row>
    <row r="2362" spans="2:13" customFormat="1" x14ac:dyDescent="0.25">
      <c r="B2362" t="s">
        <v>600</v>
      </c>
      <c r="C2362" t="s">
        <v>92</v>
      </c>
      <c r="D2362" t="s">
        <v>891</v>
      </c>
      <c r="E2362" t="s">
        <v>263</v>
      </c>
      <c r="F2362" t="s">
        <v>169</v>
      </c>
      <c r="H2362">
        <v>0</v>
      </c>
      <c r="I2362">
        <v>0</v>
      </c>
      <c r="J2362">
        <v>-409.04</v>
      </c>
      <c r="M2362" s="7"/>
    </row>
    <row r="2363" spans="2:13" customFormat="1" x14ac:dyDescent="0.25">
      <c r="B2363" t="s">
        <v>600</v>
      </c>
      <c r="C2363" t="s">
        <v>93</v>
      </c>
      <c r="D2363" t="s">
        <v>891</v>
      </c>
      <c r="E2363" t="s">
        <v>264</v>
      </c>
      <c r="F2363" t="s">
        <v>170</v>
      </c>
      <c r="H2363">
        <v>0</v>
      </c>
      <c r="I2363">
        <v>0</v>
      </c>
      <c r="J2363">
        <v>805.62</v>
      </c>
      <c r="M2363" s="7"/>
    </row>
    <row r="2364" spans="2:13" customFormat="1" x14ac:dyDescent="0.25">
      <c r="B2364" t="s">
        <v>600</v>
      </c>
      <c r="C2364" t="s">
        <v>350</v>
      </c>
      <c r="D2364" t="s">
        <v>891</v>
      </c>
      <c r="E2364" t="s">
        <v>351</v>
      </c>
      <c r="F2364" t="s">
        <v>352</v>
      </c>
      <c r="H2364">
        <v>0</v>
      </c>
      <c r="I2364">
        <v>0</v>
      </c>
      <c r="J2364">
        <v>-26777.51</v>
      </c>
      <c r="M2364" s="7"/>
    </row>
    <row r="2365" spans="2:13" customFormat="1" x14ac:dyDescent="0.25">
      <c r="B2365" t="s">
        <v>600</v>
      </c>
      <c r="C2365" t="s">
        <v>64</v>
      </c>
      <c r="D2365" t="s">
        <v>891</v>
      </c>
      <c r="E2365" t="s">
        <v>265</v>
      </c>
      <c r="F2365" t="s">
        <v>171</v>
      </c>
      <c r="H2365">
        <v>87.18</v>
      </c>
      <c r="I2365">
        <v>1434.43</v>
      </c>
      <c r="J2365">
        <v>13436.74</v>
      </c>
      <c r="M2365" s="7"/>
    </row>
    <row r="2366" spans="2:13" customFormat="1" x14ac:dyDescent="0.25">
      <c r="B2366" t="s">
        <v>600</v>
      </c>
      <c r="C2366" t="s">
        <v>94</v>
      </c>
      <c r="D2366" t="s">
        <v>891</v>
      </c>
      <c r="E2366" t="s">
        <v>266</v>
      </c>
      <c r="F2366" t="s">
        <v>172</v>
      </c>
      <c r="H2366">
        <v>0</v>
      </c>
      <c r="I2366">
        <v>0</v>
      </c>
      <c r="J2366">
        <v>-43.11</v>
      </c>
      <c r="M2366" s="7"/>
    </row>
    <row r="2367" spans="2:13" customFormat="1" x14ac:dyDescent="0.25">
      <c r="B2367" t="s">
        <v>600</v>
      </c>
      <c r="C2367" t="s">
        <v>353</v>
      </c>
      <c r="D2367" t="s">
        <v>891</v>
      </c>
      <c r="E2367" t="s">
        <v>354</v>
      </c>
      <c r="F2367" t="s">
        <v>355</v>
      </c>
      <c r="H2367">
        <v>0</v>
      </c>
      <c r="I2367">
        <v>0</v>
      </c>
      <c r="J2367">
        <v>58.36</v>
      </c>
      <c r="M2367" s="7"/>
    </row>
    <row r="2368" spans="2:13" customFormat="1" x14ac:dyDescent="0.25">
      <c r="B2368" t="s">
        <v>600</v>
      </c>
      <c r="C2368" t="s">
        <v>95</v>
      </c>
      <c r="D2368" t="s">
        <v>891</v>
      </c>
      <c r="E2368" t="s">
        <v>267</v>
      </c>
      <c r="F2368" t="s">
        <v>173</v>
      </c>
      <c r="H2368">
        <v>0</v>
      </c>
      <c r="I2368">
        <v>0</v>
      </c>
      <c r="J2368">
        <v>207.41</v>
      </c>
      <c r="M2368" s="7"/>
    </row>
    <row r="2369" spans="2:13" customFormat="1" x14ac:dyDescent="0.25">
      <c r="B2369" t="s">
        <v>600</v>
      </c>
      <c r="C2369" t="s">
        <v>65</v>
      </c>
      <c r="D2369" t="s">
        <v>891</v>
      </c>
      <c r="E2369" t="s">
        <v>269</v>
      </c>
      <c r="F2369" t="s">
        <v>175</v>
      </c>
      <c r="H2369">
        <v>0</v>
      </c>
      <c r="I2369">
        <v>9874.92</v>
      </c>
      <c r="J2369">
        <v>56826.080000000002</v>
      </c>
      <c r="M2369" s="7"/>
    </row>
    <row r="2370" spans="2:13" customFormat="1" x14ac:dyDescent="0.25">
      <c r="B2370" t="s">
        <v>600</v>
      </c>
      <c r="C2370" t="s">
        <v>97</v>
      </c>
      <c r="D2370" t="s">
        <v>891</v>
      </c>
      <c r="E2370" t="s">
        <v>270</v>
      </c>
      <c r="F2370" t="s">
        <v>176</v>
      </c>
      <c r="H2370">
        <v>0</v>
      </c>
      <c r="I2370">
        <v>0</v>
      </c>
      <c r="J2370">
        <v>198.29</v>
      </c>
      <c r="M2370" s="7"/>
    </row>
    <row r="2371" spans="2:13" customFormat="1" x14ac:dyDescent="0.25">
      <c r="B2371" t="s">
        <v>600</v>
      </c>
      <c r="C2371" t="s">
        <v>548</v>
      </c>
      <c r="D2371" t="s">
        <v>891</v>
      </c>
      <c r="E2371" t="s">
        <v>549</v>
      </c>
      <c r="F2371" t="s">
        <v>550</v>
      </c>
      <c r="H2371">
        <v>0</v>
      </c>
      <c r="I2371">
        <v>1688.38</v>
      </c>
      <c r="J2371">
        <v>10774.88</v>
      </c>
      <c r="M2371" s="7"/>
    </row>
    <row r="2372" spans="2:13" customFormat="1" x14ac:dyDescent="0.25">
      <c r="B2372" t="s">
        <v>600</v>
      </c>
      <c r="C2372" t="s">
        <v>66</v>
      </c>
      <c r="D2372" t="s">
        <v>891</v>
      </c>
      <c r="E2372" t="s">
        <v>272</v>
      </c>
      <c r="F2372" t="s">
        <v>178</v>
      </c>
      <c r="H2372">
        <v>0</v>
      </c>
      <c r="I2372">
        <v>106.33</v>
      </c>
      <c r="J2372">
        <v>837.98</v>
      </c>
      <c r="M2372" s="7"/>
    </row>
    <row r="2373" spans="2:13" customFormat="1" x14ac:dyDescent="0.25">
      <c r="B2373" t="s">
        <v>600</v>
      </c>
      <c r="C2373" t="s">
        <v>99</v>
      </c>
      <c r="D2373" t="s">
        <v>891</v>
      </c>
      <c r="E2373" t="s">
        <v>273</v>
      </c>
      <c r="F2373" t="s">
        <v>179</v>
      </c>
      <c r="H2373">
        <v>1138.5</v>
      </c>
      <c r="I2373">
        <v>0</v>
      </c>
      <c r="J2373">
        <v>0</v>
      </c>
      <c r="M2373" s="7"/>
    </row>
    <row r="2374" spans="2:13" customFormat="1" x14ac:dyDescent="0.25">
      <c r="B2374" t="s">
        <v>600</v>
      </c>
      <c r="C2374" t="s">
        <v>392</v>
      </c>
      <c r="D2374" t="s">
        <v>891</v>
      </c>
      <c r="E2374" t="s">
        <v>393</v>
      </c>
      <c r="F2374" t="s">
        <v>394</v>
      </c>
      <c r="H2374">
        <v>0</v>
      </c>
      <c r="I2374">
        <v>1245.24</v>
      </c>
      <c r="J2374">
        <v>8528.76</v>
      </c>
      <c r="M2374" s="7"/>
    </row>
    <row r="2375" spans="2:13" customFormat="1" x14ac:dyDescent="0.25">
      <c r="B2375" t="s">
        <v>600</v>
      </c>
      <c r="C2375" t="s">
        <v>591</v>
      </c>
      <c r="D2375" t="s">
        <v>891</v>
      </c>
      <c r="E2375" t="s">
        <v>592</v>
      </c>
      <c r="F2375" t="s">
        <v>593</v>
      </c>
      <c r="H2375">
        <v>0</v>
      </c>
      <c r="I2375">
        <v>0</v>
      </c>
      <c r="J2375">
        <v>878.3</v>
      </c>
      <c r="M2375" s="7"/>
    </row>
    <row r="2376" spans="2:13" customFormat="1" x14ac:dyDescent="0.25">
      <c r="B2376" t="s">
        <v>600</v>
      </c>
      <c r="C2376" t="s">
        <v>67</v>
      </c>
      <c r="D2376" t="s">
        <v>891</v>
      </c>
      <c r="E2376" t="s">
        <v>276</v>
      </c>
      <c r="F2376" t="s">
        <v>182</v>
      </c>
      <c r="H2376">
        <v>0</v>
      </c>
      <c r="I2376">
        <v>557.72</v>
      </c>
      <c r="J2376">
        <v>29369</v>
      </c>
      <c r="M2376" s="7"/>
    </row>
    <row r="2377" spans="2:13" customFormat="1" x14ac:dyDescent="0.25">
      <c r="B2377" t="s">
        <v>600</v>
      </c>
      <c r="C2377" t="s">
        <v>102</v>
      </c>
      <c r="D2377" t="s">
        <v>891</v>
      </c>
      <c r="E2377" t="s">
        <v>277</v>
      </c>
      <c r="F2377" t="s">
        <v>183</v>
      </c>
      <c r="H2377">
        <v>0</v>
      </c>
      <c r="I2377">
        <v>0</v>
      </c>
      <c r="J2377">
        <v>8777.64</v>
      </c>
      <c r="M2377" s="7"/>
    </row>
    <row r="2378" spans="2:13" customFormat="1" x14ac:dyDescent="0.25">
      <c r="B2378" t="s">
        <v>600</v>
      </c>
      <c r="C2378" t="s">
        <v>604</v>
      </c>
      <c r="D2378" t="s">
        <v>891</v>
      </c>
      <c r="E2378" t="s">
        <v>605</v>
      </c>
      <c r="F2378" t="s">
        <v>606</v>
      </c>
      <c r="H2378">
        <v>0</v>
      </c>
      <c r="I2378">
        <v>19250</v>
      </c>
      <c r="J2378">
        <v>19250</v>
      </c>
      <c r="M2378" s="7"/>
    </row>
    <row r="2379" spans="2:13" customFormat="1" x14ac:dyDescent="0.25">
      <c r="B2379" t="s">
        <v>600</v>
      </c>
      <c r="C2379" t="s">
        <v>68</v>
      </c>
      <c r="D2379" t="s">
        <v>891</v>
      </c>
      <c r="E2379" t="s">
        <v>279</v>
      </c>
      <c r="F2379" t="s">
        <v>185</v>
      </c>
      <c r="H2379">
        <v>0</v>
      </c>
      <c r="I2379">
        <v>1491.67</v>
      </c>
      <c r="J2379">
        <v>10384.61</v>
      </c>
      <c r="M2379" s="7"/>
    </row>
    <row r="2380" spans="2:13" customFormat="1" x14ac:dyDescent="0.25">
      <c r="B2380" t="s">
        <v>600</v>
      </c>
      <c r="C2380" t="s">
        <v>395</v>
      </c>
      <c r="D2380" t="s">
        <v>891</v>
      </c>
      <c r="E2380" t="s">
        <v>396</v>
      </c>
      <c r="F2380" t="s">
        <v>397</v>
      </c>
      <c r="H2380">
        <v>0</v>
      </c>
      <c r="I2380">
        <v>408.17</v>
      </c>
      <c r="J2380">
        <v>2849.02</v>
      </c>
      <c r="M2380" s="7"/>
    </row>
    <row r="2381" spans="2:13" customFormat="1" x14ac:dyDescent="0.25">
      <c r="B2381" t="s">
        <v>600</v>
      </c>
      <c r="C2381" t="s">
        <v>104</v>
      </c>
      <c r="D2381" t="s">
        <v>891</v>
      </c>
      <c r="E2381" t="s">
        <v>280</v>
      </c>
      <c r="F2381" t="s">
        <v>186</v>
      </c>
      <c r="H2381">
        <v>0</v>
      </c>
      <c r="I2381">
        <v>0</v>
      </c>
      <c r="J2381">
        <v>7110</v>
      </c>
      <c r="M2381" s="7"/>
    </row>
    <row r="2382" spans="2:13" customFormat="1" x14ac:dyDescent="0.25">
      <c r="B2382" t="s">
        <v>600</v>
      </c>
      <c r="C2382" t="s">
        <v>356</v>
      </c>
      <c r="D2382" t="s">
        <v>891</v>
      </c>
      <c r="E2382" t="s">
        <v>357</v>
      </c>
      <c r="F2382" t="s">
        <v>358</v>
      </c>
      <c r="H2382">
        <v>0</v>
      </c>
      <c r="I2382">
        <v>870</v>
      </c>
      <c r="J2382">
        <v>6600</v>
      </c>
      <c r="M2382" s="7"/>
    </row>
    <row r="2383" spans="2:13" customFormat="1" x14ac:dyDescent="0.25">
      <c r="B2383" t="s">
        <v>600</v>
      </c>
      <c r="C2383" t="s">
        <v>105</v>
      </c>
      <c r="D2383" t="s">
        <v>891</v>
      </c>
      <c r="E2383" t="s">
        <v>281</v>
      </c>
      <c r="F2383" t="s">
        <v>187</v>
      </c>
      <c r="H2383">
        <v>0</v>
      </c>
      <c r="I2383">
        <v>493.06</v>
      </c>
      <c r="J2383">
        <v>2640.1</v>
      </c>
      <c r="M2383" s="7"/>
    </row>
    <row r="2384" spans="2:13" customFormat="1" x14ac:dyDescent="0.25">
      <c r="B2384" t="s">
        <v>600</v>
      </c>
      <c r="C2384" t="s">
        <v>106</v>
      </c>
      <c r="D2384" t="s">
        <v>891</v>
      </c>
      <c r="E2384" t="s">
        <v>282</v>
      </c>
      <c r="F2384" t="s">
        <v>188</v>
      </c>
      <c r="H2384">
        <v>0</v>
      </c>
      <c r="I2384">
        <v>542.32000000000005</v>
      </c>
      <c r="J2384">
        <v>2187.27</v>
      </c>
      <c r="M2384" s="7"/>
    </row>
    <row r="2385" spans="2:13" customFormat="1" x14ac:dyDescent="0.25">
      <c r="B2385" t="s">
        <v>600</v>
      </c>
      <c r="C2385" t="s">
        <v>107</v>
      </c>
      <c r="D2385" t="s">
        <v>891</v>
      </c>
      <c r="E2385" t="s">
        <v>283</v>
      </c>
      <c r="F2385" t="s">
        <v>189</v>
      </c>
      <c r="H2385">
        <v>114.45</v>
      </c>
      <c r="I2385">
        <v>1237.29</v>
      </c>
      <c r="J2385">
        <v>7110.93</v>
      </c>
      <c r="M2385" s="7"/>
    </row>
    <row r="2386" spans="2:13" customFormat="1" x14ac:dyDescent="0.25">
      <c r="B2386" t="s">
        <v>600</v>
      </c>
      <c r="C2386" t="s">
        <v>359</v>
      </c>
      <c r="D2386" t="s">
        <v>891</v>
      </c>
      <c r="E2386" t="s">
        <v>360</v>
      </c>
      <c r="F2386" t="s">
        <v>361</v>
      </c>
      <c r="H2386">
        <v>0</v>
      </c>
      <c r="I2386">
        <v>187.68</v>
      </c>
      <c r="J2386">
        <v>2628.19</v>
      </c>
      <c r="M2386" s="7"/>
    </row>
    <row r="2387" spans="2:13" customFormat="1" x14ac:dyDescent="0.25">
      <c r="B2387" t="s">
        <v>600</v>
      </c>
      <c r="C2387" t="s">
        <v>69</v>
      </c>
      <c r="D2387" t="s">
        <v>891</v>
      </c>
      <c r="E2387" t="s">
        <v>284</v>
      </c>
      <c r="F2387" t="s">
        <v>190</v>
      </c>
      <c r="H2387">
        <v>0</v>
      </c>
      <c r="I2387">
        <v>197.5</v>
      </c>
      <c r="J2387">
        <v>386.21</v>
      </c>
      <c r="M2387" s="7"/>
    </row>
    <row r="2388" spans="2:13" customFormat="1" x14ac:dyDescent="0.25">
      <c r="B2388" t="s">
        <v>600</v>
      </c>
      <c r="C2388" t="s">
        <v>70</v>
      </c>
      <c r="D2388" t="s">
        <v>891</v>
      </c>
      <c r="E2388" t="s">
        <v>286</v>
      </c>
      <c r="F2388" t="s">
        <v>192</v>
      </c>
      <c r="H2388">
        <v>0</v>
      </c>
      <c r="I2388">
        <v>0</v>
      </c>
      <c r="J2388">
        <v>7420.43</v>
      </c>
      <c r="M2388" s="7"/>
    </row>
    <row r="2389" spans="2:13" customFormat="1" x14ac:dyDescent="0.25">
      <c r="B2389" t="s">
        <v>600</v>
      </c>
      <c r="C2389" t="s">
        <v>109</v>
      </c>
      <c r="D2389" t="s">
        <v>891</v>
      </c>
      <c r="E2389" t="s">
        <v>287</v>
      </c>
      <c r="F2389" t="s">
        <v>193</v>
      </c>
      <c r="H2389">
        <v>0</v>
      </c>
      <c r="I2389">
        <v>2469.67</v>
      </c>
      <c r="J2389">
        <v>10590.49</v>
      </c>
      <c r="M2389" s="7"/>
    </row>
    <row r="2390" spans="2:13" customFormat="1" x14ac:dyDescent="0.25">
      <c r="B2390" t="s">
        <v>600</v>
      </c>
      <c r="C2390" t="s">
        <v>560</v>
      </c>
      <c r="D2390" t="s">
        <v>891</v>
      </c>
      <c r="E2390" t="s">
        <v>561</v>
      </c>
      <c r="F2390" t="s">
        <v>562</v>
      </c>
      <c r="H2390">
        <v>0</v>
      </c>
      <c r="I2390">
        <v>0</v>
      </c>
      <c r="J2390">
        <v>360</v>
      </c>
      <c r="M2390" s="7"/>
    </row>
    <row r="2391" spans="2:13" customFormat="1" x14ac:dyDescent="0.25">
      <c r="B2391" t="s">
        <v>600</v>
      </c>
      <c r="C2391" t="s">
        <v>110</v>
      </c>
      <c r="D2391" t="s">
        <v>891</v>
      </c>
      <c r="E2391" t="s">
        <v>288</v>
      </c>
      <c r="F2391" t="s">
        <v>194</v>
      </c>
      <c r="H2391">
        <v>0</v>
      </c>
      <c r="I2391">
        <v>2234.98</v>
      </c>
      <c r="J2391">
        <v>2634.98</v>
      </c>
      <c r="M2391" s="7"/>
    </row>
    <row r="2392" spans="2:13" customFormat="1" x14ac:dyDescent="0.25">
      <c r="B2392" t="s">
        <v>600</v>
      </c>
      <c r="C2392" t="s">
        <v>111</v>
      </c>
      <c r="D2392" t="s">
        <v>891</v>
      </c>
      <c r="E2392" t="s">
        <v>289</v>
      </c>
      <c r="F2392" t="s">
        <v>195</v>
      </c>
      <c r="H2392">
        <v>0</v>
      </c>
      <c r="I2392">
        <v>4600.91</v>
      </c>
      <c r="J2392">
        <v>4414.74</v>
      </c>
      <c r="M2392" s="7"/>
    </row>
    <row r="2393" spans="2:13" customFormat="1" x14ac:dyDescent="0.25">
      <c r="B2393" t="s">
        <v>600</v>
      </c>
      <c r="C2393" t="s">
        <v>398</v>
      </c>
      <c r="D2393" t="s">
        <v>891</v>
      </c>
      <c r="E2393" t="s">
        <v>399</v>
      </c>
      <c r="F2393" t="s">
        <v>400</v>
      </c>
      <c r="H2393">
        <v>0</v>
      </c>
      <c r="I2393">
        <v>1111.3599999999999</v>
      </c>
      <c r="J2393">
        <v>8114.81</v>
      </c>
      <c r="M2393" s="7"/>
    </row>
    <row r="2394" spans="2:13" customFormat="1" x14ac:dyDescent="0.25">
      <c r="B2394" t="s">
        <v>600</v>
      </c>
      <c r="C2394" t="s">
        <v>401</v>
      </c>
      <c r="D2394" t="s">
        <v>891</v>
      </c>
      <c r="E2394" t="s">
        <v>402</v>
      </c>
      <c r="F2394" t="s">
        <v>403</v>
      </c>
      <c r="H2394">
        <v>0</v>
      </c>
      <c r="I2394">
        <v>0</v>
      </c>
      <c r="J2394">
        <v>686.85</v>
      </c>
      <c r="M2394" s="7"/>
    </row>
    <row r="2395" spans="2:13" customFormat="1" x14ac:dyDescent="0.25">
      <c r="B2395" t="s">
        <v>600</v>
      </c>
      <c r="C2395" t="s">
        <v>446</v>
      </c>
      <c r="D2395" t="s">
        <v>891</v>
      </c>
      <c r="E2395" t="s">
        <v>447</v>
      </c>
      <c r="F2395" t="s">
        <v>448</v>
      </c>
      <c r="H2395">
        <v>0</v>
      </c>
      <c r="I2395">
        <v>0</v>
      </c>
      <c r="J2395">
        <v>812</v>
      </c>
      <c r="M2395" s="7"/>
    </row>
    <row r="2396" spans="2:13" customFormat="1" x14ac:dyDescent="0.25">
      <c r="B2396" t="s">
        <v>600</v>
      </c>
      <c r="C2396" t="s">
        <v>404</v>
      </c>
      <c r="D2396" t="s">
        <v>891</v>
      </c>
      <c r="E2396" t="s">
        <v>405</v>
      </c>
      <c r="F2396" t="s">
        <v>406</v>
      </c>
      <c r="H2396">
        <v>0</v>
      </c>
      <c r="I2396">
        <v>0</v>
      </c>
      <c r="J2396">
        <v>0.02</v>
      </c>
      <c r="M2396" s="7"/>
    </row>
    <row r="2397" spans="2:13" customFormat="1" x14ac:dyDescent="0.25">
      <c r="B2397" t="s">
        <v>600</v>
      </c>
      <c r="C2397" t="s">
        <v>607</v>
      </c>
      <c r="D2397" t="s">
        <v>891</v>
      </c>
      <c r="E2397" t="s">
        <v>608</v>
      </c>
      <c r="F2397" t="s">
        <v>609</v>
      </c>
      <c r="H2397">
        <v>0</v>
      </c>
      <c r="I2397">
        <v>0</v>
      </c>
      <c r="J2397">
        <v>1200</v>
      </c>
      <c r="M2397" s="7"/>
    </row>
    <row r="2398" spans="2:13" customFormat="1" x14ac:dyDescent="0.25">
      <c r="B2398" t="s">
        <v>600</v>
      </c>
      <c r="C2398" t="s">
        <v>407</v>
      </c>
      <c r="D2398" t="s">
        <v>891</v>
      </c>
      <c r="E2398" t="s">
        <v>408</v>
      </c>
      <c r="F2398" t="s">
        <v>409</v>
      </c>
      <c r="H2398">
        <v>0</v>
      </c>
      <c r="I2398">
        <v>0</v>
      </c>
      <c r="J2398">
        <v>761.91</v>
      </c>
      <c r="M2398" s="7"/>
    </row>
    <row r="2399" spans="2:13" customFormat="1" x14ac:dyDescent="0.25">
      <c r="B2399" t="s">
        <v>600</v>
      </c>
      <c r="C2399" t="s">
        <v>112</v>
      </c>
      <c r="D2399" t="s">
        <v>891</v>
      </c>
      <c r="E2399" t="s">
        <v>290</v>
      </c>
      <c r="F2399" t="s">
        <v>196</v>
      </c>
      <c r="H2399">
        <v>0</v>
      </c>
      <c r="I2399">
        <v>0</v>
      </c>
      <c r="J2399">
        <v>7100.44</v>
      </c>
      <c r="M2399" s="7"/>
    </row>
    <row r="2400" spans="2:13" customFormat="1" x14ac:dyDescent="0.25">
      <c r="B2400" t="s">
        <v>600</v>
      </c>
      <c r="C2400" t="s">
        <v>71</v>
      </c>
      <c r="D2400" t="s">
        <v>891</v>
      </c>
      <c r="E2400" t="s">
        <v>291</v>
      </c>
      <c r="F2400" t="s">
        <v>197</v>
      </c>
      <c r="H2400">
        <v>0</v>
      </c>
      <c r="I2400">
        <v>558.89</v>
      </c>
      <c r="J2400">
        <v>3970.18</v>
      </c>
      <c r="M2400" s="7"/>
    </row>
    <row r="2401" spans="2:13" customFormat="1" x14ac:dyDescent="0.25">
      <c r="B2401" t="s">
        <v>600</v>
      </c>
      <c r="C2401" t="s">
        <v>610</v>
      </c>
      <c r="D2401" t="s">
        <v>891</v>
      </c>
      <c r="E2401" t="s">
        <v>611</v>
      </c>
      <c r="F2401" t="s">
        <v>612</v>
      </c>
      <c r="H2401">
        <v>0</v>
      </c>
      <c r="I2401">
        <v>0</v>
      </c>
      <c r="J2401">
        <v>1.18</v>
      </c>
      <c r="M2401" s="7"/>
    </row>
    <row r="2402" spans="2:13" customFormat="1" x14ac:dyDescent="0.25">
      <c r="B2402" t="s">
        <v>600</v>
      </c>
      <c r="C2402" t="s">
        <v>72</v>
      </c>
      <c r="D2402" t="s">
        <v>891</v>
      </c>
      <c r="E2402" t="s">
        <v>292</v>
      </c>
      <c r="F2402" t="s">
        <v>198</v>
      </c>
      <c r="H2402">
        <v>0</v>
      </c>
      <c r="I2402">
        <v>209.32</v>
      </c>
      <c r="J2402">
        <v>1879.01</v>
      </c>
      <c r="M2402" s="7"/>
    </row>
    <row r="2403" spans="2:13" customFormat="1" x14ac:dyDescent="0.25">
      <c r="B2403" t="s">
        <v>600</v>
      </c>
      <c r="C2403" t="s">
        <v>73</v>
      </c>
      <c r="D2403" t="s">
        <v>891</v>
      </c>
      <c r="E2403" t="s">
        <v>293</v>
      </c>
      <c r="F2403" t="s">
        <v>199</v>
      </c>
      <c r="H2403">
        <v>0.01</v>
      </c>
      <c r="I2403">
        <v>641.67999999999995</v>
      </c>
      <c r="J2403">
        <v>3147.85</v>
      </c>
      <c r="M2403" s="7"/>
    </row>
    <row r="2404" spans="2:13" customFormat="1" x14ac:dyDescent="0.25">
      <c r="B2404" t="s">
        <v>600</v>
      </c>
      <c r="C2404" t="s">
        <v>74</v>
      </c>
      <c r="D2404" t="s">
        <v>891</v>
      </c>
      <c r="E2404" t="s">
        <v>294</v>
      </c>
      <c r="F2404" t="s">
        <v>200</v>
      </c>
      <c r="H2404">
        <v>0</v>
      </c>
      <c r="I2404">
        <v>5152.51</v>
      </c>
      <c r="J2404">
        <v>46224.01</v>
      </c>
      <c r="M2404" s="7"/>
    </row>
    <row r="2405" spans="2:13" customFormat="1" x14ac:dyDescent="0.25">
      <c r="B2405" t="s">
        <v>600</v>
      </c>
      <c r="C2405" t="s">
        <v>75</v>
      </c>
      <c r="D2405" t="s">
        <v>891</v>
      </c>
      <c r="E2405" t="s">
        <v>295</v>
      </c>
      <c r="F2405" t="s">
        <v>201</v>
      </c>
      <c r="H2405">
        <v>0</v>
      </c>
      <c r="I2405">
        <v>0</v>
      </c>
      <c r="J2405">
        <v>13687.93</v>
      </c>
      <c r="M2405" s="7"/>
    </row>
    <row r="2406" spans="2:13" customFormat="1" x14ac:dyDescent="0.25">
      <c r="B2406" t="s">
        <v>600</v>
      </c>
      <c r="C2406" t="s">
        <v>76</v>
      </c>
      <c r="D2406" t="s">
        <v>891</v>
      </c>
      <c r="E2406" t="s">
        <v>296</v>
      </c>
      <c r="F2406" t="s">
        <v>202</v>
      </c>
      <c r="H2406">
        <v>0</v>
      </c>
      <c r="I2406">
        <v>0</v>
      </c>
      <c r="J2406">
        <v>8212.75</v>
      </c>
      <c r="M2406" s="7"/>
    </row>
    <row r="2407" spans="2:13" customFormat="1" x14ac:dyDescent="0.25">
      <c r="B2407" t="s">
        <v>600</v>
      </c>
      <c r="C2407" t="s">
        <v>613</v>
      </c>
      <c r="D2407" t="s">
        <v>891</v>
      </c>
      <c r="E2407" t="s">
        <v>614</v>
      </c>
      <c r="F2407" t="s">
        <v>615</v>
      </c>
      <c r="H2407">
        <v>0</v>
      </c>
      <c r="I2407">
        <v>0</v>
      </c>
      <c r="J2407">
        <v>10.25</v>
      </c>
      <c r="M2407" s="7"/>
    </row>
    <row r="2408" spans="2:13" customFormat="1" x14ac:dyDescent="0.25">
      <c r="B2408" t="s">
        <v>616</v>
      </c>
      <c r="C2408" t="s">
        <v>26</v>
      </c>
      <c r="D2408" t="s">
        <v>891</v>
      </c>
      <c r="E2408" t="s">
        <v>211</v>
      </c>
      <c r="F2408" t="s">
        <v>116</v>
      </c>
      <c r="H2408">
        <v>186771.92</v>
      </c>
      <c r="I2408">
        <v>186771.92</v>
      </c>
      <c r="J2408">
        <v>0</v>
      </c>
      <c r="M2408" s="7"/>
    </row>
    <row r="2409" spans="2:13" customFormat="1" x14ac:dyDescent="0.25">
      <c r="B2409" t="s">
        <v>616</v>
      </c>
      <c r="C2409" t="s">
        <v>27</v>
      </c>
      <c r="D2409" t="s">
        <v>891</v>
      </c>
      <c r="E2409" t="s">
        <v>212</v>
      </c>
      <c r="F2409" t="s">
        <v>117</v>
      </c>
      <c r="H2409">
        <v>282.37</v>
      </c>
      <c r="I2409">
        <v>425.35</v>
      </c>
      <c r="J2409">
        <v>3829.24</v>
      </c>
      <c r="M2409" s="7"/>
    </row>
    <row r="2410" spans="2:13" customFormat="1" x14ac:dyDescent="0.25">
      <c r="B2410" t="s">
        <v>616</v>
      </c>
      <c r="C2410" t="s">
        <v>28</v>
      </c>
      <c r="D2410" t="s">
        <v>891</v>
      </c>
      <c r="E2410" t="s">
        <v>213</v>
      </c>
      <c r="F2410" t="s">
        <v>118</v>
      </c>
      <c r="H2410">
        <v>111507.87</v>
      </c>
      <c r="I2410">
        <v>111714.17</v>
      </c>
      <c r="J2410">
        <v>981.36</v>
      </c>
      <c r="M2410" s="7"/>
    </row>
    <row r="2411" spans="2:13" customFormat="1" x14ac:dyDescent="0.25">
      <c r="B2411" t="s">
        <v>616</v>
      </c>
      <c r="C2411" t="s">
        <v>29</v>
      </c>
      <c r="D2411" t="s">
        <v>891</v>
      </c>
      <c r="E2411" t="s">
        <v>214</v>
      </c>
      <c r="F2411" t="s">
        <v>119</v>
      </c>
      <c r="H2411">
        <v>177553.55</v>
      </c>
      <c r="I2411">
        <v>189215.91</v>
      </c>
      <c r="J2411">
        <v>29622.43</v>
      </c>
      <c r="M2411" s="7"/>
    </row>
    <row r="2412" spans="2:13" customFormat="1" x14ac:dyDescent="0.25">
      <c r="B2412" t="s">
        <v>616</v>
      </c>
      <c r="C2412" t="s">
        <v>30</v>
      </c>
      <c r="D2412" t="s">
        <v>891</v>
      </c>
      <c r="E2412" t="s">
        <v>215</v>
      </c>
      <c r="F2412" t="s">
        <v>120</v>
      </c>
      <c r="H2412">
        <v>766575.25</v>
      </c>
      <c r="I2412">
        <v>776395.31</v>
      </c>
      <c r="J2412">
        <v>333313.08</v>
      </c>
      <c r="M2412" s="7"/>
    </row>
    <row r="2413" spans="2:13" customFormat="1" x14ac:dyDescent="0.25">
      <c r="B2413" t="s">
        <v>616</v>
      </c>
      <c r="C2413" t="s">
        <v>81</v>
      </c>
      <c r="D2413" t="s">
        <v>891</v>
      </c>
      <c r="E2413" t="s">
        <v>216</v>
      </c>
      <c r="F2413" t="s">
        <v>121</v>
      </c>
      <c r="H2413">
        <v>30120</v>
      </c>
      <c r="I2413">
        <v>9572.25</v>
      </c>
      <c r="J2413">
        <v>17754.09</v>
      </c>
      <c r="M2413" s="7"/>
    </row>
    <row r="2414" spans="2:13" customFormat="1" x14ac:dyDescent="0.25">
      <c r="B2414" t="s">
        <v>616</v>
      </c>
      <c r="C2414" t="s">
        <v>31</v>
      </c>
      <c r="D2414" t="s">
        <v>891</v>
      </c>
      <c r="E2414" t="s">
        <v>217</v>
      </c>
      <c r="F2414" t="s">
        <v>122</v>
      </c>
      <c r="H2414">
        <v>787001.32</v>
      </c>
      <c r="I2414">
        <v>787001.32</v>
      </c>
      <c r="J2414">
        <v>0</v>
      </c>
      <c r="M2414" s="7"/>
    </row>
    <row r="2415" spans="2:13" customFormat="1" x14ac:dyDescent="0.25">
      <c r="B2415" t="s">
        <v>616</v>
      </c>
      <c r="C2415" t="s">
        <v>32</v>
      </c>
      <c r="D2415" t="s">
        <v>891</v>
      </c>
      <c r="E2415" t="s">
        <v>218</v>
      </c>
      <c r="F2415" t="s">
        <v>123</v>
      </c>
      <c r="H2415">
        <v>20232</v>
      </c>
      <c r="I2415">
        <v>10000</v>
      </c>
      <c r="J2415">
        <v>36616.019999999997</v>
      </c>
      <c r="M2415" s="7"/>
    </row>
    <row r="2416" spans="2:13" customFormat="1" x14ac:dyDescent="0.25">
      <c r="B2416" t="s">
        <v>616</v>
      </c>
      <c r="C2416" t="s">
        <v>33</v>
      </c>
      <c r="D2416" t="s">
        <v>891</v>
      </c>
      <c r="E2416" t="s">
        <v>219</v>
      </c>
      <c r="F2416" t="s">
        <v>124</v>
      </c>
      <c r="H2416">
        <v>156463.51999999999</v>
      </c>
      <c r="I2416">
        <v>228948.95</v>
      </c>
      <c r="J2416">
        <v>353467.92</v>
      </c>
      <c r="M2416" s="7"/>
    </row>
    <row r="2417" spans="2:13" customFormat="1" x14ac:dyDescent="0.25">
      <c r="B2417" t="s">
        <v>616</v>
      </c>
      <c r="C2417" t="s">
        <v>34</v>
      </c>
      <c r="D2417" t="s">
        <v>891</v>
      </c>
      <c r="E2417" t="s">
        <v>220</v>
      </c>
      <c r="F2417" t="s">
        <v>125</v>
      </c>
      <c r="H2417">
        <v>266896.61</v>
      </c>
      <c r="I2417">
        <v>234705.18</v>
      </c>
      <c r="J2417">
        <v>-97824.91</v>
      </c>
      <c r="M2417" s="7"/>
    </row>
    <row r="2418" spans="2:13" customFormat="1" x14ac:dyDescent="0.25">
      <c r="B2418" t="s">
        <v>616</v>
      </c>
      <c r="C2418" t="s">
        <v>205</v>
      </c>
      <c r="D2418" t="s">
        <v>891</v>
      </c>
      <c r="E2418" t="s">
        <v>298</v>
      </c>
      <c r="F2418" t="s">
        <v>206</v>
      </c>
      <c r="H2418">
        <v>30057.38</v>
      </c>
      <c r="I2418">
        <v>23842.29</v>
      </c>
      <c r="J2418">
        <v>29680.99</v>
      </c>
      <c r="M2418" s="7"/>
    </row>
    <row r="2419" spans="2:13" customFormat="1" x14ac:dyDescent="0.25">
      <c r="B2419" t="s">
        <v>616</v>
      </c>
      <c r="C2419" t="s">
        <v>301</v>
      </c>
      <c r="D2419" t="s">
        <v>891</v>
      </c>
      <c r="E2419" t="s">
        <v>302</v>
      </c>
      <c r="F2419" t="s">
        <v>303</v>
      </c>
      <c r="H2419">
        <v>11633.89</v>
      </c>
      <c r="I2419">
        <v>11633.89</v>
      </c>
      <c r="J2419">
        <v>0</v>
      </c>
      <c r="M2419" s="7"/>
    </row>
    <row r="2420" spans="2:13" customFormat="1" x14ac:dyDescent="0.25">
      <c r="B2420" t="s">
        <v>616</v>
      </c>
      <c r="C2420" t="s">
        <v>35</v>
      </c>
      <c r="D2420" t="s">
        <v>891</v>
      </c>
      <c r="E2420" t="s">
        <v>221</v>
      </c>
      <c r="F2420" t="s">
        <v>127</v>
      </c>
      <c r="H2420">
        <v>3200.84</v>
      </c>
      <c r="I2420">
        <v>3200.84</v>
      </c>
      <c r="J2420">
        <v>0</v>
      </c>
      <c r="M2420" s="7"/>
    </row>
    <row r="2421" spans="2:13" customFormat="1" x14ac:dyDescent="0.25">
      <c r="B2421" t="s">
        <v>616</v>
      </c>
      <c r="C2421" t="s">
        <v>36</v>
      </c>
      <c r="D2421" t="s">
        <v>891</v>
      </c>
      <c r="E2421" t="s">
        <v>222</v>
      </c>
      <c r="F2421" t="s">
        <v>128</v>
      </c>
      <c r="H2421">
        <v>686.48</v>
      </c>
      <c r="I2421">
        <v>850.99</v>
      </c>
      <c r="J2421">
        <v>1819.48</v>
      </c>
      <c r="M2421" s="7"/>
    </row>
    <row r="2422" spans="2:13" customFormat="1" x14ac:dyDescent="0.25">
      <c r="B2422" t="s">
        <v>616</v>
      </c>
      <c r="C2422" t="s">
        <v>37</v>
      </c>
      <c r="D2422" t="s">
        <v>891</v>
      </c>
      <c r="E2422" t="s">
        <v>223</v>
      </c>
      <c r="F2422" t="s">
        <v>129</v>
      </c>
      <c r="H2422">
        <v>3161.95</v>
      </c>
      <c r="I2422">
        <v>3919.69</v>
      </c>
      <c r="J2422">
        <v>8305.6299999999992</v>
      </c>
      <c r="M2422" s="7"/>
    </row>
    <row r="2423" spans="2:13" customFormat="1" x14ac:dyDescent="0.25">
      <c r="B2423" t="s">
        <v>616</v>
      </c>
      <c r="C2423" t="s">
        <v>413</v>
      </c>
      <c r="D2423" t="s">
        <v>891</v>
      </c>
      <c r="E2423" t="s">
        <v>414</v>
      </c>
      <c r="F2423" t="s">
        <v>415</v>
      </c>
      <c r="H2423">
        <v>0</v>
      </c>
      <c r="I2423">
        <v>0</v>
      </c>
      <c r="J2423">
        <v>232.26</v>
      </c>
      <c r="M2423" s="7"/>
    </row>
    <row r="2424" spans="2:13" customFormat="1" x14ac:dyDescent="0.25">
      <c r="B2424" t="s">
        <v>616</v>
      </c>
      <c r="C2424" t="s">
        <v>543</v>
      </c>
      <c r="D2424" t="s">
        <v>891</v>
      </c>
      <c r="E2424" t="s">
        <v>544</v>
      </c>
      <c r="F2424" t="s">
        <v>126</v>
      </c>
      <c r="H2424">
        <v>0</v>
      </c>
      <c r="I2424">
        <v>0</v>
      </c>
      <c r="J2424">
        <v>1794.68</v>
      </c>
      <c r="M2424" s="7"/>
    </row>
    <row r="2425" spans="2:13" customFormat="1" x14ac:dyDescent="0.25">
      <c r="B2425" t="s">
        <v>616</v>
      </c>
      <c r="C2425" t="s">
        <v>304</v>
      </c>
      <c r="D2425" t="s">
        <v>891</v>
      </c>
      <c r="E2425" t="s">
        <v>305</v>
      </c>
      <c r="F2425" t="s">
        <v>306</v>
      </c>
      <c r="H2425">
        <v>622819.68999999994</v>
      </c>
      <c r="I2425">
        <v>572115</v>
      </c>
      <c r="J2425">
        <v>138564.57999999999</v>
      </c>
      <c r="M2425" s="7"/>
    </row>
    <row r="2426" spans="2:13" customFormat="1" x14ac:dyDescent="0.25">
      <c r="B2426" t="s">
        <v>616</v>
      </c>
      <c r="C2426" t="s">
        <v>38</v>
      </c>
      <c r="D2426" t="s">
        <v>891</v>
      </c>
      <c r="E2426" t="s">
        <v>224</v>
      </c>
      <c r="F2426" t="s">
        <v>130</v>
      </c>
      <c r="H2426">
        <v>48903.7</v>
      </c>
      <c r="I2426">
        <v>60945.19</v>
      </c>
      <c r="J2426">
        <v>105755.56</v>
      </c>
      <c r="M2426" s="7"/>
    </row>
    <row r="2427" spans="2:13" customFormat="1" x14ac:dyDescent="0.25">
      <c r="B2427" t="s">
        <v>616</v>
      </c>
      <c r="C2427" t="s">
        <v>39</v>
      </c>
      <c r="D2427" t="s">
        <v>891</v>
      </c>
      <c r="E2427" t="s">
        <v>225</v>
      </c>
      <c r="F2427" t="s">
        <v>131</v>
      </c>
      <c r="H2427">
        <v>3166.46</v>
      </c>
      <c r="I2427">
        <v>2294.83</v>
      </c>
      <c r="J2427">
        <v>21577.88</v>
      </c>
      <c r="M2427" s="7"/>
    </row>
    <row r="2428" spans="2:13" customFormat="1" x14ac:dyDescent="0.25">
      <c r="B2428" t="s">
        <v>616</v>
      </c>
      <c r="C2428" t="s">
        <v>455</v>
      </c>
      <c r="D2428" t="s">
        <v>891</v>
      </c>
      <c r="E2428" t="s">
        <v>456</v>
      </c>
      <c r="F2428" t="s">
        <v>457</v>
      </c>
      <c r="H2428">
        <v>0</v>
      </c>
      <c r="I2428">
        <v>0</v>
      </c>
      <c r="J2428">
        <v>8252.7000000000007</v>
      </c>
      <c r="M2428" s="7"/>
    </row>
    <row r="2429" spans="2:13" customFormat="1" x14ac:dyDescent="0.25">
      <c r="B2429" t="s">
        <v>616</v>
      </c>
      <c r="C2429" t="s">
        <v>416</v>
      </c>
      <c r="D2429" t="s">
        <v>891</v>
      </c>
      <c r="E2429" t="s">
        <v>417</v>
      </c>
      <c r="F2429" t="s">
        <v>418</v>
      </c>
      <c r="H2429">
        <v>0</v>
      </c>
      <c r="I2429">
        <v>0</v>
      </c>
      <c r="J2429">
        <v>40603.769999999997</v>
      </c>
      <c r="M2429" s="7"/>
    </row>
    <row r="2430" spans="2:13" customFormat="1" x14ac:dyDescent="0.25">
      <c r="B2430" t="s">
        <v>616</v>
      </c>
      <c r="C2430" t="s">
        <v>458</v>
      </c>
      <c r="D2430" t="s">
        <v>891</v>
      </c>
      <c r="E2430" t="s">
        <v>459</v>
      </c>
      <c r="F2430" t="s">
        <v>460</v>
      </c>
      <c r="H2430">
        <v>0</v>
      </c>
      <c r="I2430">
        <v>0</v>
      </c>
      <c r="J2430">
        <v>19040.22</v>
      </c>
      <c r="M2430" s="7"/>
    </row>
    <row r="2431" spans="2:13" customFormat="1" x14ac:dyDescent="0.25">
      <c r="B2431" t="s">
        <v>616</v>
      </c>
      <c r="C2431" t="s">
        <v>461</v>
      </c>
      <c r="D2431" t="s">
        <v>891</v>
      </c>
      <c r="E2431" t="s">
        <v>462</v>
      </c>
      <c r="F2431" t="s">
        <v>463</v>
      </c>
      <c r="H2431">
        <v>0</v>
      </c>
      <c r="I2431">
        <v>0</v>
      </c>
      <c r="J2431">
        <v>3254</v>
      </c>
      <c r="M2431" s="7"/>
    </row>
    <row r="2432" spans="2:13" customFormat="1" x14ac:dyDescent="0.25">
      <c r="B2432" t="s">
        <v>616</v>
      </c>
      <c r="C2432" t="s">
        <v>464</v>
      </c>
      <c r="D2432" t="s">
        <v>891</v>
      </c>
      <c r="E2432" t="s">
        <v>465</v>
      </c>
      <c r="F2432" t="s">
        <v>466</v>
      </c>
      <c r="H2432">
        <v>0</v>
      </c>
      <c r="I2432">
        <v>23606.04</v>
      </c>
      <c r="J2432">
        <v>23606.04</v>
      </c>
      <c r="M2432" s="7"/>
    </row>
    <row r="2433" spans="2:13" customFormat="1" x14ac:dyDescent="0.25">
      <c r="B2433" t="s">
        <v>616</v>
      </c>
      <c r="C2433" t="s">
        <v>467</v>
      </c>
      <c r="D2433" t="s">
        <v>891</v>
      </c>
      <c r="E2433" t="s">
        <v>468</v>
      </c>
      <c r="F2433" t="s">
        <v>469</v>
      </c>
      <c r="H2433">
        <v>23606.04</v>
      </c>
      <c r="I2433">
        <v>0</v>
      </c>
      <c r="J2433">
        <v>0</v>
      </c>
      <c r="M2433" s="7"/>
    </row>
    <row r="2434" spans="2:13" customFormat="1" x14ac:dyDescent="0.25">
      <c r="B2434" t="s">
        <v>616</v>
      </c>
      <c r="C2434" t="s">
        <v>470</v>
      </c>
      <c r="D2434" t="s">
        <v>891</v>
      </c>
      <c r="E2434" t="s">
        <v>471</v>
      </c>
      <c r="F2434" t="s">
        <v>472</v>
      </c>
      <c r="H2434">
        <v>68.77</v>
      </c>
      <c r="I2434">
        <v>0</v>
      </c>
      <c r="J2434">
        <v>-8340.85</v>
      </c>
      <c r="M2434" s="7"/>
    </row>
    <row r="2435" spans="2:13" customFormat="1" x14ac:dyDescent="0.25">
      <c r="B2435" t="s">
        <v>616</v>
      </c>
      <c r="C2435" t="s">
        <v>419</v>
      </c>
      <c r="D2435" t="s">
        <v>891</v>
      </c>
      <c r="E2435" t="s">
        <v>420</v>
      </c>
      <c r="F2435" t="s">
        <v>421</v>
      </c>
      <c r="H2435">
        <v>338.36</v>
      </c>
      <c r="I2435">
        <v>0</v>
      </c>
      <c r="J2435">
        <v>-32636.44</v>
      </c>
      <c r="M2435" s="7"/>
    </row>
    <row r="2436" spans="2:13" customFormat="1" x14ac:dyDescent="0.25">
      <c r="B2436" t="s">
        <v>616</v>
      </c>
      <c r="C2436" t="s">
        <v>473</v>
      </c>
      <c r="D2436" t="s">
        <v>891</v>
      </c>
      <c r="E2436" t="s">
        <v>474</v>
      </c>
      <c r="F2436" t="s">
        <v>475</v>
      </c>
      <c r="H2436">
        <v>317.33999999999997</v>
      </c>
      <c r="I2436">
        <v>0</v>
      </c>
      <c r="J2436">
        <v>-9520.2000000000007</v>
      </c>
      <c r="M2436" s="7"/>
    </row>
    <row r="2437" spans="2:13" customFormat="1" x14ac:dyDescent="0.25">
      <c r="B2437" t="s">
        <v>616</v>
      </c>
      <c r="C2437" t="s">
        <v>476</v>
      </c>
      <c r="D2437" t="s">
        <v>891</v>
      </c>
      <c r="E2437" t="s">
        <v>477</v>
      </c>
      <c r="F2437" t="s">
        <v>478</v>
      </c>
      <c r="H2437">
        <v>27.12</v>
      </c>
      <c r="I2437">
        <v>0</v>
      </c>
      <c r="J2437">
        <v>-608.17999999999995</v>
      </c>
      <c r="M2437" s="7"/>
    </row>
    <row r="2438" spans="2:13" customFormat="1" x14ac:dyDescent="0.25">
      <c r="B2438" t="s">
        <v>616</v>
      </c>
      <c r="C2438" t="s">
        <v>479</v>
      </c>
      <c r="D2438" t="s">
        <v>891</v>
      </c>
      <c r="E2438" t="s">
        <v>480</v>
      </c>
      <c r="F2438" t="s">
        <v>481</v>
      </c>
      <c r="H2438">
        <v>196.72</v>
      </c>
      <c r="I2438">
        <v>0</v>
      </c>
      <c r="J2438">
        <v>-196.72</v>
      </c>
      <c r="M2438" s="7"/>
    </row>
    <row r="2439" spans="2:13" customFormat="1" x14ac:dyDescent="0.25">
      <c r="B2439" t="s">
        <v>616</v>
      </c>
      <c r="C2439" t="s">
        <v>482</v>
      </c>
      <c r="D2439" t="s">
        <v>891</v>
      </c>
      <c r="E2439" t="s">
        <v>483</v>
      </c>
      <c r="F2439" t="s">
        <v>484</v>
      </c>
      <c r="H2439">
        <v>0</v>
      </c>
      <c r="I2439">
        <v>0</v>
      </c>
      <c r="J2439">
        <v>54978</v>
      </c>
      <c r="M2439" s="7"/>
    </row>
    <row r="2440" spans="2:13" customFormat="1" x14ac:dyDescent="0.25">
      <c r="B2440" t="s">
        <v>616</v>
      </c>
      <c r="C2440" t="s">
        <v>485</v>
      </c>
      <c r="D2440" t="s">
        <v>891</v>
      </c>
      <c r="E2440" t="s">
        <v>486</v>
      </c>
      <c r="F2440" t="s">
        <v>487</v>
      </c>
      <c r="H2440">
        <v>1145.3800000000001</v>
      </c>
      <c r="I2440">
        <v>0</v>
      </c>
      <c r="J2440">
        <v>-13744.52</v>
      </c>
      <c r="M2440" s="7"/>
    </row>
    <row r="2441" spans="2:13" customFormat="1" x14ac:dyDescent="0.25">
      <c r="B2441" t="s">
        <v>616</v>
      </c>
      <c r="C2441" t="s">
        <v>40</v>
      </c>
      <c r="D2441" t="s">
        <v>891</v>
      </c>
      <c r="E2441" t="s">
        <v>227</v>
      </c>
      <c r="F2441" t="s">
        <v>133</v>
      </c>
      <c r="H2441">
        <v>648976.55000000005</v>
      </c>
      <c r="I2441">
        <v>756510.24</v>
      </c>
      <c r="J2441">
        <v>90490.6</v>
      </c>
      <c r="M2441" s="7"/>
    </row>
    <row r="2442" spans="2:13" customFormat="1" x14ac:dyDescent="0.25">
      <c r="B2442" t="s">
        <v>616</v>
      </c>
      <c r="C2442" t="s">
        <v>83</v>
      </c>
      <c r="D2442" t="s">
        <v>891</v>
      </c>
      <c r="E2442" t="s">
        <v>228</v>
      </c>
      <c r="F2442" t="s">
        <v>134</v>
      </c>
      <c r="H2442">
        <v>20554.669999999998</v>
      </c>
      <c r="I2442">
        <v>31344.54</v>
      </c>
      <c r="J2442">
        <v>-9026.66</v>
      </c>
      <c r="M2442" s="7"/>
    </row>
    <row r="2443" spans="2:13" customFormat="1" x14ac:dyDescent="0.25">
      <c r="B2443" t="s">
        <v>616</v>
      </c>
      <c r="C2443" t="s">
        <v>113</v>
      </c>
      <c r="D2443" t="s">
        <v>891</v>
      </c>
      <c r="E2443" t="s">
        <v>229</v>
      </c>
      <c r="F2443" t="s">
        <v>135</v>
      </c>
      <c r="H2443">
        <v>572115</v>
      </c>
      <c r="I2443">
        <v>489581.5</v>
      </c>
      <c r="J2443">
        <v>-245294</v>
      </c>
      <c r="M2443" s="7"/>
    </row>
    <row r="2444" spans="2:13" customFormat="1" x14ac:dyDescent="0.25">
      <c r="B2444" t="s">
        <v>616</v>
      </c>
      <c r="C2444" t="s">
        <v>84</v>
      </c>
      <c r="D2444" t="s">
        <v>891</v>
      </c>
      <c r="E2444" t="s">
        <v>230</v>
      </c>
      <c r="F2444" t="s">
        <v>136</v>
      </c>
      <c r="H2444">
        <v>18171.68</v>
      </c>
      <c r="I2444">
        <v>20026.32</v>
      </c>
      <c r="J2444">
        <v>-39894.76</v>
      </c>
      <c r="M2444" s="7"/>
    </row>
    <row r="2445" spans="2:13" customFormat="1" x14ac:dyDescent="0.25">
      <c r="B2445" t="s">
        <v>616</v>
      </c>
      <c r="C2445" t="s">
        <v>310</v>
      </c>
      <c r="D2445" t="s">
        <v>891</v>
      </c>
      <c r="E2445" t="s">
        <v>311</v>
      </c>
      <c r="F2445" t="s">
        <v>312</v>
      </c>
      <c r="H2445">
        <v>85872.86</v>
      </c>
      <c r="I2445">
        <v>85872.86</v>
      </c>
      <c r="J2445">
        <v>0</v>
      </c>
      <c r="M2445" s="7"/>
    </row>
    <row r="2446" spans="2:13" customFormat="1" x14ac:dyDescent="0.25">
      <c r="B2446" t="s">
        <v>616</v>
      </c>
      <c r="C2446" t="s">
        <v>316</v>
      </c>
      <c r="D2446" t="s">
        <v>891</v>
      </c>
      <c r="E2446" t="s">
        <v>317</v>
      </c>
      <c r="F2446" t="s">
        <v>318</v>
      </c>
      <c r="H2446">
        <v>3662.56</v>
      </c>
      <c r="I2446">
        <v>4.95</v>
      </c>
      <c r="J2446">
        <v>-22558.49</v>
      </c>
      <c r="M2446" s="7"/>
    </row>
    <row r="2447" spans="2:13" customFormat="1" x14ac:dyDescent="0.25">
      <c r="B2447" t="s">
        <v>616</v>
      </c>
      <c r="C2447" t="s">
        <v>319</v>
      </c>
      <c r="D2447" t="s">
        <v>891</v>
      </c>
      <c r="E2447" t="s">
        <v>320</v>
      </c>
      <c r="F2447" t="s">
        <v>321</v>
      </c>
      <c r="H2447">
        <v>2179.7399999999998</v>
      </c>
      <c r="I2447">
        <v>20.010000000000002</v>
      </c>
      <c r="J2447">
        <v>-11471.27</v>
      </c>
      <c r="M2447" s="7"/>
    </row>
    <row r="2448" spans="2:13" customFormat="1" x14ac:dyDescent="0.25">
      <c r="B2448" t="s">
        <v>616</v>
      </c>
      <c r="C2448" t="s">
        <v>488</v>
      </c>
      <c r="D2448" t="s">
        <v>891</v>
      </c>
      <c r="E2448" t="s">
        <v>489</v>
      </c>
      <c r="F2448" t="s">
        <v>490</v>
      </c>
      <c r="H2448">
        <v>209.55</v>
      </c>
      <c r="I2448">
        <v>419.1</v>
      </c>
      <c r="J2448">
        <v>0</v>
      </c>
      <c r="M2448" s="7"/>
    </row>
    <row r="2449" spans="2:13" customFormat="1" x14ac:dyDescent="0.25">
      <c r="B2449" t="s">
        <v>616</v>
      </c>
      <c r="C2449" t="s">
        <v>322</v>
      </c>
      <c r="D2449" t="s">
        <v>891</v>
      </c>
      <c r="E2449" t="s">
        <v>323</v>
      </c>
      <c r="F2449" t="s">
        <v>324</v>
      </c>
      <c r="H2449">
        <v>18330.55</v>
      </c>
      <c r="I2449">
        <v>18593.97</v>
      </c>
      <c r="J2449">
        <v>-9801.6200000000008</v>
      </c>
      <c r="M2449" s="7"/>
    </row>
    <row r="2450" spans="2:13" customFormat="1" x14ac:dyDescent="0.25">
      <c r="B2450" t="s">
        <v>616</v>
      </c>
      <c r="C2450" t="s">
        <v>325</v>
      </c>
      <c r="D2450" t="s">
        <v>891</v>
      </c>
      <c r="E2450" t="s">
        <v>326</v>
      </c>
      <c r="F2450" t="s">
        <v>327</v>
      </c>
      <c r="H2450">
        <v>5164.92</v>
      </c>
      <c r="I2450">
        <v>4997.32</v>
      </c>
      <c r="J2450">
        <v>-2456.71</v>
      </c>
      <c r="M2450" s="7"/>
    </row>
    <row r="2451" spans="2:13" customFormat="1" x14ac:dyDescent="0.25">
      <c r="B2451" t="s">
        <v>616</v>
      </c>
      <c r="C2451" t="s">
        <v>328</v>
      </c>
      <c r="D2451" t="s">
        <v>891</v>
      </c>
      <c r="E2451" t="s">
        <v>329</v>
      </c>
      <c r="F2451" t="s">
        <v>171</v>
      </c>
      <c r="H2451">
        <v>1054.8399999999999</v>
      </c>
      <c r="I2451">
        <v>1.45</v>
      </c>
      <c r="J2451">
        <v>-6496.84</v>
      </c>
      <c r="M2451" s="7"/>
    </row>
    <row r="2452" spans="2:13" customFormat="1" x14ac:dyDescent="0.25">
      <c r="B2452" t="s">
        <v>616</v>
      </c>
      <c r="C2452" t="s">
        <v>330</v>
      </c>
      <c r="D2452" t="s">
        <v>891</v>
      </c>
      <c r="E2452" t="s">
        <v>331</v>
      </c>
      <c r="F2452" t="s">
        <v>332</v>
      </c>
      <c r="H2452">
        <v>627.78</v>
      </c>
      <c r="I2452">
        <v>5.78</v>
      </c>
      <c r="J2452">
        <v>-3303.72</v>
      </c>
      <c r="M2452" s="7"/>
    </row>
    <row r="2453" spans="2:13" customFormat="1" x14ac:dyDescent="0.25">
      <c r="B2453" t="s">
        <v>616</v>
      </c>
      <c r="C2453" t="s">
        <v>333</v>
      </c>
      <c r="D2453" t="s">
        <v>891</v>
      </c>
      <c r="E2453" t="s">
        <v>334</v>
      </c>
      <c r="F2453" t="s">
        <v>172</v>
      </c>
      <c r="H2453">
        <v>293.02</v>
      </c>
      <c r="I2453">
        <v>0.4</v>
      </c>
      <c r="J2453">
        <v>-1804.68</v>
      </c>
      <c r="M2453" s="7"/>
    </row>
    <row r="2454" spans="2:13" customFormat="1" x14ac:dyDescent="0.25">
      <c r="B2454" t="s">
        <v>616</v>
      </c>
      <c r="C2454" t="s">
        <v>335</v>
      </c>
      <c r="D2454" t="s">
        <v>891</v>
      </c>
      <c r="E2454" t="s">
        <v>336</v>
      </c>
      <c r="F2454" t="s">
        <v>337</v>
      </c>
      <c r="H2454">
        <v>174.37</v>
      </c>
      <c r="I2454">
        <v>1.6</v>
      </c>
      <c r="J2454">
        <v>-917.7</v>
      </c>
      <c r="M2454" s="7"/>
    </row>
    <row r="2455" spans="2:13" customFormat="1" x14ac:dyDescent="0.25">
      <c r="B2455" t="s">
        <v>616</v>
      </c>
      <c r="C2455" t="s">
        <v>41</v>
      </c>
      <c r="D2455" t="s">
        <v>891</v>
      </c>
      <c r="E2455" t="s">
        <v>231</v>
      </c>
      <c r="F2455" t="s">
        <v>137</v>
      </c>
      <c r="H2455">
        <v>6569.72</v>
      </c>
      <c r="I2455">
        <v>4704.58</v>
      </c>
      <c r="J2455">
        <v>-2838.84</v>
      </c>
      <c r="M2455" s="7"/>
    </row>
    <row r="2456" spans="2:13" customFormat="1" x14ac:dyDescent="0.25">
      <c r="B2456" t="s">
        <v>616</v>
      </c>
      <c r="C2456" t="s">
        <v>42</v>
      </c>
      <c r="D2456" t="s">
        <v>891</v>
      </c>
      <c r="E2456" t="s">
        <v>232</v>
      </c>
      <c r="F2456" t="s">
        <v>138</v>
      </c>
      <c r="H2456">
        <v>686.48</v>
      </c>
      <c r="I2456">
        <v>686.48</v>
      </c>
      <c r="J2456">
        <v>0</v>
      </c>
      <c r="M2456" s="7"/>
    </row>
    <row r="2457" spans="2:13" customFormat="1" x14ac:dyDescent="0.25">
      <c r="B2457" t="s">
        <v>616</v>
      </c>
      <c r="C2457" t="s">
        <v>43</v>
      </c>
      <c r="D2457" t="s">
        <v>891</v>
      </c>
      <c r="E2457" t="s">
        <v>233</v>
      </c>
      <c r="F2457" t="s">
        <v>139</v>
      </c>
      <c r="H2457">
        <v>3161.95</v>
      </c>
      <c r="I2457">
        <v>3161.95</v>
      </c>
      <c r="J2457">
        <v>0</v>
      </c>
      <c r="M2457" s="7"/>
    </row>
    <row r="2458" spans="2:13" customFormat="1" x14ac:dyDescent="0.25">
      <c r="B2458" t="s">
        <v>616</v>
      </c>
      <c r="C2458" t="s">
        <v>365</v>
      </c>
      <c r="D2458" t="s">
        <v>891</v>
      </c>
      <c r="E2458" t="s">
        <v>366</v>
      </c>
      <c r="F2458" t="s">
        <v>367</v>
      </c>
      <c r="H2458">
        <v>1459.28</v>
      </c>
      <c r="I2458">
        <v>0</v>
      </c>
      <c r="J2458">
        <v>-1305.75</v>
      </c>
      <c r="M2458" s="7"/>
    </row>
    <row r="2459" spans="2:13" customFormat="1" x14ac:dyDescent="0.25">
      <c r="B2459" t="s">
        <v>616</v>
      </c>
      <c r="C2459" t="s">
        <v>368</v>
      </c>
      <c r="D2459" t="s">
        <v>891</v>
      </c>
      <c r="E2459" t="s">
        <v>369</v>
      </c>
      <c r="F2459" t="s">
        <v>370</v>
      </c>
      <c r="H2459">
        <v>875.57</v>
      </c>
      <c r="I2459">
        <v>0</v>
      </c>
      <c r="J2459">
        <v>-783.45</v>
      </c>
      <c r="M2459" s="7"/>
    </row>
    <row r="2460" spans="2:13" customFormat="1" x14ac:dyDescent="0.25">
      <c r="B2460" t="s">
        <v>616</v>
      </c>
      <c r="C2460" t="s">
        <v>491</v>
      </c>
      <c r="D2460" t="s">
        <v>891</v>
      </c>
      <c r="E2460" t="s">
        <v>492</v>
      </c>
      <c r="F2460" t="s">
        <v>493</v>
      </c>
      <c r="H2460">
        <v>0</v>
      </c>
      <c r="I2460">
        <v>0</v>
      </c>
      <c r="J2460">
        <v>-0.01</v>
      </c>
      <c r="M2460" s="7"/>
    </row>
    <row r="2461" spans="2:13" customFormat="1" x14ac:dyDescent="0.25">
      <c r="B2461" t="s">
        <v>616</v>
      </c>
      <c r="C2461" t="s">
        <v>79</v>
      </c>
      <c r="D2461" t="s">
        <v>891</v>
      </c>
      <c r="E2461" t="s">
        <v>234</v>
      </c>
      <c r="F2461" t="s">
        <v>140</v>
      </c>
      <c r="H2461">
        <v>0</v>
      </c>
      <c r="I2461">
        <v>0</v>
      </c>
      <c r="J2461">
        <v>-746.43</v>
      </c>
      <c r="M2461" s="7"/>
    </row>
    <row r="2462" spans="2:13" customFormat="1" x14ac:dyDescent="0.25">
      <c r="B2462" t="s">
        <v>616</v>
      </c>
      <c r="C2462" t="s">
        <v>44</v>
      </c>
      <c r="D2462" t="s">
        <v>891</v>
      </c>
      <c r="E2462" t="s">
        <v>235</v>
      </c>
      <c r="F2462" t="s">
        <v>141</v>
      </c>
      <c r="H2462">
        <v>61.13</v>
      </c>
      <c r="I2462">
        <v>44.36</v>
      </c>
      <c r="J2462">
        <v>-76.38</v>
      </c>
      <c r="M2462" s="7"/>
    </row>
    <row r="2463" spans="2:13" customFormat="1" x14ac:dyDescent="0.25">
      <c r="B2463" t="s">
        <v>616</v>
      </c>
      <c r="C2463" t="s">
        <v>45</v>
      </c>
      <c r="D2463" t="s">
        <v>891</v>
      </c>
      <c r="E2463" t="s">
        <v>236</v>
      </c>
      <c r="F2463" t="s">
        <v>142</v>
      </c>
      <c r="H2463">
        <v>220.78</v>
      </c>
      <c r="I2463">
        <v>167.68</v>
      </c>
      <c r="J2463">
        <v>-988.84</v>
      </c>
      <c r="M2463" s="7"/>
    </row>
    <row r="2464" spans="2:13" customFormat="1" x14ac:dyDescent="0.25">
      <c r="B2464" t="s">
        <v>616</v>
      </c>
      <c r="C2464" t="s">
        <v>338</v>
      </c>
      <c r="D2464" t="s">
        <v>891</v>
      </c>
      <c r="E2464" t="s">
        <v>339</v>
      </c>
      <c r="F2464" t="s">
        <v>340</v>
      </c>
      <c r="H2464">
        <v>203.62</v>
      </c>
      <c r="I2464">
        <v>203.62</v>
      </c>
      <c r="J2464">
        <v>-203.62</v>
      </c>
      <c r="M2464" s="7"/>
    </row>
    <row r="2465" spans="2:13" customFormat="1" x14ac:dyDescent="0.25">
      <c r="B2465" t="s">
        <v>616</v>
      </c>
      <c r="C2465" t="s">
        <v>341</v>
      </c>
      <c r="D2465" t="s">
        <v>891</v>
      </c>
      <c r="E2465" t="s">
        <v>342</v>
      </c>
      <c r="F2465" t="s">
        <v>343</v>
      </c>
      <c r="H2465">
        <v>0</v>
      </c>
      <c r="I2465">
        <v>0</v>
      </c>
      <c r="J2465">
        <v>-30</v>
      </c>
      <c r="M2465" s="7"/>
    </row>
    <row r="2466" spans="2:13" customFormat="1" x14ac:dyDescent="0.25">
      <c r="B2466" t="s">
        <v>616</v>
      </c>
      <c r="C2466" t="s">
        <v>46</v>
      </c>
      <c r="D2466" t="s">
        <v>891</v>
      </c>
      <c r="E2466" t="s">
        <v>237</v>
      </c>
      <c r="F2466" t="s">
        <v>143</v>
      </c>
      <c r="H2466">
        <v>0</v>
      </c>
      <c r="I2466">
        <v>0</v>
      </c>
      <c r="J2466">
        <v>-1200000</v>
      </c>
      <c r="M2466" s="7"/>
    </row>
    <row r="2467" spans="2:13" customFormat="1" x14ac:dyDescent="0.25">
      <c r="B2467" t="s">
        <v>616</v>
      </c>
      <c r="C2467" t="s">
        <v>47</v>
      </c>
      <c r="D2467" t="s">
        <v>891</v>
      </c>
      <c r="E2467" t="s">
        <v>238</v>
      </c>
      <c r="F2467" t="s">
        <v>144</v>
      </c>
      <c r="H2467">
        <v>0</v>
      </c>
      <c r="I2467">
        <v>0</v>
      </c>
      <c r="J2467">
        <v>96599.1</v>
      </c>
      <c r="M2467" s="7"/>
    </row>
    <row r="2468" spans="2:13" customFormat="1" x14ac:dyDescent="0.25">
      <c r="B2468" t="s">
        <v>616</v>
      </c>
      <c r="C2468" t="s">
        <v>588</v>
      </c>
      <c r="D2468" t="s">
        <v>891</v>
      </c>
      <c r="E2468" t="s">
        <v>589</v>
      </c>
      <c r="F2468" t="s">
        <v>590</v>
      </c>
      <c r="H2468">
        <v>0</v>
      </c>
      <c r="I2468">
        <v>0</v>
      </c>
      <c r="J2468">
        <v>-33020.25</v>
      </c>
      <c r="M2468" s="7"/>
    </row>
    <row r="2469" spans="2:13" customFormat="1" x14ac:dyDescent="0.25">
      <c r="B2469" t="s">
        <v>616</v>
      </c>
      <c r="C2469" t="s">
        <v>85</v>
      </c>
      <c r="D2469" t="s">
        <v>891</v>
      </c>
      <c r="E2469" t="s">
        <v>240</v>
      </c>
      <c r="F2469" t="s">
        <v>146</v>
      </c>
      <c r="H2469">
        <v>0</v>
      </c>
      <c r="I2469">
        <v>0</v>
      </c>
      <c r="J2469">
        <v>347483.46</v>
      </c>
      <c r="M2469" s="7"/>
    </row>
    <row r="2470" spans="2:13" customFormat="1" x14ac:dyDescent="0.25">
      <c r="B2470" t="s">
        <v>616</v>
      </c>
      <c r="C2470" t="s">
        <v>371</v>
      </c>
      <c r="D2470" t="s">
        <v>891</v>
      </c>
      <c r="E2470" t="s">
        <v>372</v>
      </c>
      <c r="F2470" t="s">
        <v>373</v>
      </c>
      <c r="H2470">
        <v>634710.13</v>
      </c>
      <c r="I2470">
        <v>0</v>
      </c>
      <c r="J2470">
        <v>-4575380.2699999996</v>
      </c>
      <c r="M2470" s="7"/>
    </row>
    <row r="2471" spans="2:13" customFormat="1" x14ac:dyDescent="0.25">
      <c r="B2471" t="s">
        <v>616</v>
      </c>
      <c r="C2471" t="s">
        <v>374</v>
      </c>
      <c r="D2471" t="s">
        <v>891</v>
      </c>
      <c r="E2471" t="s">
        <v>375</v>
      </c>
      <c r="F2471" t="s">
        <v>376</v>
      </c>
      <c r="H2471">
        <v>69384.73</v>
      </c>
      <c r="I2471">
        <v>0</v>
      </c>
      <c r="J2471">
        <v>-480936.17</v>
      </c>
      <c r="M2471" s="7"/>
    </row>
    <row r="2472" spans="2:13" customFormat="1" x14ac:dyDescent="0.25">
      <c r="B2472" t="s">
        <v>616</v>
      </c>
      <c r="C2472" t="s">
        <v>48</v>
      </c>
      <c r="D2472" t="s">
        <v>891</v>
      </c>
      <c r="E2472" t="s">
        <v>241</v>
      </c>
      <c r="F2472" t="s">
        <v>147</v>
      </c>
      <c r="H2472">
        <v>5227.67</v>
      </c>
      <c r="I2472">
        <v>0</v>
      </c>
      <c r="J2472">
        <v>-31045.77</v>
      </c>
      <c r="M2472" s="7"/>
    </row>
    <row r="2473" spans="2:13" customFormat="1" x14ac:dyDescent="0.25">
      <c r="B2473" t="s">
        <v>616</v>
      </c>
      <c r="C2473" t="s">
        <v>86</v>
      </c>
      <c r="D2473" t="s">
        <v>891</v>
      </c>
      <c r="E2473" t="s">
        <v>242</v>
      </c>
      <c r="F2473" t="s">
        <v>148</v>
      </c>
      <c r="H2473">
        <v>77551.259999999995</v>
      </c>
      <c r="I2473">
        <v>0</v>
      </c>
      <c r="J2473">
        <v>-575128.17000000004</v>
      </c>
      <c r="M2473" s="7"/>
    </row>
    <row r="2474" spans="2:13" customFormat="1" x14ac:dyDescent="0.25">
      <c r="B2474" t="s">
        <v>616</v>
      </c>
      <c r="C2474" t="s">
        <v>49</v>
      </c>
      <c r="D2474" t="s">
        <v>891</v>
      </c>
      <c r="E2474" t="s">
        <v>243</v>
      </c>
      <c r="F2474" t="s">
        <v>149</v>
      </c>
      <c r="H2474">
        <v>530.04</v>
      </c>
      <c r="I2474">
        <v>6569.72</v>
      </c>
      <c r="J2474">
        <v>48993.46</v>
      </c>
      <c r="M2474" s="7"/>
    </row>
    <row r="2475" spans="2:13" customFormat="1" x14ac:dyDescent="0.25">
      <c r="B2475" t="s">
        <v>616</v>
      </c>
      <c r="C2475" t="s">
        <v>50</v>
      </c>
      <c r="D2475" t="s">
        <v>891</v>
      </c>
      <c r="E2475" t="s">
        <v>244</v>
      </c>
      <c r="F2475" t="s">
        <v>150</v>
      </c>
      <c r="H2475">
        <v>0</v>
      </c>
      <c r="I2475">
        <v>686.48</v>
      </c>
      <c r="J2475">
        <v>4507.33</v>
      </c>
      <c r="M2475" s="7"/>
    </row>
    <row r="2476" spans="2:13" customFormat="1" x14ac:dyDescent="0.25">
      <c r="B2476" t="s">
        <v>616</v>
      </c>
      <c r="C2476" t="s">
        <v>51</v>
      </c>
      <c r="D2476" t="s">
        <v>891</v>
      </c>
      <c r="E2476" t="s">
        <v>245</v>
      </c>
      <c r="F2476" t="s">
        <v>151</v>
      </c>
      <c r="H2476">
        <v>0</v>
      </c>
      <c r="I2476">
        <v>3161.95</v>
      </c>
      <c r="J2476">
        <v>20761.14</v>
      </c>
      <c r="M2476" s="7"/>
    </row>
    <row r="2477" spans="2:13" customFormat="1" x14ac:dyDescent="0.25">
      <c r="B2477" t="s">
        <v>616</v>
      </c>
      <c r="C2477" t="s">
        <v>87</v>
      </c>
      <c r="D2477" t="s">
        <v>891</v>
      </c>
      <c r="E2477" t="s">
        <v>246</v>
      </c>
      <c r="F2477" t="s">
        <v>152</v>
      </c>
      <c r="H2477">
        <v>21196.76</v>
      </c>
      <c r="I2477">
        <v>20232</v>
      </c>
      <c r="J2477">
        <v>-2418.19</v>
      </c>
      <c r="M2477" s="7"/>
    </row>
    <row r="2478" spans="2:13" customFormat="1" x14ac:dyDescent="0.25">
      <c r="B2478" t="s">
        <v>616</v>
      </c>
      <c r="C2478" t="s">
        <v>618</v>
      </c>
      <c r="D2478" t="s">
        <v>891</v>
      </c>
      <c r="E2478" t="s">
        <v>619</v>
      </c>
      <c r="F2478" t="s">
        <v>617</v>
      </c>
      <c r="H2478">
        <v>0</v>
      </c>
      <c r="I2478">
        <v>0</v>
      </c>
      <c r="J2478">
        <v>-20.97</v>
      </c>
      <c r="M2478" s="7"/>
    </row>
    <row r="2479" spans="2:13" customFormat="1" x14ac:dyDescent="0.25">
      <c r="B2479" t="s">
        <v>616</v>
      </c>
      <c r="C2479" t="s">
        <v>88</v>
      </c>
      <c r="D2479" t="s">
        <v>891</v>
      </c>
      <c r="E2479" t="s">
        <v>248</v>
      </c>
      <c r="F2479" t="s">
        <v>154</v>
      </c>
      <c r="H2479">
        <v>19.739999999999998</v>
      </c>
      <c r="I2479">
        <v>0</v>
      </c>
      <c r="J2479">
        <v>-4045.7</v>
      </c>
      <c r="M2479" s="7"/>
    </row>
    <row r="2480" spans="2:13" customFormat="1" x14ac:dyDescent="0.25">
      <c r="B2480" t="s">
        <v>616</v>
      </c>
      <c r="C2480" t="s">
        <v>377</v>
      </c>
      <c r="D2480" t="s">
        <v>891</v>
      </c>
      <c r="E2480" t="s">
        <v>378</v>
      </c>
      <c r="F2480" t="s">
        <v>379</v>
      </c>
      <c r="H2480">
        <v>30232</v>
      </c>
      <c r="I2480">
        <v>643051.68999999994</v>
      </c>
      <c r="J2480">
        <v>4466643.7</v>
      </c>
      <c r="M2480" s="7"/>
    </row>
    <row r="2481" spans="2:13" customFormat="1" x14ac:dyDescent="0.25">
      <c r="B2481" t="s">
        <v>616</v>
      </c>
      <c r="C2481" t="s">
        <v>53</v>
      </c>
      <c r="D2481" t="s">
        <v>891</v>
      </c>
      <c r="E2481" t="s">
        <v>249</v>
      </c>
      <c r="F2481" t="s">
        <v>155</v>
      </c>
      <c r="H2481">
        <v>1962.83</v>
      </c>
      <c r="I2481">
        <v>46141.56</v>
      </c>
      <c r="J2481">
        <v>325155.01</v>
      </c>
      <c r="M2481" s="7"/>
    </row>
    <row r="2482" spans="2:13" customFormat="1" x14ac:dyDescent="0.25">
      <c r="B2482" t="s">
        <v>616</v>
      </c>
      <c r="C2482" t="s">
        <v>54</v>
      </c>
      <c r="D2482" t="s">
        <v>891</v>
      </c>
      <c r="E2482" t="s">
        <v>250</v>
      </c>
      <c r="F2482" t="s">
        <v>156</v>
      </c>
      <c r="H2482">
        <v>0</v>
      </c>
      <c r="I2482">
        <v>2919.63</v>
      </c>
      <c r="J2482">
        <v>15945.99</v>
      </c>
      <c r="M2482" s="7"/>
    </row>
    <row r="2483" spans="2:13" customFormat="1" x14ac:dyDescent="0.25">
      <c r="B2483" t="s">
        <v>616</v>
      </c>
      <c r="C2483" t="s">
        <v>55</v>
      </c>
      <c r="D2483" t="s">
        <v>891</v>
      </c>
      <c r="E2483" t="s">
        <v>252</v>
      </c>
      <c r="F2483" t="s">
        <v>158</v>
      </c>
      <c r="H2483">
        <v>0</v>
      </c>
      <c r="I2483">
        <v>27428.85</v>
      </c>
      <c r="J2483">
        <v>190357.33</v>
      </c>
      <c r="M2483" s="7"/>
    </row>
    <row r="2484" spans="2:13" customFormat="1" x14ac:dyDescent="0.25">
      <c r="B2484" t="s">
        <v>616</v>
      </c>
      <c r="C2484" t="s">
        <v>56</v>
      </c>
      <c r="D2484" t="s">
        <v>891</v>
      </c>
      <c r="E2484" t="s">
        <v>253</v>
      </c>
      <c r="F2484" t="s">
        <v>159</v>
      </c>
      <c r="H2484">
        <v>0</v>
      </c>
      <c r="I2484">
        <v>7532.84</v>
      </c>
      <c r="J2484">
        <v>44125.19</v>
      </c>
      <c r="M2484" s="7"/>
    </row>
    <row r="2485" spans="2:13" customFormat="1" x14ac:dyDescent="0.25">
      <c r="B2485" t="s">
        <v>616</v>
      </c>
      <c r="C2485" t="s">
        <v>57</v>
      </c>
      <c r="D2485" t="s">
        <v>891</v>
      </c>
      <c r="E2485" t="s">
        <v>254</v>
      </c>
      <c r="F2485" t="s">
        <v>160</v>
      </c>
      <c r="H2485">
        <v>0</v>
      </c>
      <c r="I2485">
        <v>2247.16</v>
      </c>
      <c r="J2485">
        <v>5417.71</v>
      </c>
      <c r="M2485" s="7"/>
    </row>
    <row r="2486" spans="2:13" customFormat="1" x14ac:dyDescent="0.25">
      <c r="B2486" t="s">
        <v>616</v>
      </c>
      <c r="C2486" t="s">
        <v>58</v>
      </c>
      <c r="D2486" t="s">
        <v>891</v>
      </c>
      <c r="E2486" t="s">
        <v>255</v>
      </c>
      <c r="F2486" t="s">
        <v>161</v>
      </c>
      <c r="H2486">
        <v>4.95</v>
      </c>
      <c r="I2486">
        <v>3662.56</v>
      </c>
      <c r="J2486">
        <v>32583.43</v>
      </c>
      <c r="M2486" s="7"/>
    </row>
    <row r="2487" spans="2:13" customFormat="1" x14ac:dyDescent="0.25">
      <c r="B2487" t="s">
        <v>616</v>
      </c>
      <c r="C2487" t="s">
        <v>59</v>
      </c>
      <c r="D2487" t="s">
        <v>891</v>
      </c>
      <c r="E2487" t="s">
        <v>256</v>
      </c>
      <c r="F2487" t="s">
        <v>162</v>
      </c>
      <c r="H2487">
        <v>20.010000000000002</v>
      </c>
      <c r="I2487">
        <v>2179.7399999999998</v>
      </c>
      <c r="J2487">
        <v>16499.38</v>
      </c>
      <c r="M2487" s="7"/>
    </row>
    <row r="2488" spans="2:13" customFormat="1" x14ac:dyDescent="0.25">
      <c r="B2488" t="s">
        <v>616</v>
      </c>
      <c r="C2488" t="s">
        <v>90</v>
      </c>
      <c r="D2488" t="s">
        <v>891</v>
      </c>
      <c r="E2488" t="s">
        <v>257</v>
      </c>
      <c r="F2488" t="s">
        <v>163</v>
      </c>
      <c r="H2488">
        <v>0</v>
      </c>
      <c r="I2488">
        <v>0</v>
      </c>
      <c r="J2488">
        <v>-24407.07</v>
      </c>
      <c r="M2488" s="7"/>
    </row>
    <row r="2489" spans="2:13" customFormat="1" x14ac:dyDescent="0.25">
      <c r="B2489" t="s">
        <v>616</v>
      </c>
      <c r="C2489" t="s">
        <v>60</v>
      </c>
      <c r="D2489" t="s">
        <v>891</v>
      </c>
      <c r="E2489" t="s">
        <v>258</v>
      </c>
      <c r="F2489" t="s">
        <v>164</v>
      </c>
      <c r="H2489">
        <v>0</v>
      </c>
      <c r="I2489">
        <v>973.46</v>
      </c>
      <c r="J2489">
        <v>12150.16</v>
      </c>
      <c r="M2489" s="7"/>
    </row>
    <row r="2490" spans="2:13" customFormat="1" x14ac:dyDescent="0.25">
      <c r="B2490" t="s">
        <v>616</v>
      </c>
      <c r="C2490" t="s">
        <v>61</v>
      </c>
      <c r="D2490" t="s">
        <v>891</v>
      </c>
      <c r="E2490" t="s">
        <v>259</v>
      </c>
      <c r="F2490" t="s">
        <v>165</v>
      </c>
      <c r="H2490">
        <v>0</v>
      </c>
      <c r="I2490">
        <v>0</v>
      </c>
      <c r="J2490">
        <v>5882.26</v>
      </c>
      <c r="M2490" s="7"/>
    </row>
    <row r="2491" spans="2:13" customFormat="1" x14ac:dyDescent="0.25">
      <c r="B2491" t="s">
        <v>616</v>
      </c>
      <c r="C2491" t="s">
        <v>344</v>
      </c>
      <c r="D2491" t="s">
        <v>891</v>
      </c>
      <c r="E2491" t="s">
        <v>345</v>
      </c>
      <c r="F2491" t="s">
        <v>346</v>
      </c>
      <c r="H2491">
        <v>6.45</v>
      </c>
      <c r="I2491">
        <v>1465.92</v>
      </c>
      <c r="J2491">
        <v>11017.1</v>
      </c>
      <c r="M2491" s="7"/>
    </row>
    <row r="2492" spans="2:13" customFormat="1" x14ac:dyDescent="0.25">
      <c r="B2492" t="s">
        <v>616</v>
      </c>
      <c r="C2492" t="s">
        <v>62</v>
      </c>
      <c r="D2492" t="s">
        <v>891</v>
      </c>
      <c r="E2492" t="s">
        <v>260</v>
      </c>
      <c r="F2492" t="s">
        <v>166</v>
      </c>
      <c r="H2492">
        <v>127.51</v>
      </c>
      <c r="I2492">
        <v>828.42</v>
      </c>
      <c r="J2492">
        <v>10516.81</v>
      </c>
      <c r="M2492" s="7"/>
    </row>
    <row r="2493" spans="2:13" customFormat="1" x14ac:dyDescent="0.25">
      <c r="B2493" t="s">
        <v>616</v>
      </c>
      <c r="C2493" t="s">
        <v>207</v>
      </c>
      <c r="D2493" t="s">
        <v>891</v>
      </c>
      <c r="E2493" t="s">
        <v>299</v>
      </c>
      <c r="F2493" t="s">
        <v>208</v>
      </c>
      <c r="H2493">
        <v>120</v>
      </c>
      <c r="I2493">
        <v>1199.4000000000001</v>
      </c>
      <c r="J2493">
        <v>5879.19</v>
      </c>
      <c r="M2493" s="7"/>
    </row>
    <row r="2494" spans="2:13" customFormat="1" x14ac:dyDescent="0.25">
      <c r="B2494" t="s">
        <v>616</v>
      </c>
      <c r="C2494" t="s">
        <v>63</v>
      </c>
      <c r="D2494" t="s">
        <v>891</v>
      </c>
      <c r="E2494" t="s">
        <v>261</v>
      </c>
      <c r="F2494" t="s">
        <v>167</v>
      </c>
      <c r="H2494">
        <v>1244.1400000000001</v>
      </c>
      <c r="I2494">
        <v>0</v>
      </c>
      <c r="J2494">
        <v>-5213.5200000000004</v>
      </c>
      <c r="M2494" s="7"/>
    </row>
    <row r="2495" spans="2:13" customFormat="1" x14ac:dyDescent="0.25">
      <c r="B2495" t="s">
        <v>616</v>
      </c>
      <c r="C2495" t="s">
        <v>380</v>
      </c>
      <c r="D2495" t="s">
        <v>891</v>
      </c>
      <c r="E2495" t="s">
        <v>381</v>
      </c>
      <c r="F2495" t="s">
        <v>382</v>
      </c>
      <c r="H2495">
        <v>189.19</v>
      </c>
      <c r="I2495">
        <v>0</v>
      </c>
      <c r="J2495">
        <v>2315.04</v>
      </c>
      <c r="M2495" s="7"/>
    </row>
    <row r="2496" spans="2:13" customFormat="1" x14ac:dyDescent="0.25">
      <c r="B2496" t="s">
        <v>616</v>
      </c>
      <c r="C2496" t="s">
        <v>91</v>
      </c>
      <c r="D2496" t="s">
        <v>891</v>
      </c>
      <c r="E2496" t="s">
        <v>262</v>
      </c>
      <c r="F2496" t="s">
        <v>168</v>
      </c>
      <c r="H2496">
        <v>0</v>
      </c>
      <c r="I2496">
        <v>2514.14</v>
      </c>
      <c r="J2496">
        <v>6309.06</v>
      </c>
      <c r="M2496" s="7"/>
    </row>
    <row r="2497" spans="2:13" customFormat="1" x14ac:dyDescent="0.25">
      <c r="B2497" t="s">
        <v>616</v>
      </c>
      <c r="C2497" t="s">
        <v>383</v>
      </c>
      <c r="D2497" t="s">
        <v>891</v>
      </c>
      <c r="E2497" t="s">
        <v>384</v>
      </c>
      <c r="F2497" t="s">
        <v>385</v>
      </c>
      <c r="H2497">
        <v>0</v>
      </c>
      <c r="I2497">
        <v>0</v>
      </c>
      <c r="J2497">
        <v>1100.1600000000001</v>
      </c>
      <c r="M2497" s="7"/>
    </row>
    <row r="2498" spans="2:13" customFormat="1" x14ac:dyDescent="0.25">
      <c r="B2498" t="s">
        <v>616</v>
      </c>
      <c r="C2498" t="s">
        <v>386</v>
      </c>
      <c r="D2498" t="s">
        <v>891</v>
      </c>
      <c r="E2498" t="s">
        <v>387</v>
      </c>
      <c r="F2498" t="s">
        <v>388</v>
      </c>
      <c r="H2498">
        <v>0</v>
      </c>
      <c r="I2498">
        <v>358.95</v>
      </c>
      <c r="J2498">
        <v>1891.45</v>
      </c>
      <c r="M2498" s="7"/>
    </row>
    <row r="2499" spans="2:13" customFormat="1" x14ac:dyDescent="0.25">
      <c r="B2499" t="s">
        <v>616</v>
      </c>
      <c r="C2499" t="s">
        <v>92</v>
      </c>
      <c r="D2499" t="s">
        <v>891</v>
      </c>
      <c r="E2499" t="s">
        <v>263</v>
      </c>
      <c r="F2499" t="s">
        <v>169</v>
      </c>
      <c r="H2499">
        <v>0</v>
      </c>
      <c r="I2499">
        <v>0</v>
      </c>
      <c r="J2499">
        <v>-1360.22</v>
      </c>
      <c r="M2499" s="7"/>
    </row>
    <row r="2500" spans="2:13" customFormat="1" x14ac:dyDescent="0.25">
      <c r="B2500" t="s">
        <v>616</v>
      </c>
      <c r="C2500" t="s">
        <v>93</v>
      </c>
      <c r="D2500" t="s">
        <v>891</v>
      </c>
      <c r="E2500" t="s">
        <v>264</v>
      </c>
      <c r="F2500" t="s">
        <v>170</v>
      </c>
      <c r="H2500">
        <v>0</v>
      </c>
      <c r="I2500">
        <v>1548</v>
      </c>
      <c r="J2500">
        <v>6522.36</v>
      </c>
      <c r="M2500" s="7"/>
    </row>
    <row r="2501" spans="2:13" customFormat="1" x14ac:dyDescent="0.25">
      <c r="B2501" t="s">
        <v>616</v>
      </c>
      <c r="C2501" t="s">
        <v>350</v>
      </c>
      <c r="D2501" t="s">
        <v>891</v>
      </c>
      <c r="E2501" t="s">
        <v>351</v>
      </c>
      <c r="F2501" t="s">
        <v>352</v>
      </c>
      <c r="H2501">
        <v>0</v>
      </c>
      <c r="I2501">
        <v>0</v>
      </c>
      <c r="J2501">
        <v>-15534.06</v>
      </c>
      <c r="M2501" s="7"/>
    </row>
    <row r="2502" spans="2:13" customFormat="1" x14ac:dyDescent="0.25">
      <c r="B2502" t="s">
        <v>616</v>
      </c>
      <c r="C2502" t="s">
        <v>64</v>
      </c>
      <c r="D2502" t="s">
        <v>891</v>
      </c>
      <c r="E2502" t="s">
        <v>265</v>
      </c>
      <c r="F2502" t="s">
        <v>171</v>
      </c>
      <c r="H2502">
        <v>9.23</v>
      </c>
      <c r="I2502">
        <v>2150.0100000000002</v>
      </c>
      <c r="J2502">
        <v>20203.150000000001</v>
      </c>
      <c r="M2502" s="7"/>
    </row>
    <row r="2503" spans="2:13" customFormat="1" x14ac:dyDescent="0.25">
      <c r="B2503" t="s">
        <v>616</v>
      </c>
      <c r="C2503" t="s">
        <v>94</v>
      </c>
      <c r="D2503" t="s">
        <v>891</v>
      </c>
      <c r="E2503" t="s">
        <v>266</v>
      </c>
      <c r="F2503" t="s">
        <v>172</v>
      </c>
      <c r="H2503">
        <v>0</v>
      </c>
      <c r="I2503">
        <v>0</v>
      </c>
      <c r="J2503">
        <v>611.28</v>
      </c>
      <c r="M2503" s="7"/>
    </row>
    <row r="2504" spans="2:13" customFormat="1" x14ac:dyDescent="0.25">
      <c r="B2504" t="s">
        <v>616</v>
      </c>
      <c r="C2504" t="s">
        <v>353</v>
      </c>
      <c r="D2504" t="s">
        <v>891</v>
      </c>
      <c r="E2504" t="s">
        <v>354</v>
      </c>
      <c r="F2504" t="s">
        <v>355</v>
      </c>
      <c r="H2504">
        <v>0</v>
      </c>
      <c r="I2504">
        <v>0</v>
      </c>
      <c r="J2504">
        <v>-92.86</v>
      </c>
      <c r="M2504" s="7"/>
    </row>
    <row r="2505" spans="2:13" customFormat="1" x14ac:dyDescent="0.25">
      <c r="B2505" t="s">
        <v>616</v>
      </c>
      <c r="C2505" t="s">
        <v>95</v>
      </c>
      <c r="D2505" t="s">
        <v>891</v>
      </c>
      <c r="E2505" t="s">
        <v>267</v>
      </c>
      <c r="F2505" t="s">
        <v>173</v>
      </c>
      <c r="H2505">
        <v>0</v>
      </c>
      <c r="I2505">
        <v>0</v>
      </c>
      <c r="J2505">
        <v>-252.88</v>
      </c>
      <c r="M2505" s="7"/>
    </row>
    <row r="2506" spans="2:13" customFormat="1" x14ac:dyDescent="0.25">
      <c r="B2506" t="s">
        <v>616</v>
      </c>
      <c r="C2506" t="s">
        <v>620</v>
      </c>
      <c r="D2506" t="s">
        <v>891</v>
      </c>
      <c r="E2506" t="s">
        <v>621</v>
      </c>
      <c r="F2506" t="s">
        <v>622</v>
      </c>
      <c r="H2506">
        <v>0</v>
      </c>
      <c r="I2506">
        <v>0</v>
      </c>
      <c r="J2506">
        <v>400</v>
      </c>
      <c r="M2506" s="7"/>
    </row>
    <row r="2507" spans="2:13" customFormat="1" x14ac:dyDescent="0.25">
      <c r="B2507" t="s">
        <v>616</v>
      </c>
      <c r="C2507" t="s">
        <v>389</v>
      </c>
      <c r="D2507" t="s">
        <v>891</v>
      </c>
      <c r="E2507" t="s">
        <v>390</v>
      </c>
      <c r="F2507" t="s">
        <v>391</v>
      </c>
      <c r="H2507">
        <v>0</v>
      </c>
      <c r="I2507">
        <v>0</v>
      </c>
      <c r="J2507">
        <v>350</v>
      </c>
      <c r="M2507" s="7"/>
    </row>
    <row r="2508" spans="2:13" customFormat="1" x14ac:dyDescent="0.25">
      <c r="B2508" t="s">
        <v>616</v>
      </c>
      <c r="C2508" t="s">
        <v>65</v>
      </c>
      <c r="D2508" t="s">
        <v>891</v>
      </c>
      <c r="E2508" t="s">
        <v>269</v>
      </c>
      <c r="F2508" t="s">
        <v>175</v>
      </c>
      <c r="H2508">
        <v>0</v>
      </c>
      <c r="I2508">
        <v>17366.41</v>
      </c>
      <c r="J2508">
        <v>109974.5</v>
      </c>
      <c r="M2508" s="7"/>
    </row>
    <row r="2509" spans="2:13" customFormat="1" x14ac:dyDescent="0.25">
      <c r="B2509" t="s">
        <v>616</v>
      </c>
      <c r="C2509" t="s">
        <v>97</v>
      </c>
      <c r="D2509" t="s">
        <v>891</v>
      </c>
      <c r="E2509" t="s">
        <v>270</v>
      </c>
      <c r="F2509" t="s">
        <v>176</v>
      </c>
      <c r="H2509">
        <v>0</v>
      </c>
      <c r="I2509">
        <v>119.47</v>
      </c>
      <c r="J2509">
        <v>732.07</v>
      </c>
      <c r="M2509" s="7"/>
    </row>
    <row r="2510" spans="2:13" customFormat="1" x14ac:dyDescent="0.25">
      <c r="B2510" t="s">
        <v>616</v>
      </c>
      <c r="C2510" t="s">
        <v>66</v>
      </c>
      <c r="D2510" t="s">
        <v>891</v>
      </c>
      <c r="E2510" t="s">
        <v>272</v>
      </c>
      <c r="F2510" t="s">
        <v>178</v>
      </c>
      <c r="H2510">
        <v>0</v>
      </c>
      <c r="I2510">
        <v>130</v>
      </c>
      <c r="J2510">
        <v>780</v>
      </c>
      <c r="M2510" s="7"/>
    </row>
    <row r="2511" spans="2:13" customFormat="1" x14ac:dyDescent="0.25">
      <c r="B2511" t="s">
        <v>616</v>
      </c>
      <c r="C2511" t="s">
        <v>99</v>
      </c>
      <c r="D2511" t="s">
        <v>891</v>
      </c>
      <c r="E2511" t="s">
        <v>273</v>
      </c>
      <c r="F2511" t="s">
        <v>179</v>
      </c>
      <c r="H2511">
        <v>1897.5</v>
      </c>
      <c r="I2511">
        <v>0</v>
      </c>
      <c r="J2511">
        <v>0</v>
      </c>
      <c r="M2511" s="7"/>
    </row>
    <row r="2512" spans="2:13" customFormat="1" x14ac:dyDescent="0.25">
      <c r="B2512" t="s">
        <v>616</v>
      </c>
      <c r="C2512" t="s">
        <v>392</v>
      </c>
      <c r="D2512" t="s">
        <v>891</v>
      </c>
      <c r="E2512" t="s">
        <v>393</v>
      </c>
      <c r="F2512" t="s">
        <v>394</v>
      </c>
      <c r="H2512">
        <v>0</v>
      </c>
      <c r="I2512">
        <v>805.27</v>
      </c>
      <c r="J2512">
        <v>8614.7999999999993</v>
      </c>
      <c r="M2512" s="7"/>
    </row>
    <row r="2513" spans="2:13" customFormat="1" x14ac:dyDescent="0.25">
      <c r="B2513" t="s">
        <v>616</v>
      </c>
      <c r="C2513" t="s">
        <v>591</v>
      </c>
      <c r="D2513" t="s">
        <v>891</v>
      </c>
      <c r="E2513" t="s">
        <v>592</v>
      </c>
      <c r="F2513" t="s">
        <v>593</v>
      </c>
      <c r="H2513">
        <v>0</v>
      </c>
      <c r="I2513">
        <v>0</v>
      </c>
      <c r="J2513">
        <v>3090.38</v>
      </c>
      <c r="M2513" s="7"/>
    </row>
    <row r="2514" spans="2:13" customFormat="1" x14ac:dyDescent="0.25">
      <c r="B2514" t="s">
        <v>616</v>
      </c>
      <c r="C2514" t="s">
        <v>100</v>
      </c>
      <c r="D2514" t="s">
        <v>891</v>
      </c>
      <c r="E2514" t="s">
        <v>274</v>
      </c>
      <c r="F2514" t="s">
        <v>180</v>
      </c>
      <c r="H2514">
        <v>4095</v>
      </c>
      <c r="I2514">
        <v>8837.74</v>
      </c>
      <c r="J2514">
        <v>29309.67</v>
      </c>
      <c r="M2514" s="7"/>
    </row>
    <row r="2515" spans="2:13" customFormat="1" x14ac:dyDescent="0.25">
      <c r="B2515" t="s">
        <v>616</v>
      </c>
      <c r="C2515" t="s">
        <v>101</v>
      </c>
      <c r="D2515" t="s">
        <v>891</v>
      </c>
      <c r="E2515" t="s">
        <v>275</v>
      </c>
      <c r="F2515" t="s">
        <v>181</v>
      </c>
      <c r="H2515">
        <v>0</v>
      </c>
      <c r="I2515">
        <v>580</v>
      </c>
      <c r="J2515">
        <v>580</v>
      </c>
      <c r="M2515" s="7"/>
    </row>
    <row r="2516" spans="2:13" customFormat="1" x14ac:dyDescent="0.25">
      <c r="B2516" t="s">
        <v>616</v>
      </c>
      <c r="C2516" t="s">
        <v>67</v>
      </c>
      <c r="D2516" t="s">
        <v>891</v>
      </c>
      <c r="E2516" t="s">
        <v>276</v>
      </c>
      <c r="F2516" t="s">
        <v>182</v>
      </c>
      <c r="H2516">
        <v>0</v>
      </c>
      <c r="I2516">
        <v>936.27</v>
      </c>
      <c r="J2516">
        <v>24550.41</v>
      </c>
      <c r="M2516" s="7"/>
    </row>
    <row r="2517" spans="2:13" customFormat="1" x14ac:dyDescent="0.25">
      <c r="B2517" t="s">
        <v>616</v>
      </c>
      <c r="C2517" t="s">
        <v>102</v>
      </c>
      <c r="D2517" t="s">
        <v>891</v>
      </c>
      <c r="E2517" t="s">
        <v>277</v>
      </c>
      <c r="F2517" t="s">
        <v>183</v>
      </c>
      <c r="H2517">
        <v>0</v>
      </c>
      <c r="I2517">
        <v>0</v>
      </c>
      <c r="J2517">
        <v>9567.5499999999993</v>
      </c>
      <c r="M2517" s="7"/>
    </row>
    <row r="2518" spans="2:13" customFormat="1" x14ac:dyDescent="0.25">
      <c r="B2518" t="s">
        <v>616</v>
      </c>
      <c r="C2518" t="s">
        <v>103</v>
      </c>
      <c r="D2518" t="s">
        <v>891</v>
      </c>
      <c r="E2518" t="s">
        <v>278</v>
      </c>
      <c r="F2518" t="s">
        <v>184</v>
      </c>
      <c r="H2518">
        <v>0</v>
      </c>
      <c r="I2518">
        <v>0</v>
      </c>
      <c r="J2518">
        <v>1200</v>
      </c>
      <c r="M2518" s="7"/>
    </row>
    <row r="2519" spans="2:13" customFormat="1" x14ac:dyDescent="0.25">
      <c r="B2519" t="s">
        <v>616</v>
      </c>
      <c r="C2519" t="s">
        <v>68</v>
      </c>
      <c r="D2519" t="s">
        <v>891</v>
      </c>
      <c r="E2519" t="s">
        <v>279</v>
      </c>
      <c r="F2519" t="s">
        <v>185</v>
      </c>
      <c r="H2519">
        <v>0</v>
      </c>
      <c r="I2519">
        <v>2386.8200000000002</v>
      </c>
      <c r="J2519">
        <v>15190.81</v>
      </c>
      <c r="M2519" s="7"/>
    </row>
    <row r="2520" spans="2:13" customFormat="1" x14ac:dyDescent="0.25">
      <c r="B2520" t="s">
        <v>616</v>
      </c>
      <c r="C2520" t="s">
        <v>395</v>
      </c>
      <c r="D2520" t="s">
        <v>891</v>
      </c>
      <c r="E2520" t="s">
        <v>396</v>
      </c>
      <c r="F2520" t="s">
        <v>397</v>
      </c>
      <c r="H2520">
        <v>0</v>
      </c>
      <c r="I2520">
        <v>400</v>
      </c>
      <c r="J2520">
        <v>2800</v>
      </c>
      <c r="M2520" s="7"/>
    </row>
    <row r="2521" spans="2:13" customFormat="1" x14ac:dyDescent="0.25">
      <c r="B2521" t="s">
        <v>616</v>
      </c>
      <c r="C2521" t="s">
        <v>104</v>
      </c>
      <c r="D2521" t="s">
        <v>891</v>
      </c>
      <c r="E2521" t="s">
        <v>280</v>
      </c>
      <c r="F2521" t="s">
        <v>186</v>
      </c>
      <c r="H2521">
        <v>0</v>
      </c>
      <c r="I2521">
        <v>0</v>
      </c>
      <c r="J2521">
        <v>8907.59</v>
      </c>
      <c r="M2521" s="7"/>
    </row>
    <row r="2522" spans="2:13" customFormat="1" x14ac:dyDescent="0.25">
      <c r="B2522" t="s">
        <v>616</v>
      </c>
      <c r="C2522" t="s">
        <v>356</v>
      </c>
      <c r="D2522" t="s">
        <v>891</v>
      </c>
      <c r="E2522" t="s">
        <v>357</v>
      </c>
      <c r="F2522" t="s">
        <v>358</v>
      </c>
      <c r="H2522">
        <v>0</v>
      </c>
      <c r="I2522">
        <v>0</v>
      </c>
      <c r="J2522">
        <v>8193.0300000000007</v>
      </c>
      <c r="M2522" s="7"/>
    </row>
    <row r="2523" spans="2:13" customFormat="1" x14ac:dyDescent="0.25">
      <c r="B2523" t="s">
        <v>616</v>
      </c>
      <c r="C2523" t="s">
        <v>105</v>
      </c>
      <c r="D2523" t="s">
        <v>891</v>
      </c>
      <c r="E2523" t="s">
        <v>281</v>
      </c>
      <c r="F2523" t="s">
        <v>187</v>
      </c>
      <c r="H2523">
        <v>0</v>
      </c>
      <c r="I2523">
        <v>751.01</v>
      </c>
      <c r="J2523">
        <v>4017.38</v>
      </c>
      <c r="M2523" s="7"/>
    </row>
    <row r="2524" spans="2:13" customFormat="1" x14ac:dyDescent="0.25">
      <c r="B2524" t="s">
        <v>616</v>
      </c>
      <c r="C2524" t="s">
        <v>106</v>
      </c>
      <c r="D2524" t="s">
        <v>891</v>
      </c>
      <c r="E2524" t="s">
        <v>282</v>
      </c>
      <c r="F2524" t="s">
        <v>188</v>
      </c>
      <c r="H2524">
        <v>0</v>
      </c>
      <c r="I2524">
        <v>214.7</v>
      </c>
      <c r="J2524">
        <v>1902.9</v>
      </c>
      <c r="M2524" s="7"/>
    </row>
    <row r="2525" spans="2:13" customFormat="1" x14ac:dyDescent="0.25">
      <c r="B2525" t="s">
        <v>616</v>
      </c>
      <c r="C2525" t="s">
        <v>107</v>
      </c>
      <c r="D2525" t="s">
        <v>891</v>
      </c>
      <c r="E2525" t="s">
        <v>283</v>
      </c>
      <c r="F2525" t="s">
        <v>189</v>
      </c>
      <c r="H2525">
        <v>1028.4100000000001</v>
      </c>
      <c r="I2525">
        <v>11117.93</v>
      </c>
      <c r="J2525">
        <v>72535.17</v>
      </c>
      <c r="M2525" s="7"/>
    </row>
    <row r="2526" spans="2:13" customFormat="1" x14ac:dyDescent="0.25">
      <c r="B2526" t="s">
        <v>616</v>
      </c>
      <c r="C2526" t="s">
        <v>69</v>
      </c>
      <c r="D2526" t="s">
        <v>891</v>
      </c>
      <c r="E2526" t="s">
        <v>284</v>
      </c>
      <c r="F2526" t="s">
        <v>190</v>
      </c>
      <c r="H2526">
        <v>0</v>
      </c>
      <c r="I2526">
        <v>197.5</v>
      </c>
      <c r="J2526">
        <v>386.21</v>
      </c>
      <c r="M2526" s="7"/>
    </row>
    <row r="2527" spans="2:13" customFormat="1" x14ac:dyDescent="0.25">
      <c r="B2527" t="s">
        <v>616</v>
      </c>
      <c r="C2527" t="s">
        <v>108</v>
      </c>
      <c r="D2527" t="s">
        <v>891</v>
      </c>
      <c r="E2527" t="s">
        <v>285</v>
      </c>
      <c r="F2527" t="s">
        <v>191</v>
      </c>
      <c r="H2527">
        <v>4.3099999999999996</v>
      </c>
      <c r="I2527">
        <v>146.69999999999999</v>
      </c>
      <c r="J2527">
        <v>707.29</v>
      </c>
      <c r="M2527" s="7"/>
    </row>
    <row r="2528" spans="2:13" customFormat="1" x14ac:dyDescent="0.25">
      <c r="B2528" t="s">
        <v>616</v>
      </c>
      <c r="C2528" t="s">
        <v>70</v>
      </c>
      <c r="D2528" t="s">
        <v>891</v>
      </c>
      <c r="E2528" t="s">
        <v>286</v>
      </c>
      <c r="F2528" t="s">
        <v>192</v>
      </c>
      <c r="H2528">
        <v>0</v>
      </c>
      <c r="I2528">
        <v>945.55</v>
      </c>
      <c r="J2528">
        <v>13003.95</v>
      </c>
      <c r="M2528" s="7"/>
    </row>
    <row r="2529" spans="2:13" customFormat="1" x14ac:dyDescent="0.25">
      <c r="B2529" t="s">
        <v>616</v>
      </c>
      <c r="C2529" t="s">
        <v>597</v>
      </c>
      <c r="D2529" t="s">
        <v>891</v>
      </c>
      <c r="E2529" t="s">
        <v>598</v>
      </c>
      <c r="F2529" t="s">
        <v>599</v>
      </c>
      <c r="H2529">
        <v>0</v>
      </c>
      <c r="I2529">
        <v>0</v>
      </c>
      <c r="J2529">
        <v>1800</v>
      </c>
      <c r="M2529" s="7"/>
    </row>
    <row r="2530" spans="2:13" customFormat="1" x14ac:dyDescent="0.25">
      <c r="B2530" t="s">
        <v>616</v>
      </c>
      <c r="C2530" t="s">
        <v>109</v>
      </c>
      <c r="D2530" t="s">
        <v>891</v>
      </c>
      <c r="E2530" t="s">
        <v>287</v>
      </c>
      <c r="F2530" t="s">
        <v>193</v>
      </c>
      <c r="H2530">
        <v>0</v>
      </c>
      <c r="I2530">
        <v>4057.42</v>
      </c>
      <c r="J2530">
        <v>16239.94</v>
      </c>
      <c r="M2530" s="7"/>
    </row>
    <row r="2531" spans="2:13" customFormat="1" x14ac:dyDescent="0.25">
      <c r="B2531" t="s">
        <v>616</v>
      </c>
      <c r="C2531" t="s">
        <v>560</v>
      </c>
      <c r="D2531" t="s">
        <v>891</v>
      </c>
      <c r="E2531" t="s">
        <v>561</v>
      </c>
      <c r="F2531" t="s">
        <v>562</v>
      </c>
      <c r="H2531">
        <v>0</v>
      </c>
      <c r="I2531">
        <v>0</v>
      </c>
      <c r="J2531">
        <v>3799</v>
      </c>
      <c r="M2531" s="7"/>
    </row>
    <row r="2532" spans="2:13" customFormat="1" x14ac:dyDescent="0.25">
      <c r="B2532" t="s">
        <v>616</v>
      </c>
      <c r="C2532" t="s">
        <v>110</v>
      </c>
      <c r="D2532" t="s">
        <v>891</v>
      </c>
      <c r="E2532" t="s">
        <v>288</v>
      </c>
      <c r="F2532" t="s">
        <v>194</v>
      </c>
      <c r="H2532">
        <v>0</v>
      </c>
      <c r="I2532">
        <v>1800</v>
      </c>
      <c r="J2532">
        <v>2200</v>
      </c>
      <c r="M2532" s="7"/>
    </row>
    <row r="2533" spans="2:13" customFormat="1" x14ac:dyDescent="0.25">
      <c r="B2533" t="s">
        <v>616</v>
      </c>
      <c r="C2533" t="s">
        <v>440</v>
      </c>
      <c r="D2533" t="s">
        <v>891</v>
      </c>
      <c r="E2533" t="s">
        <v>441</v>
      </c>
      <c r="F2533" t="s">
        <v>442</v>
      </c>
      <c r="H2533">
        <v>0</v>
      </c>
      <c r="I2533">
        <v>0</v>
      </c>
      <c r="J2533">
        <v>360.48</v>
      </c>
      <c r="M2533" s="7"/>
    </row>
    <row r="2534" spans="2:13" customFormat="1" x14ac:dyDescent="0.25">
      <c r="B2534" t="s">
        <v>616</v>
      </c>
      <c r="C2534" t="s">
        <v>111</v>
      </c>
      <c r="D2534" t="s">
        <v>891</v>
      </c>
      <c r="E2534" t="s">
        <v>289</v>
      </c>
      <c r="F2534" t="s">
        <v>195</v>
      </c>
      <c r="H2534">
        <v>0</v>
      </c>
      <c r="I2534">
        <v>0</v>
      </c>
      <c r="J2534">
        <v>-206</v>
      </c>
      <c r="M2534" s="7"/>
    </row>
    <row r="2535" spans="2:13" customFormat="1" x14ac:dyDescent="0.25">
      <c r="B2535" t="s">
        <v>616</v>
      </c>
      <c r="C2535" t="s">
        <v>398</v>
      </c>
      <c r="D2535" t="s">
        <v>891</v>
      </c>
      <c r="E2535" t="s">
        <v>399</v>
      </c>
      <c r="F2535" t="s">
        <v>400</v>
      </c>
      <c r="H2535">
        <v>0</v>
      </c>
      <c r="I2535">
        <v>948.31</v>
      </c>
      <c r="J2535">
        <v>4845</v>
      </c>
      <c r="M2535" s="7"/>
    </row>
    <row r="2536" spans="2:13" customFormat="1" x14ac:dyDescent="0.25">
      <c r="B2536" t="s">
        <v>616</v>
      </c>
      <c r="C2536" t="s">
        <v>443</v>
      </c>
      <c r="D2536" t="s">
        <v>891</v>
      </c>
      <c r="E2536" t="s">
        <v>444</v>
      </c>
      <c r="F2536" t="s">
        <v>445</v>
      </c>
      <c r="H2536">
        <v>0</v>
      </c>
      <c r="I2536">
        <v>1145.3800000000001</v>
      </c>
      <c r="J2536">
        <v>13744.52</v>
      </c>
      <c r="M2536" s="7"/>
    </row>
    <row r="2537" spans="2:13" customFormat="1" x14ac:dyDescent="0.25">
      <c r="B2537" t="s">
        <v>616</v>
      </c>
      <c r="C2537" t="s">
        <v>401</v>
      </c>
      <c r="D2537" t="s">
        <v>891</v>
      </c>
      <c r="E2537" t="s">
        <v>402</v>
      </c>
      <c r="F2537" t="s">
        <v>403</v>
      </c>
      <c r="H2537">
        <v>0</v>
      </c>
      <c r="I2537">
        <v>0</v>
      </c>
      <c r="J2537">
        <v>789.88</v>
      </c>
      <c r="M2537" s="7"/>
    </row>
    <row r="2538" spans="2:13" customFormat="1" x14ac:dyDescent="0.25">
      <c r="B2538" t="s">
        <v>616</v>
      </c>
      <c r="C2538" t="s">
        <v>446</v>
      </c>
      <c r="D2538" t="s">
        <v>891</v>
      </c>
      <c r="E2538" t="s">
        <v>447</v>
      </c>
      <c r="F2538" t="s">
        <v>448</v>
      </c>
      <c r="H2538">
        <v>0</v>
      </c>
      <c r="I2538">
        <v>0</v>
      </c>
      <c r="J2538">
        <v>700</v>
      </c>
      <c r="M2538" s="7"/>
    </row>
    <row r="2539" spans="2:13" customFormat="1" x14ac:dyDescent="0.25">
      <c r="B2539" t="s">
        <v>616</v>
      </c>
      <c r="C2539" t="s">
        <v>404</v>
      </c>
      <c r="D2539" t="s">
        <v>891</v>
      </c>
      <c r="E2539" t="s">
        <v>405</v>
      </c>
      <c r="F2539" t="s">
        <v>406</v>
      </c>
      <c r="H2539">
        <v>0</v>
      </c>
      <c r="I2539">
        <v>0</v>
      </c>
      <c r="J2539">
        <v>0.01</v>
      </c>
      <c r="M2539" s="7"/>
    </row>
    <row r="2540" spans="2:13" customFormat="1" x14ac:dyDescent="0.25">
      <c r="B2540" t="s">
        <v>616</v>
      </c>
      <c r="C2540" t="s">
        <v>112</v>
      </c>
      <c r="D2540" t="s">
        <v>891</v>
      </c>
      <c r="E2540" t="s">
        <v>290</v>
      </c>
      <c r="F2540" t="s">
        <v>196</v>
      </c>
      <c r="H2540">
        <v>0</v>
      </c>
      <c r="I2540">
        <v>0</v>
      </c>
      <c r="J2540">
        <v>5298.68</v>
      </c>
      <c r="M2540" s="7"/>
    </row>
    <row r="2541" spans="2:13" customFormat="1" x14ac:dyDescent="0.25">
      <c r="B2541" t="s">
        <v>616</v>
      </c>
      <c r="C2541" t="s">
        <v>71</v>
      </c>
      <c r="D2541" t="s">
        <v>891</v>
      </c>
      <c r="E2541" t="s">
        <v>291</v>
      </c>
      <c r="F2541" t="s">
        <v>197</v>
      </c>
      <c r="H2541">
        <v>0</v>
      </c>
      <c r="I2541">
        <v>673.74</v>
      </c>
      <c r="J2541">
        <v>5384.11</v>
      </c>
      <c r="M2541" s="7"/>
    </row>
    <row r="2542" spans="2:13" customFormat="1" x14ac:dyDescent="0.25">
      <c r="B2542" t="s">
        <v>616</v>
      </c>
      <c r="C2542" t="s">
        <v>610</v>
      </c>
      <c r="D2542" t="s">
        <v>891</v>
      </c>
      <c r="E2542" t="s">
        <v>611</v>
      </c>
      <c r="F2542" t="s">
        <v>612</v>
      </c>
      <c r="H2542">
        <v>0</v>
      </c>
      <c r="I2542">
        <v>5.89</v>
      </c>
      <c r="J2542">
        <v>81.28</v>
      </c>
      <c r="M2542" s="7"/>
    </row>
    <row r="2543" spans="2:13" customFormat="1" x14ac:dyDescent="0.25">
      <c r="B2543" t="s">
        <v>616</v>
      </c>
      <c r="C2543" t="s">
        <v>72</v>
      </c>
      <c r="D2543" t="s">
        <v>891</v>
      </c>
      <c r="E2543" t="s">
        <v>292</v>
      </c>
      <c r="F2543" t="s">
        <v>198</v>
      </c>
      <c r="H2543">
        <v>0</v>
      </c>
      <c r="I2543">
        <v>582.65</v>
      </c>
      <c r="J2543">
        <v>4384.8999999999996</v>
      </c>
      <c r="M2543" s="7"/>
    </row>
    <row r="2544" spans="2:13" customFormat="1" x14ac:dyDescent="0.25">
      <c r="B2544" t="s">
        <v>616</v>
      </c>
      <c r="C2544" t="s">
        <v>73</v>
      </c>
      <c r="D2544" t="s">
        <v>891</v>
      </c>
      <c r="E2544" t="s">
        <v>293</v>
      </c>
      <c r="F2544" t="s">
        <v>199</v>
      </c>
      <c r="H2544">
        <v>0.02</v>
      </c>
      <c r="I2544">
        <v>591.58000000000004</v>
      </c>
      <c r="J2544">
        <v>2181.84</v>
      </c>
      <c r="M2544" s="7"/>
    </row>
    <row r="2545" spans="2:13" customFormat="1" x14ac:dyDescent="0.25">
      <c r="B2545" t="s">
        <v>616</v>
      </c>
      <c r="C2545" t="s">
        <v>74</v>
      </c>
      <c r="D2545" t="s">
        <v>891</v>
      </c>
      <c r="E2545" t="s">
        <v>294</v>
      </c>
      <c r="F2545" t="s">
        <v>200</v>
      </c>
      <c r="H2545">
        <v>0</v>
      </c>
      <c r="I2545">
        <v>5493.42</v>
      </c>
      <c r="J2545">
        <v>57144.54</v>
      </c>
      <c r="M2545" s="7"/>
    </row>
    <row r="2546" spans="2:13" customFormat="1" x14ac:dyDescent="0.25">
      <c r="B2546" t="s">
        <v>616</v>
      </c>
      <c r="C2546" t="s">
        <v>623</v>
      </c>
      <c r="D2546" t="s">
        <v>891</v>
      </c>
      <c r="E2546" t="s">
        <v>624</v>
      </c>
      <c r="F2546" t="s">
        <v>625</v>
      </c>
      <c r="H2546">
        <v>0</v>
      </c>
      <c r="I2546">
        <v>39.950000000000003</v>
      </c>
      <c r="J2546">
        <v>39.950000000000003</v>
      </c>
      <c r="M2546" s="7"/>
    </row>
    <row r="2547" spans="2:13" customFormat="1" x14ac:dyDescent="0.25">
      <c r="B2547" t="s">
        <v>616</v>
      </c>
      <c r="C2547" t="s">
        <v>75</v>
      </c>
      <c r="D2547" t="s">
        <v>891</v>
      </c>
      <c r="E2547" t="s">
        <v>295</v>
      </c>
      <c r="F2547" t="s">
        <v>201</v>
      </c>
      <c r="H2547">
        <v>0</v>
      </c>
      <c r="I2547">
        <v>1305.75</v>
      </c>
      <c r="J2547">
        <v>8003.22</v>
      </c>
      <c r="M2547" s="7"/>
    </row>
    <row r="2548" spans="2:13" customFormat="1" x14ac:dyDescent="0.25">
      <c r="B2548" t="s">
        <v>616</v>
      </c>
      <c r="C2548" t="s">
        <v>76</v>
      </c>
      <c r="D2548" t="s">
        <v>891</v>
      </c>
      <c r="E2548" t="s">
        <v>296</v>
      </c>
      <c r="F2548" t="s">
        <v>202</v>
      </c>
      <c r="H2548">
        <v>0</v>
      </c>
      <c r="I2548">
        <v>783.45</v>
      </c>
      <c r="J2548">
        <v>4801.93</v>
      </c>
      <c r="M2548" s="7"/>
    </row>
    <row r="2549" spans="2:13" customFormat="1" x14ac:dyDescent="0.25">
      <c r="B2549" t="s">
        <v>616</v>
      </c>
      <c r="C2549" t="s">
        <v>613</v>
      </c>
      <c r="D2549" t="s">
        <v>891</v>
      </c>
      <c r="E2549" t="s">
        <v>614</v>
      </c>
      <c r="F2549" t="s">
        <v>615</v>
      </c>
      <c r="H2549">
        <v>0</v>
      </c>
      <c r="I2549">
        <v>199.81</v>
      </c>
      <c r="J2549">
        <v>329.92</v>
      </c>
      <c r="M2549" s="7"/>
    </row>
    <row r="2550" spans="2:13" customFormat="1" x14ac:dyDescent="0.25">
      <c r="B2550" t="s">
        <v>874</v>
      </c>
      <c r="C2550" t="s">
        <v>26</v>
      </c>
      <c r="D2550" t="s">
        <v>891</v>
      </c>
      <c r="E2550" t="s">
        <v>211</v>
      </c>
      <c r="F2550" t="s">
        <v>116</v>
      </c>
      <c r="H2550">
        <v>162328.70000000001</v>
      </c>
      <c r="I2550">
        <v>162328.70000000001</v>
      </c>
      <c r="J2550">
        <v>0</v>
      </c>
      <c r="M2550" s="7"/>
    </row>
    <row r="2551" spans="2:13" customFormat="1" x14ac:dyDescent="0.25">
      <c r="B2551" t="s">
        <v>874</v>
      </c>
      <c r="C2551" t="s">
        <v>27</v>
      </c>
      <c r="D2551" t="s">
        <v>891</v>
      </c>
      <c r="E2551" t="s">
        <v>212</v>
      </c>
      <c r="F2551" t="s">
        <v>117</v>
      </c>
      <c r="H2551">
        <v>21266.01</v>
      </c>
      <c r="I2551">
        <v>21052.99</v>
      </c>
      <c r="J2551">
        <v>1070.56</v>
      </c>
      <c r="M2551" s="7"/>
    </row>
    <row r="2552" spans="2:13" customFormat="1" x14ac:dyDescent="0.25">
      <c r="B2552" t="s">
        <v>874</v>
      </c>
      <c r="C2552" t="s">
        <v>28</v>
      </c>
      <c r="D2552" t="s">
        <v>891</v>
      </c>
      <c r="E2552" t="s">
        <v>213</v>
      </c>
      <c r="F2552" t="s">
        <v>118</v>
      </c>
      <c r="H2552">
        <v>83833.42</v>
      </c>
      <c r="I2552">
        <v>83434.87</v>
      </c>
      <c r="J2552">
        <v>19358.080000000002</v>
      </c>
      <c r="M2552" s="7"/>
    </row>
    <row r="2553" spans="2:13" customFormat="1" x14ac:dyDescent="0.25">
      <c r="B2553" t="s">
        <v>874</v>
      </c>
      <c r="C2553" t="s">
        <v>410</v>
      </c>
      <c r="D2553" t="s">
        <v>891</v>
      </c>
      <c r="E2553" t="s">
        <v>411</v>
      </c>
      <c r="F2553" t="s">
        <v>412</v>
      </c>
      <c r="H2553">
        <v>185625.52</v>
      </c>
      <c r="I2553">
        <v>162343.20000000001</v>
      </c>
      <c r="J2553">
        <v>3343.5</v>
      </c>
      <c r="M2553" s="7"/>
    </row>
    <row r="2554" spans="2:13" customFormat="1" x14ac:dyDescent="0.25">
      <c r="B2554" t="s">
        <v>874</v>
      </c>
      <c r="C2554" t="s">
        <v>30</v>
      </c>
      <c r="D2554" t="s">
        <v>891</v>
      </c>
      <c r="E2554" t="s">
        <v>215</v>
      </c>
      <c r="F2554" t="s">
        <v>120</v>
      </c>
      <c r="H2554">
        <v>708193.24</v>
      </c>
      <c r="I2554">
        <v>829948.05</v>
      </c>
      <c r="J2554">
        <v>462940.42</v>
      </c>
      <c r="M2554" s="7"/>
    </row>
    <row r="2555" spans="2:13" customFormat="1" x14ac:dyDescent="0.25">
      <c r="B2555" t="s">
        <v>874</v>
      </c>
      <c r="C2555" t="s">
        <v>81</v>
      </c>
      <c r="D2555" t="s">
        <v>891</v>
      </c>
      <c r="E2555" t="s">
        <v>216</v>
      </c>
      <c r="F2555" t="s">
        <v>121</v>
      </c>
      <c r="H2555">
        <v>80060</v>
      </c>
      <c r="I2555">
        <v>34559.57</v>
      </c>
      <c r="J2555">
        <v>44369.41</v>
      </c>
      <c r="M2555" s="7"/>
    </row>
    <row r="2556" spans="2:13" customFormat="1" x14ac:dyDescent="0.25">
      <c r="B2556" t="s">
        <v>874</v>
      </c>
      <c r="C2556" t="s">
        <v>449</v>
      </c>
      <c r="D2556" t="s">
        <v>891</v>
      </c>
      <c r="E2556" t="s">
        <v>450</v>
      </c>
      <c r="F2556" t="s">
        <v>451</v>
      </c>
      <c r="H2556">
        <v>4881</v>
      </c>
      <c r="I2556">
        <v>9826.5499999999993</v>
      </c>
      <c r="J2556">
        <v>18991.09</v>
      </c>
      <c r="M2556" s="7"/>
    </row>
    <row r="2557" spans="2:13" customFormat="1" x14ac:dyDescent="0.25">
      <c r="B2557" t="s">
        <v>874</v>
      </c>
      <c r="C2557" t="s">
        <v>31</v>
      </c>
      <c r="D2557" t="s">
        <v>891</v>
      </c>
      <c r="E2557" t="s">
        <v>217</v>
      </c>
      <c r="F2557" t="s">
        <v>122</v>
      </c>
      <c r="H2557">
        <v>762625.13</v>
      </c>
      <c r="I2557">
        <v>762625.13</v>
      </c>
      <c r="J2557">
        <v>0</v>
      </c>
      <c r="M2557" s="7"/>
    </row>
    <row r="2558" spans="2:13" customFormat="1" x14ac:dyDescent="0.25">
      <c r="B2558" t="s">
        <v>874</v>
      </c>
      <c r="C2558" t="s">
        <v>32</v>
      </c>
      <c r="D2558" t="s">
        <v>891</v>
      </c>
      <c r="E2558" t="s">
        <v>218</v>
      </c>
      <c r="F2558" t="s">
        <v>123</v>
      </c>
      <c r="H2558">
        <v>22221</v>
      </c>
      <c r="I2558">
        <v>12000</v>
      </c>
      <c r="J2558">
        <v>31567</v>
      </c>
      <c r="M2558" s="7"/>
    </row>
    <row r="2559" spans="2:13" customFormat="1" x14ac:dyDescent="0.25">
      <c r="B2559" t="s">
        <v>874</v>
      </c>
      <c r="C2559" t="s">
        <v>33</v>
      </c>
      <c r="D2559" t="s">
        <v>891</v>
      </c>
      <c r="E2559" t="s">
        <v>219</v>
      </c>
      <c r="F2559" t="s">
        <v>124</v>
      </c>
      <c r="H2559">
        <v>227706.74</v>
      </c>
      <c r="I2559">
        <v>227108.63</v>
      </c>
      <c r="J2559">
        <v>-117496.59</v>
      </c>
      <c r="M2559" s="7"/>
    </row>
    <row r="2560" spans="2:13" customFormat="1" x14ac:dyDescent="0.25">
      <c r="B2560" t="s">
        <v>874</v>
      </c>
      <c r="C2560" t="s">
        <v>34</v>
      </c>
      <c r="D2560" t="s">
        <v>891</v>
      </c>
      <c r="E2560" t="s">
        <v>220</v>
      </c>
      <c r="F2560" t="s">
        <v>125</v>
      </c>
      <c r="H2560">
        <v>184433.73</v>
      </c>
      <c r="I2560">
        <v>199227.16</v>
      </c>
      <c r="J2560">
        <v>294012.13</v>
      </c>
      <c r="M2560" s="7"/>
    </row>
    <row r="2561" spans="2:13" customFormat="1" x14ac:dyDescent="0.25">
      <c r="B2561" t="s">
        <v>874</v>
      </c>
      <c r="C2561" t="s">
        <v>205</v>
      </c>
      <c r="D2561" t="s">
        <v>891</v>
      </c>
      <c r="E2561" t="s">
        <v>298</v>
      </c>
      <c r="F2561" t="s">
        <v>206</v>
      </c>
      <c r="H2561">
        <v>61755.64</v>
      </c>
      <c r="I2561">
        <v>58540.87</v>
      </c>
      <c r="J2561">
        <v>78844.160000000003</v>
      </c>
      <c r="M2561" s="7"/>
    </row>
    <row r="2562" spans="2:13" customFormat="1" x14ac:dyDescent="0.25">
      <c r="B2562" t="s">
        <v>874</v>
      </c>
      <c r="C2562" t="s">
        <v>301</v>
      </c>
      <c r="D2562" t="s">
        <v>891</v>
      </c>
      <c r="E2562" t="s">
        <v>302</v>
      </c>
      <c r="F2562" t="s">
        <v>303</v>
      </c>
      <c r="H2562">
        <v>15992.85</v>
      </c>
      <c r="I2562">
        <v>17655.560000000001</v>
      </c>
      <c r="J2562">
        <v>1662.71</v>
      </c>
      <c r="M2562" s="7"/>
    </row>
    <row r="2563" spans="2:13" customFormat="1" x14ac:dyDescent="0.25">
      <c r="B2563" t="s">
        <v>874</v>
      </c>
      <c r="C2563" t="s">
        <v>648</v>
      </c>
      <c r="D2563" t="s">
        <v>891</v>
      </c>
      <c r="E2563" t="s">
        <v>649</v>
      </c>
      <c r="F2563" t="s">
        <v>650</v>
      </c>
      <c r="H2563">
        <v>0</v>
      </c>
      <c r="I2563">
        <v>1317.81</v>
      </c>
      <c r="J2563">
        <v>8862.16</v>
      </c>
      <c r="M2563" s="7"/>
    </row>
    <row r="2564" spans="2:13" customFormat="1" x14ac:dyDescent="0.25">
      <c r="B2564" t="s">
        <v>874</v>
      </c>
      <c r="C2564" t="s">
        <v>35</v>
      </c>
      <c r="D2564" t="s">
        <v>891</v>
      </c>
      <c r="E2564" t="s">
        <v>221</v>
      </c>
      <c r="F2564" t="s">
        <v>127</v>
      </c>
      <c r="H2564">
        <v>1179.51</v>
      </c>
      <c r="I2564">
        <v>2040.95</v>
      </c>
      <c r="J2564">
        <v>1890.06</v>
      </c>
      <c r="M2564" s="7"/>
    </row>
    <row r="2565" spans="2:13" customFormat="1" x14ac:dyDescent="0.25">
      <c r="B2565" t="s">
        <v>874</v>
      </c>
      <c r="C2565" t="s">
        <v>36</v>
      </c>
      <c r="D2565" t="s">
        <v>891</v>
      </c>
      <c r="E2565" t="s">
        <v>222</v>
      </c>
      <c r="F2565" t="s">
        <v>128</v>
      </c>
      <c r="H2565">
        <v>424.49</v>
      </c>
      <c r="I2565">
        <v>499.76</v>
      </c>
      <c r="J2565">
        <v>9505.6200000000008</v>
      </c>
      <c r="M2565" s="7"/>
    </row>
    <row r="2566" spans="2:13" customFormat="1" x14ac:dyDescent="0.25">
      <c r="B2566" t="s">
        <v>874</v>
      </c>
      <c r="C2566" t="s">
        <v>37</v>
      </c>
      <c r="D2566" t="s">
        <v>891</v>
      </c>
      <c r="E2566" t="s">
        <v>223</v>
      </c>
      <c r="F2566" t="s">
        <v>129</v>
      </c>
      <c r="H2566">
        <v>1955.22</v>
      </c>
      <c r="I2566">
        <v>2301.92</v>
      </c>
      <c r="J2566">
        <v>43731.96</v>
      </c>
      <c r="M2566" s="7"/>
    </row>
    <row r="2567" spans="2:13" customFormat="1" x14ac:dyDescent="0.25">
      <c r="B2567" t="s">
        <v>874</v>
      </c>
      <c r="C2567" t="s">
        <v>413</v>
      </c>
      <c r="D2567" t="s">
        <v>891</v>
      </c>
      <c r="E2567" t="s">
        <v>414</v>
      </c>
      <c r="F2567" t="s">
        <v>415</v>
      </c>
      <c r="H2567">
        <v>0</v>
      </c>
      <c r="I2567">
        <v>0</v>
      </c>
      <c r="J2567">
        <v>5.89</v>
      </c>
      <c r="M2567" s="7"/>
    </row>
    <row r="2568" spans="2:13" customFormat="1" x14ac:dyDescent="0.25">
      <c r="B2568" t="s">
        <v>874</v>
      </c>
      <c r="C2568" t="s">
        <v>543</v>
      </c>
      <c r="D2568" t="s">
        <v>891</v>
      </c>
      <c r="E2568" t="s">
        <v>544</v>
      </c>
      <c r="F2568" t="s">
        <v>126</v>
      </c>
      <c r="H2568">
        <v>0</v>
      </c>
      <c r="I2568">
        <v>0</v>
      </c>
      <c r="J2568">
        <v>1476.94</v>
      </c>
      <c r="M2568" s="7"/>
    </row>
    <row r="2569" spans="2:13" customFormat="1" x14ac:dyDescent="0.25">
      <c r="B2569" t="s">
        <v>874</v>
      </c>
      <c r="C2569" t="s">
        <v>304</v>
      </c>
      <c r="D2569" t="s">
        <v>891</v>
      </c>
      <c r="E2569" t="s">
        <v>305</v>
      </c>
      <c r="F2569" t="s">
        <v>306</v>
      </c>
      <c r="H2569">
        <v>624296.92000000004</v>
      </c>
      <c r="I2569">
        <v>683077</v>
      </c>
      <c r="J2569">
        <v>183517.57</v>
      </c>
      <c r="M2569" s="7"/>
    </row>
    <row r="2570" spans="2:13" customFormat="1" x14ac:dyDescent="0.25">
      <c r="B2570" t="s">
        <v>874</v>
      </c>
      <c r="C2570" t="s">
        <v>38</v>
      </c>
      <c r="D2570" t="s">
        <v>891</v>
      </c>
      <c r="E2570" t="s">
        <v>224</v>
      </c>
      <c r="F2570" t="s">
        <v>130</v>
      </c>
      <c r="H2570">
        <v>42372.87</v>
      </c>
      <c r="I2570">
        <v>45789.18</v>
      </c>
      <c r="J2570">
        <v>110320.95</v>
      </c>
      <c r="M2570" s="7"/>
    </row>
    <row r="2571" spans="2:13" customFormat="1" x14ac:dyDescent="0.25">
      <c r="B2571" t="s">
        <v>874</v>
      </c>
      <c r="C2571" t="s">
        <v>39</v>
      </c>
      <c r="D2571" t="s">
        <v>891</v>
      </c>
      <c r="E2571" t="s">
        <v>225</v>
      </c>
      <c r="F2571" t="s">
        <v>131</v>
      </c>
      <c r="H2571">
        <v>7418.87</v>
      </c>
      <c r="I2571">
        <v>3926.54</v>
      </c>
      <c r="J2571">
        <v>32434.14</v>
      </c>
      <c r="M2571" s="7"/>
    </row>
    <row r="2572" spans="2:13" customFormat="1" x14ac:dyDescent="0.25">
      <c r="B2572" t="s">
        <v>874</v>
      </c>
      <c r="C2572" t="s">
        <v>82</v>
      </c>
      <c r="D2572" t="s">
        <v>891</v>
      </c>
      <c r="E2572" t="s">
        <v>226</v>
      </c>
      <c r="F2572" t="s">
        <v>132</v>
      </c>
      <c r="H2572">
        <v>0</v>
      </c>
      <c r="I2572">
        <v>0</v>
      </c>
      <c r="J2572">
        <v>5482</v>
      </c>
      <c r="M2572" s="7"/>
    </row>
    <row r="2573" spans="2:13" customFormat="1" x14ac:dyDescent="0.25">
      <c r="B2573" t="s">
        <v>874</v>
      </c>
      <c r="C2573" t="s">
        <v>452</v>
      </c>
      <c r="D2573" t="s">
        <v>891</v>
      </c>
      <c r="E2573" t="s">
        <v>453</v>
      </c>
      <c r="F2573" t="s">
        <v>454</v>
      </c>
      <c r="H2573">
        <v>0</v>
      </c>
      <c r="I2573">
        <v>0</v>
      </c>
      <c r="J2573">
        <v>23697.279999999999</v>
      </c>
      <c r="M2573" s="7"/>
    </row>
    <row r="2574" spans="2:13" customFormat="1" x14ac:dyDescent="0.25">
      <c r="B2574" t="s">
        <v>874</v>
      </c>
      <c r="C2574" t="s">
        <v>455</v>
      </c>
      <c r="D2574" t="s">
        <v>891</v>
      </c>
      <c r="E2574" t="s">
        <v>456</v>
      </c>
      <c r="F2574" t="s">
        <v>457</v>
      </c>
      <c r="H2574">
        <v>0</v>
      </c>
      <c r="I2574">
        <v>0</v>
      </c>
      <c r="J2574">
        <v>26838.28</v>
      </c>
      <c r="M2574" s="7"/>
    </row>
    <row r="2575" spans="2:13" customFormat="1" x14ac:dyDescent="0.25">
      <c r="B2575" t="s">
        <v>874</v>
      </c>
      <c r="C2575" t="s">
        <v>416</v>
      </c>
      <c r="D2575" t="s">
        <v>891</v>
      </c>
      <c r="E2575" t="s">
        <v>417</v>
      </c>
      <c r="F2575" t="s">
        <v>418</v>
      </c>
      <c r="H2575">
        <v>0</v>
      </c>
      <c r="I2575">
        <v>0</v>
      </c>
      <c r="J2575">
        <v>83107.009999999995</v>
      </c>
      <c r="M2575" s="7"/>
    </row>
    <row r="2576" spans="2:13" customFormat="1" x14ac:dyDescent="0.25">
      <c r="B2576" t="s">
        <v>874</v>
      </c>
      <c r="C2576" t="s">
        <v>458</v>
      </c>
      <c r="D2576" t="s">
        <v>891</v>
      </c>
      <c r="E2576" t="s">
        <v>459</v>
      </c>
      <c r="F2576" t="s">
        <v>460</v>
      </c>
      <c r="H2576">
        <v>0</v>
      </c>
      <c r="I2576">
        <v>0</v>
      </c>
      <c r="J2576">
        <v>53388.84</v>
      </c>
      <c r="M2576" s="7"/>
    </row>
    <row r="2577" spans="2:13" customFormat="1" x14ac:dyDescent="0.25">
      <c r="B2577" t="s">
        <v>874</v>
      </c>
      <c r="C2577" t="s">
        <v>515</v>
      </c>
      <c r="D2577" t="s">
        <v>891</v>
      </c>
      <c r="E2577" t="s">
        <v>516</v>
      </c>
      <c r="F2577" t="s">
        <v>517</v>
      </c>
      <c r="H2577">
        <v>0</v>
      </c>
      <c r="I2577">
        <v>0</v>
      </c>
      <c r="J2577">
        <v>32398.17</v>
      </c>
      <c r="M2577" s="7"/>
    </row>
    <row r="2578" spans="2:13" customFormat="1" x14ac:dyDescent="0.25">
      <c r="B2578" t="s">
        <v>874</v>
      </c>
      <c r="C2578" t="s">
        <v>470</v>
      </c>
      <c r="D2578" t="s">
        <v>891</v>
      </c>
      <c r="E2578" t="s">
        <v>471</v>
      </c>
      <c r="F2578" t="s">
        <v>472</v>
      </c>
      <c r="H2578">
        <v>223.65</v>
      </c>
      <c r="I2578">
        <v>0</v>
      </c>
      <c r="J2578">
        <v>-10687.4</v>
      </c>
      <c r="M2578" s="7"/>
    </row>
    <row r="2579" spans="2:13" customFormat="1" x14ac:dyDescent="0.25">
      <c r="B2579" t="s">
        <v>874</v>
      </c>
      <c r="C2579" t="s">
        <v>419</v>
      </c>
      <c r="D2579" t="s">
        <v>891</v>
      </c>
      <c r="E2579" t="s">
        <v>420</v>
      </c>
      <c r="F2579" t="s">
        <v>421</v>
      </c>
      <c r="H2579">
        <v>692.56</v>
      </c>
      <c r="I2579">
        <v>0</v>
      </c>
      <c r="J2579">
        <v>-30570.720000000001</v>
      </c>
      <c r="M2579" s="7"/>
    </row>
    <row r="2580" spans="2:13" customFormat="1" x14ac:dyDescent="0.25">
      <c r="B2580" t="s">
        <v>874</v>
      </c>
      <c r="C2580" t="s">
        <v>473</v>
      </c>
      <c r="D2580" t="s">
        <v>891</v>
      </c>
      <c r="E2580" t="s">
        <v>474</v>
      </c>
      <c r="F2580" t="s">
        <v>475</v>
      </c>
      <c r="H2580">
        <v>889.81</v>
      </c>
      <c r="I2580">
        <v>0</v>
      </c>
      <c r="J2580">
        <v>-42414.76</v>
      </c>
      <c r="M2580" s="7"/>
    </row>
    <row r="2581" spans="2:13" customFormat="1" x14ac:dyDescent="0.25">
      <c r="B2581" t="s">
        <v>874</v>
      </c>
      <c r="C2581" t="s">
        <v>518</v>
      </c>
      <c r="D2581" t="s">
        <v>891</v>
      </c>
      <c r="E2581" t="s">
        <v>519</v>
      </c>
      <c r="F2581" t="s">
        <v>520</v>
      </c>
      <c r="H2581">
        <v>269.98</v>
      </c>
      <c r="I2581">
        <v>0</v>
      </c>
      <c r="J2581">
        <v>-10241.85</v>
      </c>
      <c r="M2581" s="7"/>
    </row>
    <row r="2582" spans="2:13" customFormat="1" x14ac:dyDescent="0.25">
      <c r="B2582" t="s">
        <v>874</v>
      </c>
      <c r="C2582" t="s">
        <v>482</v>
      </c>
      <c r="D2582" t="s">
        <v>891</v>
      </c>
      <c r="E2582" t="s">
        <v>483</v>
      </c>
      <c r="F2582" t="s">
        <v>484</v>
      </c>
      <c r="H2582">
        <v>0</v>
      </c>
      <c r="I2582">
        <v>0</v>
      </c>
      <c r="J2582">
        <v>54999.96</v>
      </c>
      <c r="M2582" s="7"/>
    </row>
    <row r="2583" spans="2:13" customFormat="1" x14ac:dyDescent="0.25">
      <c r="B2583" t="s">
        <v>874</v>
      </c>
      <c r="C2583" t="s">
        <v>485</v>
      </c>
      <c r="D2583" t="s">
        <v>891</v>
      </c>
      <c r="E2583" t="s">
        <v>486</v>
      </c>
      <c r="F2583" t="s">
        <v>487</v>
      </c>
      <c r="H2583">
        <v>1145.83</v>
      </c>
      <c r="I2583">
        <v>0</v>
      </c>
      <c r="J2583">
        <v>-25208.31</v>
      </c>
      <c r="M2583" s="7"/>
    </row>
    <row r="2584" spans="2:13" customFormat="1" x14ac:dyDescent="0.25">
      <c r="B2584" t="s">
        <v>874</v>
      </c>
      <c r="C2584" t="s">
        <v>40</v>
      </c>
      <c r="D2584" t="s">
        <v>891</v>
      </c>
      <c r="E2584" t="s">
        <v>227</v>
      </c>
      <c r="F2584" t="s">
        <v>133</v>
      </c>
      <c r="H2584">
        <v>756041.66</v>
      </c>
      <c r="I2584">
        <v>751821.77</v>
      </c>
      <c r="J2584">
        <v>-40787.51</v>
      </c>
      <c r="M2584" s="7"/>
    </row>
    <row r="2585" spans="2:13" customFormat="1" x14ac:dyDescent="0.25">
      <c r="B2585" t="s">
        <v>874</v>
      </c>
      <c r="C2585" t="s">
        <v>83</v>
      </c>
      <c r="D2585" t="s">
        <v>891</v>
      </c>
      <c r="E2585" t="s">
        <v>228</v>
      </c>
      <c r="F2585" t="s">
        <v>134</v>
      </c>
      <c r="H2585">
        <v>17340.8</v>
      </c>
      <c r="I2585">
        <v>13599.03</v>
      </c>
      <c r="J2585">
        <v>-13279.22</v>
      </c>
      <c r="M2585" s="7"/>
    </row>
    <row r="2586" spans="2:13" customFormat="1" x14ac:dyDescent="0.25">
      <c r="B2586" t="s">
        <v>874</v>
      </c>
      <c r="C2586" t="s">
        <v>113</v>
      </c>
      <c r="D2586" t="s">
        <v>891</v>
      </c>
      <c r="E2586" t="s">
        <v>229</v>
      </c>
      <c r="F2586" t="s">
        <v>135</v>
      </c>
      <c r="H2586">
        <v>683077</v>
      </c>
      <c r="I2586">
        <v>546252</v>
      </c>
      <c r="J2586">
        <v>-275641.17</v>
      </c>
      <c r="M2586" s="7"/>
    </row>
    <row r="2587" spans="2:13" customFormat="1" x14ac:dyDescent="0.25">
      <c r="B2587" t="s">
        <v>874</v>
      </c>
      <c r="C2587" t="s">
        <v>84</v>
      </c>
      <c r="D2587" t="s">
        <v>891</v>
      </c>
      <c r="E2587" t="s">
        <v>230</v>
      </c>
      <c r="F2587" t="s">
        <v>136</v>
      </c>
      <c r="H2587">
        <v>18646.66</v>
      </c>
      <c r="I2587">
        <v>30352.79</v>
      </c>
      <c r="J2587">
        <v>-3681.83</v>
      </c>
      <c r="M2587" s="7"/>
    </row>
    <row r="2588" spans="2:13" customFormat="1" x14ac:dyDescent="0.25">
      <c r="B2588" t="s">
        <v>874</v>
      </c>
      <c r="C2588" t="s">
        <v>310</v>
      </c>
      <c r="D2588" t="s">
        <v>891</v>
      </c>
      <c r="E2588" t="s">
        <v>311</v>
      </c>
      <c r="F2588" t="s">
        <v>312</v>
      </c>
      <c r="H2588">
        <v>68103.5</v>
      </c>
      <c r="I2588">
        <v>68103.5</v>
      </c>
      <c r="J2588">
        <v>0</v>
      </c>
      <c r="M2588" s="7"/>
    </row>
    <row r="2589" spans="2:13" customFormat="1" x14ac:dyDescent="0.25">
      <c r="B2589" t="s">
        <v>874</v>
      </c>
      <c r="C2589" t="s">
        <v>316</v>
      </c>
      <c r="D2589" t="s">
        <v>891</v>
      </c>
      <c r="E2589" t="s">
        <v>317</v>
      </c>
      <c r="F2589" t="s">
        <v>318</v>
      </c>
      <c r="H2589">
        <v>3330.72</v>
      </c>
      <c r="I2589">
        <v>5671.79</v>
      </c>
      <c r="J2589">
        <v>-28249.99</v>
      </c>
      <c r="M2589" s="7"/>
    </row>
    <row r="2590" spans="2:13" customFormat="1" x14ac:dyDescent="0.25">
      <c r="B2590" t="s">
        <v>874</v>
      </c>
      <c r="C2590" t="s">
        <v>319</v>
      </c>
      <c r="D2590" t="s">
        <v>891</v>
      </c>
      <c r="E2590" t="s">
        <v>320</v>
      </c>
      <c r="F2590" t="s">
        <v>321</v>
      </c>
      <c r="H2590">
        <v>2405.27</v>
      </c>
      <c r="I2590">
        <v>0</v>
      </c>
      <c r="J2590">
        <v>-15291.91</v>
      </c>
      <c r="M2590" s="7"/>
    </row>
    <row r="2591" spans="2:13" customFormat="1" x14ac:dyDescent="0.25">
      <c r="B2591" t="s">
        <v>874</v>
      </c>
      <c r="C2591" t="s">
        <v>488</v>
      </c>
      <c r="D2591" t="s">
        <v>891</v>
      </c>
      <c r="E2591" t="s">
        <v>489</v>
      </c>
      <c r="F2591" t="s">
        <v>490</v>
      </c>
      <c r="H2591">
        <v>1214.6199999999999</v>
      </c>
      <c r="I2591">
        <v>2215.91</v>
      </c>
      <c r="J2591">
        <v>-1001.29</v>
      </c>
      <c r="M2591" s="7"/>
    </row>
    <row r="2592" spans="2:13" customFormat="1" x14ac:dyDescent="0.25">
      <c r="B2592" t="s">
        <v>874</v>
      </c>
      <c r="C2592" t="s">
        <v>322</v>
      </c>
      <c r="D2592" t="s">
        <v>891</v>
      </c>
      <c r="E2592" t="s">
        <v>323</v>
      </c>
      <c r="F2592" t="s">
        <v>324</v>
      </c>
      <c r="H2592">
        <v>22964.18</v>
      </c>
      <c r="I2592">
        <v>22815.96</v>
      </c>
      <c r="J2592">
        <v>-11183.32</v>
      </c>
      <c r="M2592" s="7"/>
    </row>
    <row r="2593" spans="2:13" customFormat="1" x14ac:dyDescent="0.25">
      <c r="B2593" t="s">
        <v>874</v>
      </c>
      <c r="C2593" t="s">
        <v>325</v>
      </c>
      <c r="D2593" t="s">
        <v>891</v>
      </c>
      <c r="E2593" t="s">
        <v>326</v>
      </c>
      <c r="F2593" t="s">
        <v>327</v>
      </c>
      <c r="H2593">
        <v>8022.93</v>
      </c>
      <c r="I2593">
        <v>6533.76</v>
      </c>
      <c r="J2593">
        <v>-3754.76</v>
      </c>
      <c r="M2593" s="7"/>
    </row>
    <row r="2594" spans="2:13" customFormat="1" x14ac:dyDescent="0.25">
      <c r="B2594" t="s">
        <v>874</v>
      </c>
      <c r="C2594" t="s">
        <v>328</v>
      </c>
      <c r="D2594" t="s">
        <v>891</v>
      </c>
      <c r="E2594" t="s">
        <v>329</v>
      </c>
      <c r="F2594" t="s">
        <v>171</v>
      </c>
      <c r="H2594">
        <v>909.29</v>
      </c>
      <c r="I2594">
        <v>1548.39</v>
      </c>
      <c r="J2594">
        <v>-7712.27</v>
      </c>
      <c r="M2594" s="7"/>
    </row>
    <row r="2595" spans="2:13" customFormat="1" x14ac:dyDescent="0.25">
      <c r="B2595" t="s">
        <v>874</v>
      </c>
      <c r="C2595" t="s">
        <v>330</v>
      </c>
      <c r="D2595" t="s">
        <v>891</v>
      </c>
      <c r="E2595" t="s">
        <v>331</v>
      </c>
      <c r="F2595" t="s">
        <v>332</v>
      </c>
      <c r="H2595">
        <v>656.64</v>
      </c>
      <c r="I2595">
        <v>0.02</v>
      </c>
      <c r="J2595">
        <v>-4174.66</v>
      </c>
      <c r="M2595" s="7"/>
    </row>
    <row r="2596" spans="2:13" customFormat="1" x14ac:dyDescent="0.25">
      <c r="B2596" t="s">
        <v>874</v>
      </c>
      <c r="C2596" t="s">
        <v>333</v>
      </c>
      <c r="D2596" t="s">
        <v>891</v>
      </c>
      <c r="E2596" t="s">
        <v>334</v>
      </c>
      <c r="F2596" t="s">
        <v>172</v>
      </c>
      <c r="H2596">
        <v>259.77999999999997</v>
      </c>
      <c r="I2596">
        <v>453.76</v>
      </c>
      <c r="J2596">
        <v>-2173.1799999999998</v>
      </c>
      <c r="M2596" s="7"/>
    </row>
    <row r="2597" spans="2:13" customFormat="1" x14ac:dyDescent="0.25">
      <c r="B2597" t="s">
        <v>874</v>
      </c>
      <c r="C2597" t="s">
        <v>335</v>
      </c>
      <c r="D2597" t="s">
        <v>891</v>
      </c>
      <c r="E2597" t="s">
        <v>336</v>
      </c>
      <c r="F2597" t="s">
        <v>337</v>
      </c>
      <c r="H2597">
        <v>187.42</v>
      </c>
      <c r="I2597">
        <v>0</v>
      </c>
      <c r="J2597">
        <v>-1188.29</v>
      </c>
      <c r="M2597" s="7"/>
    </row>
    <row r="2598" spans="2:13" customFormat="1" x14ac:dyDescent="0.25">
      <c r="B2598" t="s">
        <v>874</v>
      </c>
      <c r="C2598" t="s">
        <v>41</v>
      </c>
      <c r="D2598" t="s">
        <v>891</v>
      </c>
      <c r="E2598" t="s">
        <v>231</v>
      </c>
      <c r="F2598" t="s">
        <v>137</v>
      </c>
      <c r="H2598">
        <v>3232.93</v>
      </c>
      <c r="I2598">
        <v>3091.31</v>
      </c>
      <c r="J2598">
        <v>0</v>
      </c>
      <c r="M2598" s="7"/>
    </row>
    <row r="2599" spans="2:13" customFormat="1" x14ac:dyDescent="0.25">
      <c r="B2599" t="s">
        <v>874</v>
      </c>
      <c r="C2599" t="s">
        <v>42</v>
      </c>
      <c r="D2599" t="s">
        <v>891</v>
      </c>
      <c r="E2599" t="s">
        <v>232</v>
      </c>
      <c r="F2599" t="s">
        <v>138</v>
      </c>
      <c r="H2599">
        <v>424.49</v>
      </c>
      <c r="I2599">
        <v>424.49</v>
      </c>
      <c r="J2599">
        <v>0</v>
      </c>
      <c r="M2599" s="7"/>
    </row>
    <row r="2600" spans="2:13" customFormat="1" x14ac:dyDescent="0.25">
      <c r="B2600" t="s">
        <v>874</v>
      </c>
      <c r="C2600" t="s">
        <v>43</v>
      </c>
      <c r="D2600" t="s">
        <v>891</v>
      </c>
      <c r="E2600" t="s">
        <v>233</v>
      </c>
      <c r="F2600" t="s">
        <v>139</v>
      </c>
      <c r="H2600">
        <v>1955.22</v>
      </c>
      <c r="I2600">
        <v>1955.22</v>
      </c>
      <c r="J2600">
        <v>0</v>
      </c>
      <c r="M2600" s="7"/>
    </row>
    <row r="2601" spans="2:13" customFormat="1" x14ac:dyDescent="0.25">
      <c r="B2601" t="s">
        <v>874</v>
      </c>
      <c r="C2601" t="s">
        <v>545</v>
      </c>
      <c r="D2601" t="s">
        <v>891</v>
      </c>
      <c r="E2601" t="s">
        <v>546</v>
      </c>
      <c r="F2601" t="s">
        <v>547</v>
      </c>
      <c r="H2601">
        <v>0</v>
      </c>
      <c r="I2601">
        <v>0</v>
      </c>
      <c r="J2601">
        <v>18.86</v>
      </c>
      <c r="M2601" s="7"/>
    </row>
    <row r="2602" spans="2:13" customFormat="1" x14ac:dyDescent="0.25">
      <c r="B2602" t="s">
        <v>874</v>
      </c>
      <c r="C2602" t="s">
        <v>365</v>
      </c>
      <c r="D2602" t="s">
        <v>891</v>
      </c>
      <c r="E2602" t="s">
        <v>366</v>
      </c>
      <c r="F2602" t="s">
        <v>367</v>
      </c>
      <c r="H2602">
        <v>357.34</v>
      </c>
      <c r="I2602">
        <v>2248.9699999999998</v>
      </c>
      <c r="J2602">
        <v>-357.34</v>
      </c>
      <c r="M2602" s="7"/>
    </row>
    <row r="2603" spans="2:13" customFormat="1" x14ac:dyDescent="0.25">
      <c r="B2603" t="s">
        <v>874</v>
      </c>
      <c r="C2603" t="s">
        <v>368</v>
      </c>
      <c r="D2603" t="s">
        <v>891</v>
      </c>
      <c r="E2603" t="s">
        <v>369</v>
      </c>
      <c r="F2603" t="s">
        <v>370</v>
      </c>
      <c r="H2603">
        <v>214.4</v>
      </c>
      <c r="I2603">
        <v>1349.38</v>
      </c>
      <c r="J2603">
        <v>-214.4</v>
      </c>
      <c r="M2603" s="7"/>
    </row>
    <row r="2604" spans="2:13" customFormat="1" x14ac:dyDescent="0.25">
      <c r="B2604" t="s">
        <v>874</v>
      </c>
      <c r="C2604" t="s">
        <v>79</v>
      </c>
      <c r="D2604" t="s">
        <v>891</v>
      </c>
      <c r="E2604" t="s">
        <v>234</v>
      </c>
      <c r="F2604" t="s">
        <v>140</v>
      </c>
      <c r="H2604">
        <v>20.239999999999998</v>
      </c>
      <c r="I2604">
        <v>0</v>
      </c>
      <c r="J2604">
        <v>-161.82</v>
      </c>
      <c r="M2604" s="7"/>
    </row>
    <row r="2605" spans="2:13" customFormat="1" x14ac:dyDescent="0.25">
      <c r="B2605" t="s">
        <v>874</v>
      </c>
      <c r="C2605" t="s">
        <v>44</v>
      </c>
      <c r="D2605" t="s">
        <v>891</v>
      </c>
      <c r="E2605" t="s">
        <v>235</v>
      </c>
      <c r="F2605" t="s">
        <v>141</v>
      </c>
      <c r="H2605">
        <v>61.82</v>
      </c>
      <c r="I2605">
        <v>42.06</v>
      </c>
      <c r="J2605">
        <v>-61.82</v>
      </c>
      <c r="M2605" s="7"/>
    </row>
    <row r="2606" spans="2:13" customFormat="1" x14ac:dyDescent="0.25">
      <c r="B2606" t="s">
        <v>874</v>
      </c>
      <c r="C2606" t="s">
        <v>45</v>
      </c>
      <c r="D2606" t="s">
        <v>891</v>
      </c>
      <c r="E2606" t="s">
        <v>236</v>
      </c>
      <c r="F2606" t="s">
        <v>142</v>
      </c>
      <c r="H2606">
        <v>231.52</v>
      </c>
      <c r="I2606">
        <v>153.72999999999999</v>
      </c>
      <c r="J2606">
        <v>-400.43</v>
      </c>
      <c r="M2606" s="7"/>
    </row>
    <row r="2607" spans="2:13" customFormat="1" x14ac:dyDescent="0.25">
      <c r="B2607" t="s">
        <v>874</v>
      </c>
      <c r="C2607" t="s">
        <v>338</v>
      </c>
      <c r="D2607" t="s">
        <v>891</v>
      </c>
      <c r="E2607" t="s">
        <v>339</v>
      </c>
      <c r="F2607" t="s">
        <v>340</v>
      </c>
      <c r="H2607">
        <v>372.96</v>
      </c>
      <c r="I2607">
        <v>216.12</v>
      </c>
      <c r="J2607">
        <v>-372.92</v>
      </c>
      <c r="M2607" s="7"/>
    </row>
    <row r="2608" spans="2:13" customFormat="1" x14ac:dyDescent="0.25">
      <c r="B2608" t="s">
        <v>874</v>
      </c>
      <c r="C2608" t="s">
        <v>842</v>
      </c>
      <c r="D2608" t="s">
        <v>891</v>
      </c>
      <c r="E2608" t="s">
        <v>843</v>
      </c>
      <c r="F2608" t="s">
        <v>844</v>
      </c>
      <c r="H2608">
        <v>0</v>
      </c>
      <c r="I2608">
        <v>10282.64</v>
      </c>
      <c r="J2608">
        <v>10282.64</v>
      </c>
      <c r="M2608" s="7"/>
    </row>
    <row r="2609" spans="2:13" customFormat="1" x14ac:dyDescent="0.25">
      <c r="B2609" t="s">
        <v>874</v>
      </c>
      <c r="C2609" t="s">
        <v>494</v>
      </c>
      <c r="D2609" t="s">
        <v>891</v>
      </c>
      <c r="E2609" t="s">
        <v>495</v>
      </c>
      <c r="F2609" t="s">
        <v>496</v>
      </c>
      <c r="H2609">
        <v>0</v>
      </c>
      <c r="I2609">
        <v>0</v>
      </c>
      <c r="J2609">
        <v>-23697.279999999999</v>
      </c>
      <c r="M2609" s="7"/>
    </row>
    <row r="2610" spans="2:13" customFormat="1" x14ac:dyDescent="0.25">
      <c r="B2610" t="s">
        <v>874</v>
      </c>
      <c r="C2610" t="s">
        <v>46</v>
      </c>
      <c r="D2610" t="s">
        <v>891</v>
      </c>
      <c r="E2610" t="s">
        <v>237</v>
      </c>
      <c r="F2610" t="s">
        <v>143</v>
      </c>
      <c r="H2610">
        <v>0</v>
      </c>
      <c r="I2610">
        <v>0</v>
      </c>
      <c r="J2610">
        <v>-1200000</v>
      </c>
      <c r="M2610" s="7"/>
    </row>
    <row r="2611" spans="2:13" customFormat="1" x14ac:dyDescent="0.25">
      <c r="B2611" t="s">
        <v>874</v>
      </c>
      <c r="C2611" t="s">
        <v>47</v>
      </c>
      <c r="D2611" t="s">
        <v>891</v>
      </c>
      <c r="E2611" t="s">
        <v>238</v>
      </c>
      <c r="F2611" t="s">
        <v>144</v>
      </c>
      <c r="H2611">
        <v>0</v>
      </c>
      <c r="I2611">
        <v>0</v>
      </c>
      <c r="J2611">
        <v>102317.69</v>
      </c>
      <c r="M2611" s="7"/>
    </row>
    <row r="2612" spans="2:13" customFormat="1" x14ac:dyDescent="0.25">
      <c r="B2612" t="s">
        <v>874</v>
      </c>
      <c r="C2612" t="s">
        <v>85</v>
      </c>
      <c r="D2612" t="s">
        <v>891</v>
      </c>
      <c r="E2612" t="s">
        <v>240</v>
      </c>
      <c r="F2612" t="s">
        <v>146</v>
      </c>
      <c r="H2612">
        <v>0</v>
      </c>
      <c r="I2612">
        <v>0</v>
      </c>
      <c r="J2612">
        <v>216218.57</v>
      </c>
      <c r="M2612" s="7"/>
    </row>
    <row r="2613" spans="2:13" customFormat="1" x14ac:dyDescent="0.25">
      <c r="B2613" t="s">
        <v>874</v>
      </c>
      <c r="C2613" t="s">
        <v>371</v>
      </c>
      <c r="D2613" t="s">
        <v>891</v>
      </c>
      <c r="E2613" t="s">
        <v>372</v>
      </c>
      <c r="F2613" t="s">
        <v>373</v>
      </c>
      <c r="H2613">
        <v>665070.67000000004</v>
      </c>
      <c r="I2613">
        <v>0</v>
      </c>
      <c r="J2613">
        <v>-5110522.8499999996</v>
      </c>
      <c r="M2613" s="7"/>
    </row>
    <row r="2614" spans="2:13" customFormat="1" x14ac:dyDescent="0.25">
      <c r="B2614" t="s">
        <v>874</v>
      </c>
      <c r="C2614" t="s">
        <v>374</v>
      </c>
      <c r="D2614" t="s">
        <v>891</v>
      </c>
      <c r="E2614" t="s">
        <v>375</v>
      </c>
      <c r="F2614" t="s">
        <v>376</v>
      </c>
      <c r="H2614">
        <v>27441.45</v>
      </c>
      <c r="I2614">
        <v>0</v>
      </c>
      <c r="J2614">
        <v>-208944.07</v>
      </c>
      <c r="M2614" s="7"/>
    </row>
    <row r="2615" spans="2:13" customFormat="1" x14ac:dyDescent="0.25">
      <c r="B2615" t="s">
        <v>874</v>
      </c>
      <c r="C2615" t="s">
        <v>48</v>
      </c>
      <c r="D2615" t="s">
        <v>891</v>
      </c>
      <c r="E2615" t="s">
        <v>241</v>
      </c>
      <c r="F2615" t="s">
        <v>147</v>
      </c>
      <c r="H2615">
        <v>12262.97</v>
      </c>
      <c r="I2615">
        <v>0</v>
      </c>
      <c r="J2615">
        <v>-72334.36</v>
      </c>
      <c r="M2615" s="7"/>
    </row>
    <row r="2616" spans="2:13" customFormat="1" x14ac:dyDescent="0.25">
      <c r="B2616" t="s">
        <v>874</v>
      </c>
      <c r="C2616" t="s">
        <v>86</v>
      </c>
      <c r="D2616" t="s">
        <v>891</v>
      </c>
      <c r="E2616" t="s">
        <v>242</v>
      </c>
      <c r="F2616" t="s">
        <v>148</v>
      </c>
      <c r="H2616">
        <v>56916.21</v>
      </c>
      <c r="I2616">
        <v>0</v>
      </c>
      <c r="J2616">
        <v>-412539.67</v>
      </c>
      <c r="M2616" s="7"/>
    </row>
    <row r="2617" spans="2:13" customFormat="1" x14ac:dyDescent="0.25">
      <c r="B2617" t="s">
        <v>874</v>
      </c>
      <c r="C2617" t="s">
        <v>49</v>
      </c>
      <c r="D2617" t="s">
        <v>891</v>
      </c>
      <c r="E2617" t="s">
        <v>243</v>
      </c>
      <c r="F2617" t="s">
        <v>149</v>
      </c>
      <c r="H2617">
        <v>0</v>
      </c>
      <c r="I2617">
        <v>3232.93</v>
      </c>
      <c r="J2617">
        <v>22600.15</v>
      </c>
      <c r="M2617" s="7"/>
    </row>
    <row r="2618" spans="2:13" customFormat="1" x14ac:dyDescent="0.25">
      <c r="B2618" t="s">
        <v>874</v>
      </c>
      <c r="C2618" t="s">
        <v>50</v>
      </c>
      <c r="D2618" t="s">
        <v>891</v>
      </c>
      <c r="E2618" t="s">
        <v>244</v>
      </c>
      <c r="F2618" t="s">
        <v>150</v>
      </c>
      <c r="H2618">
        <v>0</v>
      </c>
      <c r="I2618">
        <v>424.49</v>
      </c>
      <c r="J2618">
        <v>2781.88</v>
      </c>
      <c r="M2618" s="7"/>
    </row>
    <row r="2619" spans="2:13" customFormat="1" x14ac:dyDescent="0.25">
      <c r="B2619" t="s">
        <v>874</v>
      </c>
      <c r="C2619" t="s">
        <v>51</v>
      </c>
      <c r="D2619" t="s">
        <v>891</v>
      </c>
      <c r="E2619" t="s">
        <v>245</v>
      </c>
      <c r="F2619" t="s">
        <v>151</v>
      </c>
      <c r="H2619">
        <v>0</v>
      </c>
      <c r="I2619">
        <v>1955.22</v>
      </c>
      <c r="J2619">
        <v>12813.45</v>
      </c>
      <c r="M2619" s="7"/>
    </row>
    <row r="2620" spans="2:13" customFormat="1" x14ac:dyDescent="0.25">
      <c r="B2620" t="s">
        <v>874</v>
      </c>
      <c r="C2620" t="s">
        <v>87</v>
      </c>
      <c r="D2620" t="s">
        <v>891</v>
      </c>
      <c r="E2620" t="s">
        <v>246</v>
      </c>
      <c r="F2620" t="s">
        <v>152</v>
      </c>
      <c r="H2620">
        <v>22429.37</v>
      </c>
      <c r="I2620">
        <v>22221</v>
      </c>
      <c r="J2620">
        <v>-1106.2</v>
      </c>
      <c r="M2620" s="7"/>
    </row>
    <row r="2621" spans="2:13" customFormat="1" x14ac:dyDescent="0.25">
      <c r="B2621" t="s">
        <v>874</v>
      </c>
      <c r="C2621" t="s">
        <v>88</v>
      </c>
      <c r="D2621" t="s">
        <v>891</v>
      </c>
      <c r="E2621" t="s">
        <v>248</v>
      </c>
      <c r="F2621" t="s">
        <v>154</v>
      </c>
      <c r="H2621">
        <v>0</v>
      </c>
      <c r="I2621">
        <v>0</v>
      </c>
      <c r="J2621">
        <v>-405.91</v>
      </c>
      <c r="M2621" s="7"/>
    </row>
    <row r="2622" spans="2:13" customFormat="1" x14ac:dyDescent="0.25">
      <c r="B2622" t="s">
        <v>874</v>
      </c>
      <c r="C2622" t="s">
        <v>377</v>
      </c>
      <c r="D2622" t="s">
        <v>891</v>
      </c>
      <c r="E2622" t="s">
        <v>378</v>
      </c>
      <c r="F2622" t="s">
        <v>379</v>
      </c>
      <c r="H2622">
        <v>34221</v>
      </c>
      <c r="I2622">
        <v>646410.1</v>
      </c>
      <c r="J2622">
        <v>4549433.3499999996</v>
      </c>
      <c r="M2622" s="7"/>
    </row>
    <row r="2623" spans="2:13" customFormat="1" x14ac:dyDescent="0.25">
      <c r="B2623" t="s">
        <v>874</v>
      </c>
      <c r="C2623" t="s">
        <v>53</v>
      </c>
      <c r="D2623" t="s">
        <v>891</v>
      </c>
      <c r="E2623" t="s">
        <v>249</v>
      </c>
      <c r="F2623" t="s">
        <v>155</v>
      </c>
      <c r="H2623">
        <v>1037.8599999999999</v>
      </c>
      <c r="I2623">
        <v>40474.07</v>
      </c>
      <c r="J2623">
        <v>285499.55</v>
      </c>
      <c r="M2623" s="7"/>
    </row>
    <row r="2624" spans="2:13" customFormat="1" x14ac:dyDescent="0.25">
      <c r="B2624" t="s">
        <v>874</v>
      </c>
      <c r="C2624" t="s">
        <v>54</v>
      </c>
      <c r="D2624" t="s">
        <v>891</v>
      </c>
      <c r="E2624" t="s">
        <v>250</v>
      </c>
      <c r="F2624" t="s">
        <v>156</v>
      </c>
      <c r="H2624">
        <v>0</v>
      </c>
      <c r="I2624">
        <v>7007.74</v>
      </c>
      <c r="J2624">
        <v>33939.089999999997</v>
      </c>
      <c r="M2624" s="7"/>
    </row>
    <row r="2625" spans="2:13" customFormat="1" x14ac:dyDescent="0.25">
      <c r="B2625" t="s">
        <v>874</v>
      </c>
      <c r="C2625" t="s">
        <v>651</v>
      </c>
      <c r="D2625" t="s">
        <v>891</v>
      </c>
      <c r="E2625" t="s">
        <v>652</v>
      </c>
      <c r="F2625" t="s">
        <v>653</v>
      </c>
      <c r="H2625">
        <v>0</v>
      </c>
      <c r="I2625">
        <v>0</v>
      </c>
      <c r="J2625">
        <v>-0.01</v>
      </c>
      <c r="M2625" s="7"/>
    </row>
    <row r="2626" spans="2:13" customFormat="1" x14ac:dyDescent="0.25">
      <c r="B2626" t="s">
        <v>874</v>
      </c>
      <c r="C2626" t="s">
        <v>89</v>
      </c>
      <c r="D2626" t="s">
        <v>891</v>
      </c>
      <c r="E2626" t="s">
        <v>251</v>
      </c>
      <c r="F2626" t="s">
        <v>157</v>
      </c>
      <c r="H2626">
        <v>0</v>
      </c>
      <c r="I2626">
        <v>0</v>
      </c>
      <c r="J2626">
        <v>-5482</v>
      </c>
      <c r="M2626" s="7"/>
    </row>
    <row r="2627" spans="2:13" customFormat="1" x14ac:dyDescent="0.25">
      <c r="B2627" t="s">
        <v>874</v>
      </c>
      <c r="C2627" t="s">
        <v>55</v>
      </c>
      <c r="D2627" t="s">
        <v>891</v>
      </c>
      <c r="E2627" t="s">
        <v>252</v>
      </c>
      <c r="F2627" t="s">
        <v>158</v>
      </c>
      <c r="H2627">
        <v>4400.7700000000004</v>
      </c>
      <c r="I2627">
        <v>24100.66</v>
      </c>
      <c r="J2627">
        <v>180054.56</v>
      </c>
      <c r="M2627" s="7"/>
    </row>
    <row r="2628" spans="2:13" customFormat="1" x14ac:dyDescent="0.25">
      <c r="B2628" t="s">
        <v>874</v>
      </c>
      <c r="C2628" t="s">
        <v>56</v>
      </c>
      <c r="D2628" t="s">
        <v>891</v>
      </c>
      <c r="E2628" t="s">
        <v>253</v>
      </c>
      <c r="F2628" t="s">
        <v>159</v>
      </c>
      <c r="H2628">
        <v>1540.72</v>
      </c>
      <c r="I2628">
        <v>8520.65</v>
      </c>
      <c r="J2628">
        <v>70820.960000000006</v>
      </c>
      <c r="M2628" s="7"/>
    </row>
    <row r="2629" spans="2:13" customFormat="1" x14ac:dyDescent="0.25">
      <c r="B2629" t="s">
        <v>874</v>
      </c>
      <c r="C2629" t="s">
        <v>57</v>
      </c>
      <c r="D2629" t="s">
        <v>891</v>
      </c>
      <c r="E2629" t="s">
        <v>254</v>
      </c>
      <c r="F2629" t="s">
        <v>160</v>
      </c>
      <c r="H2629">
        <v>451.49</v>
      </c>
      <c r="I2629">
        <v>2540.14</v>
      </c>
      <c r="J2629">
        <v>13944.16</v>
      </c>
      <c r="M2629" s="7"/>
    </row>
    <row r="2630" spans="2:13" customFormat="1" x14ac:dyDescent="0.25">
      <c r="B2630" t="s">
        <v>874</v>
      </c>
      <c r="C2630" t="s">
        <v>58</v>
      </c>
      <c r="D2630" t="s">
        <v>891</v>
      </c>
      <c r="E2630" t="s">
        <v>255</v>
      </c>
      <c r="F2630" t="s">
        <v>161</v>
      </c>
      <c r="H2630">
        <v>28.14</v>
      </c>
      <c r="I2630">
        <v>3330.72</v>
      </c>
      <c r="J2630">
        <v>74238.570000000007</v>
      </c>
      <c r="M2630" s="7"/>
    </row>
    <row r="2631" spans="2:13" customFormat="1" x14ac:dyDescent="0.25">
      <c r="B2631" t="s">
        <v>874</v>
      </c>
      <c r="C2631" t="s">
        <v>59</v>
      </c>
      <c r="D2631" t="s">
        <v>891</v>
      </c>
      <c r="E2631" t="s">
        <v>256</v>
      </c>
      <c r="F2631" t="s">
        <v>162</v>
      </c>
      <c r="H2631">
        <v>0</v>
      </c>
      <c r="I2631">
        <v>2405.27</v>
      </c>
      <c r="J2631">
        <v>19441.7</v>
      </c>
      <c r="M2631" s="7"/>
    </row>
    <row r="2632" spans="2:13" customFormat="1" x14ac:dyDescent="0.25">
      <c r="B2632" t="s">
        <v>874</v>
      </c>
      <c r="C2632" t="s">
        <v>90</v>
      </c>
      <c r="D2632" t="s">
        <v>891</v>
      </c>
      <c r="E2632" t="s">
        <v>257</v>
      </c>
      <c r="F2632" t="s">
        <v>163</v>
      </c>
      <c r="H2632">
        <v>0</v>
      </c>
      <c r="I2632">
        <v>0</v>
      </c>
      <c r="J2632">
        <v>3103.62</v>
      </c>
      <c r="M2632" s="7"/>
    </row>
    <row r="2633" spans="2:13" customFormat="1" x14ac:dyDescent="0.25">
      <c r="B2633" t="s">
        <v>874</v>
      </c>
      <c r="C2633" t="s">
        <v>60</v>
      </c>
      <c r="D2633" t="s">
        <v>891</v>
      </c>
      <c r="E2633" t="s">
        <v>258</v>
      </c>
      <c r="F2633" t="s">
        <v>164</v>
      </c>
      <c r="H2633">
        <v>0</v>
      </c>
      <c r="I2633">
        <v>112.41</v>
      </c>
      <c r="J2633">
        <v>4873.12</v>
      </c>
      <c r="M2633" s="7"/>
    </row>
    <row r="2634" spans="2:13" customFormat="1" x14ac:dyDescent="0.25">
      <c r="B2634" t="s">
        <v>874</v>
      </c>
      <c r="C2634" t="s">
        <v>61</v>
      </c>
      <c r="D2634" t="s">
        <v>891</v>
      </c>
      <c r="E2634" t="s">
        <v>259</v>
      </c>
      <c r="F2634" t="s">
        <v>165</v>
      </c>
      <c r="H2634">
        <v>0</v>
      </c>
      <c r="I2634">
        <v>0</v>
      </c>
      <c r="J2634">
        <v>3686.18</v>
      </c>
      <c r="M2634" s="7"/>
    </row>
    <row r="2635" spans="2:13" customFormat="1" x14ac:dyDescent="0.25">
      <c r="B2635" t="s">
        <v>874</v>
      </c>
      <c r="C2635" t="s">
        <v>344</v>
      </c>
      <c r="D2635" t="s">
        <v>891</v>
      </c>
      <c r="E2635" t="s">
        <v>345</v>
      </c>
      <c r="F2635" t="s">
        <v>346</v>
      </c>
      <c r="H2635">
        <v>333.72</v>
      </c>
      <c r="I2635">
        <v>1373.54</v>
      </c>
      <c r="J2635">
        <v>17603.419999999998</v>
      </c>
      <c r="M2635" s="7"/>
    </row>
    <row r="2636" spans="2:13" customFormat="1" x14ac:dyDescent="0.25">
      <c r="B2636" t="s">
        <v>874</v>
      </c>
      <c r="C2636" t="s">
        <v>62</v>
      </c>
      <c r="D2636" t="s">
        <v>891</v>
      </c>
      <c r="E2636" t="s">
        <v>260</v>
      </c>
      <c r="F2636" t="s">
        <v>166</v>
      </c>
      <c r="H2636">
        <v>422.75</v>
      </c>
      <c r="I2636">
        <v>594.34</v>
      </c>
      <c r="J2636">
        <v>-19351.98</v>
      </c>
      <c r="M2636" s="7"/>
    </row>
    <row r="2637" spans="2:13" customFormat="1" x14ac:dyDescent="0.25">
      <c r="B2637" t="s">
        <v>874</v>
      </c>
      <c r="C2637" t="s">
        <v>207</v>
      </c>
      <c r="D2637" t="s">
        <v>891</v>
      </c>
      <c r="E2637" t="s">
        <v>299</v>
      </c>
      <c r="F2637" t="s">
        <v>208</v>
      </c>
      <c r="H2637">
        <v>180</v>
      </c>
      <c r="I2637">
        <v>1799.1</v>
      </c>
      <c r="J2637">
        <v>9268.1200000000008</v>
      </c>
      <c r="M2637" s="7"/>
    </row>
    <row r="2638" spans="2:13" customFormat="1" x14ac:dyDescent="0.25">
      <c r="B2638" t="s">
        <v>874</v>
      </c>
      <c r="C2638" t="s">
        <v>63</v>
      </c>
      <c r="D2638" t="s">
        <v>891</v>
      </c>
      <c r="E2638" t="s">
        <v>261</v>
      </c>
      <c r="F2638" t="s">
        <v>167</v>
      </c>
      <c r="H2638">
        <v>1164.82</v>
      </c>
      <c r="I2638">
        <v>3703.77</v>
      </c>
      <c r="J2638">
        <v>9591.56</v>
      </c>
      <c r="M2638" s="7"/>
    </row>
    <row r="2639" spans="2:13" customFormat="1" x14ac:dyDescent="0.25">
      <c r="B2639" t="s">
        <v>874</v>
      </c>
      <c r="C2639" t="s">
        <v>380</v>
      </c>
      <c r="D2639" t="s">
        <v>891</v>
      </c>
      <c r="E2639" t="s">
        <v>381</v>
      </c>
      <c r="F2639" t="s">
        <v>382</v>
      </c>
      <c r="H2639">
        <v>390.13</v>
      </c>
      <c r="I2639">
        <v>0</v>
      </c>
      <c r="J2639">
        <v>-99.89</v>
      </c>
      <c r="M2639" s="7"/>
    </row>
    <row r="2640" spans="2:13" customFormat="1" x14ac:dyDescent="0.25">
      <c r="B2640" t="s">
        <v>874</v>
      </c>
      <c r="C2640" t="s">
        <v>91</v>
      </c>
      <c r="D2640" t="s">
        <v>891</v>
      </c>
      <c r="E2640" t="s">
        <v>262</v>
      </c>
      <c r="F2640" t="s">
        <v>168</v>
      </c>
      <c r="H2640">
        <v>0</v>
      </c>
      <c r="I2640">
        <v>2954.7</v>
      </c>
      <c r="J2640">
        <v>3841.2</v>
      </c>
      <c r="M2640" s="7"/>
    </row>
    <row r="2641" spans="2:13" customFormat="1" x14ac:dyDescent="0.25">
      <c r="B2641" t="s">
        <v>874</v>
      </c>
      <c r="C2641" t="s">
        <v>383</v>
      </c>
      <c r="D2641" t="s">
        <v>891</v>
      </c>
      <c r="E2641" t="s">
        <v>384</v>
      </c>
      <c r="F2641" t="s">
        <v>385</v>
      </c>
      <c r="H2641">
        <v>0</v>
      </c>
      <c r="I2641">
        <v>0</v>
      </c>
      <c r="J2641">
        <v>1070.1600000000001</v>
      </c>
      <c r="M2641" s="7"/>
    </row>
    <row r="2642" spans="2:13" customFormat="1" x14ac:dyDescent="0.25">
      <c r="B2642" t="s">
        <v>874</v>
      </c>
      <c r="C2642" t="s">
        <v>386</v>
      </c>
      <c r="D2642" t="s">
        <v>891</v>
      </c>
      <c r="E2642" t="s">
        <v>387</v>
      </c>
      <c r="F2642" t="s">
        <v>388</v>
      </c>
      <c r="H2642">
        <v>0</v>
      </c>
      <c r="I2642">
        <v>1286.57</v>
      </c>
      <c r="J2642">
        <v>6894.06</v>
      </c>
      <c r="M2642" s="7"/>
    </row>
    <row r="2643" spans="2:13" customFormat="1" x14ac:dyDescent="0.25">
      <c r="B2643" t="s">
        <v>874</v>
      </c>
      <c r="C2643" t="s">
        <v>92</v>
      </c>
      <c r="D2643" t="s">
        <v>891</v>
      </c>
      <c r="E2643" t="s">
        <v>263</v>
      </c>
      <c r="F2643" t="s">
        <v>169</v>
      </c>
      <c r="H2643">
        <v>0</v>
      </c>
      <c r="I2643">
        <v>0</v>
      </c>
      <c r="J2643">
        <v>-474.84</v>
      </c>
      <c r="M2643" s="7"/>
    </row>
    <row r="2644" spans="2:13" customFormat="1" x14ac:dyDescent="0.25">
      <c r="B2644" t="s">
        <v>874</v>
      </c>
      <c r="C2644" t="s">
        <v>93</v>
      </c>
      <c r="D2644" t="s">
        <v>891</v>
      </c>
      <c r="E2644" t="s">
        <v>264</v>
      </c>
      <c r="F2644" t="s">
        <v>170</v>
      </c>
      <c r="H2644">
        <v>0</v>
      </c>
      <c r="I2644">
        <v>1003</v>
      </c>
      <c r="J2644">
        <v>1003</v>
      </c>
      <c r="M2644" s="7"/>
    </row>
    <row r="2645" spans="2:13" customFormat="1" x14ac:dyDescent="0.25">
      <c r="B2645" t="s">
        <v>874</v>
      </c>
      <c r="C2645" t="s">
        <v>524</v>
      </c>
      <c r="D2645" t="s">
        <v>891</v>
      </c>
      <c r="E2645" t="s">
        <v>525</v>
      </c>
      <c r="F2645" t="s">
        <v>526</v>
      </c>
      <c r="H2645">
        <v>0</v>
      </c>
      <c r="I2645">
        <v>0</v>
      </c>
      <c r="J2645">
        <v>10367.82</v>
      </c>
      <c r="M2645" s="7"/>
    </row>
    <row r="2646" spans="2:13" customFormat="1" x14ac:dyDescent="0.25">
      <c r="B2646" t="s">
        <v>874</v>
      </c>
      <c r="C2646" t="s">
        <v>350</v>
      </c>
      <c r="D2646" t="s">
        <v>891</v>
      </c>
      <c r="E2646" t="s">
        <v>351</v>
      </c>
      <c r="F2646" t="s">
        <v>352</v>
      </c>
      <c r="H2646">
        <v>0</v>
      </c>
      <c r="I2646">
        <v>0</v>
      </c>
      <c r="J2646">
        <v>-59337.98</v>
      </c>
      <c r="M2646" s="7"/>
    </row>
    <row r="2647" spans="2:13" customFormat="1" x14ac:dyDescent="0.25">
      <c r="B2647" t="s">
        <v>874</v>
      </c>
      <c r="C2647" t="s">
        <v>64</v>
      </c>
      <c r="D2647" t="s">
        <v>891</v>
      </c>
      <c r="E2647" t="s">
        <v>265</v>
      </c>
      <c r="F2647" t="s">
        <v>171</v>
      </c>
      <c r="H2647">
        <v>9.9499999999999993</v>
      </c>
      <c r="I2647">
        <v>2013.13</v>
      </c>
      <c r="J2647">
        <v>29753.31</v>
      </c>
      <c r="M2647" s="7"/>
    </row>
    <row r="2648" spans="2:13" customFormat="1" x14ac:dyDescent="0.25">
      <c r="B2648" t="s">
        <v>874</v>
      </c>
      <c r="C2648" t="s">
        <v>94</v>
      </c>
      <c r="D2648" t="s">
        <v>891</v>
      </c>
      <c r="E2648" t="s">
        <v>266</v>
      </c>
      <c r="F2648" t="s">
        <v>172</v>
      </c>
      <c r="H2648">
        <v>0</v>
      </c>
      <c r="I2648">
        <v>0</v>
      </c>
      <c r="J2648">
        <v>-101.42</v>
      </c>
      <c r="M2648" s="7"/>
    </row>
    <row r="2649" spans="2:13" customFormat="1" x14ac:dyDescent="0.25">
      <c r="B2649" t="s">
        <v>874</v>
      </c>
      <c r="C2649" t="s">
        <v>389</v>
      </c>
      <c r="D2649" t="s">
        <v>891</v>
      </c>
      <c r="E2649" t="s">
        <v>390</v>
      </c>
      <c r="F2649" t="s">
        <v>391</v>
      </c>
      <c r="H2649">
        <v>0</v>
      </c>
      <c r="I2649">
        <v>0</v>
      </c>
      <c r="J2649">
        <v>312.7</v>
      </c>
      <c r="M2649" s="7"/>
    </row>
    <row r="2650" spans="2:13" customFormat="1" x14ac:dyDescent="0.25">
      <c r="B2650" t="s">
        <v>874</v>
      </c>
      <c r="C2650" t="s">
        <v>65</v>
      </c>
      <c r="D2650" t="s">
        <v>891</v>
      </c>
      <c r="E2650" t="s">
        <v>269</v>
      </c>
      <c r="F2650" t="s">
        <v>175</v>
      </c>
      <c r="H2650">
        <v>0</v>
      </c>
      <c r="I2650">
        <v>11706.13</v>
      </c>
      <c r="J2650">
        <v>56514.71</v>
      </c>
      <c r="M2650" s="7"/>
    </row>
    <row r="2651" spans="2:13" customFormat="1" x14ac:dyDescent="0.25">
      <c r="B2651" t="s">
        <v>874</v>
      </c>
      <c r="C2651" t="s">
        <v>97</v>
      </c>
      <c r="D2651" t="s">
        <v>891</v>
      </c>
      <c r="E2651" t="s">
        <v>270</v>
      </c>
      <c r="F2651" t="s">
        <v>176</v>
      </c>
      <c r="H2651">
        <v>0</v>
      </c>
      <c r="I2651">
        <v>120.26</v>
      </c>
      <c r="J2651">
        <v>537.53</v>
      </c>
      <c r="M2651" s="7"/>
    </row>
    <row r="2652" spans="2:13" customFormat="1" x14ac:dyDescent="0.25">
      <c r="B2652" t="s">
        <v>874</v>
      </c>
      <c r="C2652" t="s">
        <v>548</v>
      </c>
      <c r="D2652" t="s">
        <v>891</v>
      </c>
      <c r="E2652" t="s">
        <v>549</v>
      </c>
      <c r="F2652" t="s">
        <v>550</v>
      </c>
      <c r="H2652">
        <v>0</v>
      </c>
      <c r="I2652">
        <v>1921.56</v>
      </c>
      <c r="J2652">
        <v>12582.98</v>
      </c>
      <c r="M2652" s="7"/>
    </row>
    <row r="2653" spans="2:13" customFormat="1" x14ac:dyDescent="0.25">
      <c r="B2653" t="s">
        <v>874</v>
      </c>
      <c r="C2653" t="s">
        <v>66</v>
      </c>
      <c r="D2653" t="s">
        <v>891</v>
      </c>
      <c r="E2653" t="s">
        <v>272</v>
      </c>
      <c r="F2653" t="s">
        <v>178</v>
      </c>
      <c r="H2653">
        <v>0</v>
      </c>
      <c r="I2653">
        <v>106.33</v>
      </c>
      <c r="J2653">
        <v>844.31</v>
      </c>
      <c r="M2653" s="7"/>
    </row>
    <row r="2654" spans="2:13" customFormat="1" x14ac:dyDescent="0.25">
      <c r="B2654" t="s">
        <v>874</v>
      </c>
      <c r="C2654" t="s">
        <v>99</v>
      </c>
      <c r="D2654" t="s">
        <v>891</v>
      </c>
      <c r="E2654" t="s">
        <v>273</v>
      </c>
      <c r="F2654" t="s">
        <v>179</v>
      </c>
      <c r="H2654">
        <v>2580.6</v>
      </c>
      <c r="I2654">
        <v>0</v>
      </c>
      <c r="J2654">
        <v>0</v>
      </c>
      <c r="M2654" s="7"/>
    </row>
    <row r="2655" spans="2:13" customFormat="1" x14ac:dyDescent="0.25">
      <c r="B2655" t="s">
        <v>874</v>
      </c>
      <c r="C2655" t="s">
        <v>551</v>
      </c>
      <c r="D2655" t="s">
        <v>891</v>
      </c>
      <c r="E2655" t="s">
        <v>552</v>
      </c>
      <c r="F2655" t="s">
        <v>553</v>
      </c>
      <c r="H2655">
        <v>0</v>
      </c>
      <c r="I2655">
        <v>400</v>
      </c>
      <c r="J2655">
        <v>2800</v>
      </c>
      <c r="M2655" s="7"/>
    </row>
    <row r="2656" spans="2:13" customFormat="1" x14ac:dyDescent="0.25">
      <c r="B2656" t="s">
        <v>874</v>
      </c>
      <c r="C2656" t="s">
        <v>554</v>
      </c>
      <c r="D2656" t="s">
        <v>891</v>
      </c>
      <c r="E2656" t="s">
        <v>555</v>
      </c>
      <c r="F2656" t="s">
        <v>556</v>
      </c>
      <c r="H2656">
        <v>0</v>
      </c>
      <c r="I2656">
        <v>1635.65</v>
      </c>
      <c r="J2656">
        <v>11431.55</v>
      </c>
      <c r="M2656" s="7"/>
    </row>
    <row r="2657" spans="2:13" customFormat="1" x14ac:dyDescent="0.25">
      <c r="B2657" t="s">
        <v>874</v>
      </c>
      <c r="C2657" t="s">
        <v>871</v>
      </c>
      <c r="D2657" t="s">
        <v>891</v>
      </c>
      <c r="E2657" t="s">
        <v>872</v>
      </c>
      <c r="F2657" t="s">
        <v>873</v>
      </c>
      <c r="H2657">
        <v>0</v>
      </c>
      <c r="I2657">
        <v>3681.83</v>
      </c>
      <c r="J2657">
        <v>25772.81</v>
      </c>
      <c r="M2657" s="7"/>
    </row>
    <row r="2658" spans="2:13" customFormat="1" x14ac:dyDescent="0.25">
      <c r="B2658" t="s">
        <v>874</v>
      </c>
      <c r="C2658" t="s">
        <v>392</v>
      </c>
      <c r="D2658" t="s">
        <v>891</v>
      </c>
      <c r="E2658" t="s">
        <v>393</v>
      </c>
      <c r="F2658" t="s">
        <v>394</v>
      </c>
      <c r="H2658">
        <v>0</v>
      </c>
      <c r="I2658">
        <v>1223.05</v>
      </c>
      <c r="J2658">
        <v>8369.9699999999993</v>
      </c>
      <c r="M2658" s="7"/>
    </row>
    <row r="2659" spans="2:13" customFormat="1" x14ac:dyDescent="0.25">
      <c r="B2659" t="s">
        <v>874</v>
      </c>
      <c r="C2659" t="s">
        <v>100</v>
      </c>
      <c r="D2659" t="s">
        <v>891</v>
      </c>
      <c r="E2659" t="s">
        <v>274</v>
      </c>
      <c r="F2659" t="s">
        <v>180</v>
      </c>
      <c r="H2659">
        <v>1829</v>
      </c>
      <c r="I2659">
        <v>2734.71</v>
      </c>
      <c r="J2659">
        <v>18509.82</v>
      </c>
      <c r="M2659" s="7"/>
    </row>
    <row r="2660" spans="2:13" customFormat="1" x14ac:dyDescent="0.25">
      <c r="B2660" t="s">
        <v>874</v>
      </c>
      <c r="C2660" t="s">
        <v>101</v>
      </c>
      <c r="D2660" t="s">
        <v>891</v>
      </c>
      <c r="E2660" t="s">
        <v>275</v>
      </c>
      <c r="F2660" t="s">
        <v>181</v>
      </c>
      <c r="H2660">
        <v>0</v>
      </c>
      <c r="I2660">
        <v>290</v>
      </c>
      <c r="J2660">
        <v>290</v>
      </c>
      <c r="M2660" s="7"/>
    </row>
    <row r="2661" spans="2:13" customFormat="1" x14ac:dyDescent="0.25">
      <c r="B2661" t="s">
        <v>874</v>
      </c>
      <c r="C2661" t="s">
        <v>67</v>
      </c>
      <c r="D2661" t="s">
        <v>891</v>
      </c>
      <c r="E2661" t="s">
        <v>276</v>
      </c>
      <c r="F2661" t="s">
        <v>182</v>
      </c>
      <c r="H2661">
        <v>0</v>
      </c>
      <c r="I2661">
        <v>675.53</v>
      </c>
      <c r="J2661">
        <v>4401.41</v>
      </c>
      <c r="M2661" s="7"/>
    </row>
    <row r="2662" spans="2:13" customFormat="1" x14ac:dyDescent="0.25">
      <c r="B2662" t="s">
        <v>874</v>
      </c>
      <c r="C2662" t="s">
        <v>102</v>
      </c>
      <c r="D2662" t="s">
        <v>891</v>
      </c>
      <c r="E2662" t="s">
        <v>277</v>
      </c>
      <c r="F2662" t="s">
        <v>183</v>
      </c>
      <c r="H2662">
        <v>0</v>
      </c>
      <c r="I2662">
        <v>0</v>
      </c>
      <c r="J2662">
        <v>8908.44</v>
      </c>
      <c r="M2662" s="7"/>
    </row>
    <row r="2663" spans="2:13" customFormat="1" x14ac:dyDescent="0.25">
      <c r="B2663" t="s">
        <v>874</v>
      </c>
      <c r="C2663" t="s">
        <v>103</v>
      </c>
      <c r="D2663" t="s">
        <v>891</v>
      </c>
      <c r="E2663" t="s">
        <v>278</v>
      </c>
      <c r="F2663" t="s">
        <v>184</v>
      </c>
      <c r="H2663">
        <v>0</v>
      </c>
      <c r="I2663">
        <v>285.5</v>
      </c>
      <c r="J2663">
        <v>571</v>
      </c>
      <c r="M2663" s="7"/>
    </row>
    <row r="2664" spans="2:13" customFormat="1" x14ac:dyDescent="0.25">
      <c r="B2664" t="s">
        <v>874</v>
      </c>
      <c r="C2664" t="s">
        <v>68</v>
      </c>
      <c r="D2664" t="s">
        <v>891</v>
      </c>
      <c r="E2664" t="s">
        <v>279</v>
      </c>
      <c r="F2664" t="s">
        <v>185</v>
      </c>
      <c r="H2664">
        <v>0</v>
      </c>
      <c r="I2664">
        <v>1977.6</v>
      </c>
      <c r="J2664">
        <v>15972.16</v>
      </c>
      <c r="M2664" s="7"/>
    </row>
    <row r="2665" spans="2:13" customFormat="1" x14ac:dyDescent="0.25">
      <c r="B2665" t="s">
        <v>874</v>
      </c>
      <c r="C2665" t="s">
        <v>395</v>
      </c>
      <c r="D2665" t="s">
        <v>891</v>
      </c>
      <c r="E2665" t="s">
        <v>396</v>
      </c>
      <c r="F2665" t="s">
        <v>397</v>
      </c>
      <c r="H2665">
        <v>0</v>
      </c>
      <c r="I2665">
        <v>1006.78</v>
      </c>
      <c r="J2665">
        <v>2985.87</v>
      </c>
      <c r="M2665" s="7"/>
    </row>
    <row r="2666" spans="2:13" customFormat="1" x14ac:dyDescent="0.25">
      <c r="B2666" t="s">
        <v>874</v>
      </c>
      <c r="C2666" t="s">
        <v>104</v>
      </c>
      <c r="D2666" t="s">
        <v>891</v>
      </c>
      <c r="E2666" t="s">
        <v>280</v>
      </c>
      <c r="F2666" t="s">
        <v>186</v>
      </c>
      <c r="H2666">
        <v>0</v>
      </c>
      <c r="I2666">
        <v>615.5</v>
      </c>
      <c r="J2666">
        <v>8678.06</v>
      </c>
      <c r="M2666" s="7"/>
    </row>
    <row r="2667" spans="2:13" customFormat="1" x14ac:dyDescent="0.25">
      <c r="B2667" t="s">
        <v>874</v>
      </c>
      <c r="C2667" t="s">
        <v>356</v>
      </c>
      <c r="D2667" t="s">
        <v>891</v>
      </c>
      <c r="E2667" t="s">
        <v>357</v>
      </c>
      <c r="F2667" t="s">
        <v>358</v>
      </c>
      <c r="H2667">
        <v>0</v>
      </c>
      <c r="I2667">
        <v>380</v>
      </c>
      <c r="J2667">
        <v>6850</v>
      </c>
      <c r="M2667" s="7"/>
    </row>
    <row r="2668" spans="2:13" customFormat="1" x14ac:dyDescent="0.25">
      <c r="B2668" t="s">
        <v>874</v>
      </c>
      <c r="C2668" t="s">
        <v>105</v>
      </c>
      <c r="D2668" t="s">
        <v>891</v>
      </c>
      <c r="E2668" t="s">
        <v>281</v>
      </c>
      <c r="F2668" t="s">
        <v>187</v>
      </c>
      <c r="H2668">
        <v>0</v>
      </c>
      <c r="I2668">
        <v>699.99</v>
      </c>
      <c r="J2668">
        <v>5128.76</v>
      </c>
      <c r="M2668" s="7"/>
    </row>
    <row r="2669" spans="2:13" customFormat="1" x14ac:dyDescent="0.25">
      <c r="B2669" t="s">
        <v>874</v>
      </c>
      <c r="C2669" t="s">
        <v>106</v>
      </c>
      <c r="D2669" t="s">
        <v>891</v>
      </c>
      <c r="E2669" t="s">
        <v>282</v>
      </c>
      <c r="F2669" t="s">
        <v>188</v>
      </c>
      <c r="H2669">
        <v>0</v>
      </c>
      <c r="I2669">
        <v>150.99</v>
      </c>
      <c r="J2669">
        <v>1108.45</v>
      </c>
      <c r="M2669" s="7"/>
    </row>
    <row r="2670" spans="2:13" customFormat="1" x14ac:dyDescent="0.25">
      <c r="B2670" t="s">
        <v>874</v>
      </c>
      <c r="C2670" t="s">
        <v>107</v>
      </c>
      <c r="D2670" t="s">
        <v>891</v>
      </c>
      <c r="E2670" t="s">
        <v>283</v>
      </c>
      <c r="F2670" t="s">
        <v>189</v>
      </c>
      <c r="H2670">
        <v>429.02</v>
      </c>
      <c r="I2670">
        <v>4638.03</v>
      </c>
      <c r="J2670">
        <v>31288.69</v>
      </c>
      <c r="M2670" s="7"/>
    </row>
    <row r="2671" spans="2:13" customFormat="1" x14ac:dyDescent="0.25">
      <c r="B2671" t="s">
        <v>874</v>
      </c>
      <c r="C2671" t="s">
        <v>359</v>
      </c>
      <c r="D2671" t="s">
        <v>891</v>
      </c>
      <c r="E2671" t="s">
        <v>360</v>
      </c>
      <c r="F2671" t="s">
        <v>361</v>
      </c>
      <c r="H2671">
        <v>0</v>
      </c>
      <c r="I2671">
        <v>219.07</v>
      </c>
      <c r="J2671">
        <v>3158.5</v>
      </c>
      <c r="M2671" s="7"/>
    </row>
    <row r="2672" spans="2:13" customFormat="1" x14ac:dyDescent="0.25">
      <c r="B2672" t="s">
        <v>874</v>
      </c>
      <c r="C2672" t="s">
        <v>209</v>
      </c>
      <c r="D2672" t="s">
        <v>891</v>
      </c>
      <c r="E2672" t="s">
        <v>300</v>
      </c>
      <c r="F2672" t="s">
        <v>210</v>
      </c>
      <c r="H2672">
        <v>0</v>
      </c>
      <c r="I2672">
        <v>0</v>
      </c>
      <c r="J2672">
        <v>8.31</v>
      </c>
      <c r="M2672" s="7"/>
    </row>
    <row r="2673" spans="2:13" customFormat="1" x14ac:dyDescent="0.25">
      <c r="B2673" t="s">
        <v>874</v>
      </c>
      <c r="C2673" t="s">
        <v>69</v>
      </c>
      <c r="D2673" t="s">
        <v>891</v>
      </c>
      <c r="E2673" t="s">
        <v>284</v>
      </c>
      <c r="F2673" t="s">
        <v>190</v>
      </c>
      <c r="H2673">
        <v>0</v>
      </c>
      <c r="I2673">
        <v>197.5</v>
      </c>
      <c r="J2673">
        <v>574.91999999999996</v>
      </c>
      <c r="M2673" s="7"/>
    </row>
    <row r="2674" spans="2:13" customFormat="1" x14ac:dyDescent="0.25">
      <c r="B2674" t="s">
        <v>874</v>
      </c>
      <c r="C2674" t="s">
        <v>633</v>
      </c>
      <c r="D2674" t="s">
        <v>891</v>
      </c>
      <c r="E2674" t="s">
        <v>634</v>
      </c>
      <c r="F2674" t="s">
        <v>635</v>
      </c>
      <c r="H2674">
        <v>0</v>
      </c>
      <c r="I2674">
        <v>416.33</v>
      </c>
      <c r="J2674">
        <v>2361.33</v>
      </c>
      <c r="M2674" s="7"/>
    </row>
    <row r="2675" spans="2:13" customFormat="1" x14ac:dyDescent="0.25">
      <c r="B2675" t="s">
        <v>874</v>
      </c>
      <c r="C2675" t="s">
        <v>108</v>
      </c>
      <c r="D2675" t="s">
        <v>891</v>
      </c>
      <c r="E2675" t="s">
        <v>285</v>
      </c>
      <c r="F2675" t="s">
        <v>191</v>
      </c>
      <c r="H2675">
        <v>0</v>
      </c>
      <c r="I2675">
        <v>0</v>
      </c>
      <c r="J2675">
        <v>1056.05</v>
      </c>
      <c r="M2675" s="7"/>
    </row>
    <row r="2676" spans="2:13" customFormat="1" x14ac:dyDescent="0.25">
      <c r="B2676" t="s">
        <v>874</v>
      </c>
      <c r="C2676" t="s">
        <v>70</v>
      </c>
      <c r="D2676" t="s">
        <v>891</v>
      </c>
      <c r="E2676" t="s">
        <v>286</v>
      </c>
      <c r="F2676" t="s">
        <v>192</v>
      </c>
      <c r="H2676">
        <v>0</v>
      </c>
      <c r="I2676">
        <v>922.25</v>
      </c>
      <c r="J2676">
        <v>9052.66</v>
      </c>
      <c r="M2676" s="7"/>
    </row>
    <row r="2677" spans="2:13" customFormat="1" x14ac:dyDescent="0.25">
      <c r="B2677" t="s">
        <v>874</v>
      </c>
      <c r="C2677" t="s">
        <v>109</v>
      </c>
      <c r="D2677" t="s">
        <v>891</v>
      </c>
      <c r="E2677" t="s">
        <v>287</v>
      </c>
      <c r="F2677" t="s">
        <v>193</v>
      </c>
      <c r="H2677">
        <v>0</v>
      </c>
      <c r="I2677">
        <v>4139.47</v>
      </c>
      <c r="J2677">
        <v>12260.29</v>
      </c>
      <c r="M2677" s="7"/>
    </row>
    <row r="2678" spans="2:13" customFormat="1" x14ac:dyDescent="0.25">
      <c r="B2678" t="s">
        <v>874</v>
      </c>
      <c r="C2678" t="s">
        <v>560</v>
      </c>
      <c r="D2678" t="s">
        <v>891</v>
      </c>
      <c r="E2678" t="s">
        <v>561</v>
      </c>
      <c r="F2678" t="s">
        <v>562</v>
      </c>
      <c r="H2678">
        <v>0</v>
      </c>
      <c r="I2678">
        <v>0</v>
      </c>
      <c r="J2678">
        <v>900.05</v>
      </c>
      <c r="M2678" s="7"/>
    </row>
    <row r="2679" spans="2:13" customFormat="1" x14ac:dyDescent="0.25">
      <c r="B2679" t="s">
        <v>874</v>
      </c>
      <c r="C2679" t="s">
        <v>110</v>
      </c>
      <c r="D2679" t="s">
        <v>891</v>
      </c>
      <c r="E2679" t="s">
        <v>288</v>
      </c>
      <c r="F2679" t="s">
        <v>194</v>
      </c>
      <c r="H2679">
        <v>0</v>
      </c>
      <c r="I2679">
        <v>2263.5</v>
      </c>
      <c r="J2679">
        <v>2663.5</v>
      </c>
      <c r="M2679" s="7"/>
    </row>
    <row r="2680" spans="2:13" customFormat="1" x14ac:dyDescent="0.25">
      <c r="B2680" t="s">
        <v>874</v>
      </c>
      <c r="C2680" t="s">
        <v>111</v>
      </c>
      <c r="D2680" t="s">
        <v>891</v>
      </c>
      <c r="E2680" t="s">
        <v>289</v>
      </c>
      <c r="F2680" t="s">
        <v>195</v>
      </c>
      <c r="H2680">
        <v>0</v>
      </c>
      <c r="I2680">
        <v>4897.5600000000004</v>
      </c>
      <c r="J2680">
        <v>4895.5</v>
      </c>
      <c r="M2680" s="7"/>
    </row>
    <row r="2681" spans="2:13" customFormat="1" x14ac:dyDescent="0.25">
      <c r="B2681" t="s">
        <v>874</v>
      </c>
      <c r="C2681" t="s">
        <v>398</v>
      </c>
      <c r="D2681" t="s">
        <v>891</v>
      </c>
      <c r="E2681" t="s">
        <v>399</v>
      </c>
      <c r="F2681" t="s">
        <v>400</v>
      </c>
      <c r="H2681">
        <v>0</v>
      </c>
      <c r="I2681">
        <v>2076</v>
      </c>
      <c r="J2681">
        <v>15834.57</v>
      </c>
      <c r="M2681" s="7"/>
    </row>
    <row r="2682" spans="2:13" customFormat="1" x14ac:dyDescent="0.25">
      <c r="B2682" t="s">
        <v>874</v>
      </c>
      <c r="C2682" t="s">
        <v>443</v>
      </c>
      <c r="D2682" t="s">
        <v>891</v>
      </c>
      <c r="E2682" t="s">
        <v>444</v>
      </c>
      <c r="F2682" t="s">
        <v>445</v>
      </c>
      <c r="H2682">
        <v>0</v>
      </c>
      <c r="I2682">
        <v>1145.83</v>
      </c>
      <c r="J2682">
        <v>25208.31</v>
      </c>
      <c r="M2682" s="7"/>
    </row>
    <row r="2683" spans="2:13" customFormat="1" x14ac:dyDescent="0.25">
      <c r="B2683" t="s">
        <v>874</v>
      </c>
      <c r="C2683" t="s">
        <v>401</v>
      </c>
      <c r="D2683" t="s">
        <v>891</v>
      </c>
      <c r="E2683" t="s">
        <v>402</v>
      </c>
      <c r="F2683" t="s">
        <v>403</v>
      </c>
      <c r="H2683">
        <v>0</v>
      </c>
      <c r="I2683">
        <v>0</v>
      </c>
      <c r="J2683">
        <v>686.85</v>
      </c>
      <c r="M2683" s="7"/>
    </row>
    <row r="2684" spans="2:13" customFormat="1" x14ac:dyDescent="0.25">
      <c r="B2684" t="s">
        <v>874</v>
      </c>
      <c r="C2684" t="s">
        <v>446</v>
      </c>
      <c r="D2684" t="s">
        <v>891</v>
      </c>
      <c r="E2684" t="s">
        <v>447</v>
      </c>
      <c r="F2684" t="s">
        <v>448</v>
      </c>
      <c r="H2684">
        <v>0</v>
      </c>
      <c r="I2684">
        <v>0</v>
      </c>
      <c r="J2684">
        <v>1624</v>
      </c>
      <c r="M2684" s="7"/>
    </row>
    <row r="2685" spans="2:13" customFormat="1" x14ac:dyDescent="0.25">
      <c r="B2685" t="s">
        <v>874</v>
      </c>
      <c r="C2685" t="s">
        <v>404</v>
      </c>
      <c r="D2685" t="s">
        <v>891</v>
      </c>
      <c r="E2685" t="s">
        <v>405</v>
      </c>
      <c r="F2685" t="s">
        <v>406</v>
      </c>
      <c r="H2685">
        <v>0</v>
      </c>
      <c r="I2685">
        <v>0</v>
      </c>
      <c r="J2685">
        <v>0.03</v>
      </c>
      <c r="M2685" s="7"/>
    </row>
    <row r="2686" spans="2:13" customFormat="1" x14ac:dyDescent="0.25">
      <c r="B2686" t="s">
        <v>874</v>
      </c>
      <c r="C2686" t="s">
        <v>407</v>
      </c>
      <c r="D2686" t="s">
        <v>891</v>
      </c>
      <c r="E2686" t="s">
        <v>408</v>
      </c>
      <c r="F2686" t="s">
        <v>409</v>
      </c>
      <c r="H2686">
        <v>0</v>
      </c>
      <c r="I2686">
        <v>0</v>
      </c>
      <c r="J2686">
        <v>634.9</v>
      </c>
      <c r="M2686" s="7"/>
    </row>
    <row r="2687" spans="2:13" customFormat="1" x14ac:dyDescent="0.25">
      <c r="B2687" t="s">
        <v>874</v>
      </c>
      <c r="C2687" t="s">
        <v>569</v>
      </c>
      <c r="D2687" t="s">
        <v>891</v>
      </c>
      <c r="E2687" t="s">
        <v>570</v>
      </c>
      <c r="F2687" t="s">
        <v>571</v>
      </c>
      <c r="H2687">
        <v>0</v>
      </c>
      <c r="I2687">
        <v>0</v>
      </c>
      <c r="J2687">
        <v>203.17</v>
      </c>
      <c r="M2687" s="7"/>
    </row>
    <row r="2688" spans="2:13" customFormat="1" x14ac:dyDescent="0.25">
      <c r="B2688" t="s">
        <v>874</v>
      </c>
      <c r="C2688" t="s">
        <v>71</v>
      </c>
      <c r="D2688" t="s">
        <v>891</v>
      </c>
      <c r="E2688" t="s">
        <v>291</v>
      </c>
      <c r="F2688" t="s">
        <v>197</v>
      </c>
      <c r="H2688">
        <v>0</v>
      </c>
      <c r="I2688">
        <v>461.83</v>
      </c>
      <c r="J2688">
        <v>3193.21</v>
      </c>
      <c r="M2688" s="7"/>
    </row>
    <row r="2689" spans="2:13" customFormat="1" x14ac:dyDescent="0.25">
      <c r="B2689" t="s">
        <v>874</v>
      </c>
      <c r="C2689" t="s">
        <v>72</v>
      </c>
      <c r="D2689" t="s">
        <v>891</v>
      </c>
      <c r="E2689" t="s">
        <v>292</v>
      </c>
      <c r="F2689" t="s">
        <v>198</v>
      </c>
      <c r="H2689">
        <v>0</v>
      </c>
      <c r="I2689">
        <v>4.79</v>
      </c>
      <c r="J2689">
        <v>1576.47</v>
      </c>
      <c r="M2689" s="7"/>
    </row>
    <row r="2690" spans="2:13" customFormat="1" x14ac:dyDescent="0.25">
      <c r="B2690" t="s">
        <v>874</v>
      </c>
      <c r="C2690" t="s">
        <v>73</v>
      </c>
      <c r="D2690" t="s">
        <v>891</v>
      </c>
      <c r="E2690" t="s">
        <v>293</v>
      </c>
      <c r="F2690" t="s">
        <v>199</v>
      </c>
      <c r="H2690">
        <v>511.08</v>
      </c>
      <c r="I2690">
        <v>545.23</v>
      </c>
      <c r="J2690">
        <v>24100.37</v>
      </c>
      <c r="M2690" s="7"/>
    </row>
    <row r="2691" spans="2:13" customFormat="1" x14ac:dyDescent="0.25">
      <c r="B2691" t="s">
        <v>874</v>
      </c>
      <c r="C2691" t="s">
        <v>74</v>
      </c>
      <c r="D2691" t="s">
        <v>891</v>
      </c>
      <c r="E2691" t="s">
        <v>294</v>
      </c>
      <c r="F2691" t="s">
        <v>200</v>
      </c>
      <c r="H2691">
        <v>0</v>
      </c>
      <c r="I2691">
        <v>7164.67</v>
      </c>
      <c r="J2691">
        <v>68140.75</v>
      </c>
      <c r="M2691" s="7"/>
    </row>
    <row r="2692" spans="2:13" customFormat="1" x14ac:dyDescent="0.25">
      <c r="B2692" t="s">
        <v>874</v>
      </c>
      <c r="C2692" t="s">
        <v>75</v>
      </c>
      <c r="D2692" t="s">
        <v>891</v>
      </c>
      <c r="E2692" t="s">
        <v>295</v>
      </c>
      <c r="F2692" t="s">
        <v>201</v>
      </c>
      <c r="H2692">
        <v>0</v>
      </c>
      <c r="I2692">
        <v>357.34</v>
      </c>
      <c r="J2692">
        <v>24008.17</v>
      </c>
      <c r="M2692" s="7"/>
    </row>
    <row r="2693" spans="2:13" customFormat="1" x14ac:dyDescent="0.25">
      <c r="B2693" t="s">
        <v>874</v>
      </c>
      <c r="C2693" t="s">
        <v>76</v>
      </c>
      <c r="D2693" t="s">
        <v>891</v>
      </c>
      <c r="E2693" t="s">
        <v>296</v>
      </c>
      <c r="F2693" t="s">
        <v>202</v>
      </c>
      <c r="H2693">
        <v>0</v>
      </c>
      <c r="I2693">
        <v>214.4</v>
      </c>
      <c r="J2693">
        <v>11428.45</v>
      </c>
      <c r="M2693" s="7"/>
    </row>
    <row r="2694" spans="2:13" customFormat="1" x14ac:dyDescent="0.25">
      <c r="B2694" t="s">
        <v>626</v>
      </c>
      <c r="C2694" t="s">
        <v>26</v>
      </c>
      <c r="D2694" t="s">
        <v>891</v>
      </c>
      <c r="E2694" t="s">
        <v>211</v>
      </c>
      <c r="F2694" t="s">
        <v>116</v>
      </c>
      <c r="H2694">
        <v>300838</v>
      </c>
      <c r="I2694">
        <v>300838</v>
      </c>
      <c r="J2694">
        <v>0</v>
      </c>
      <c r="M2694" s="7"/>
    </row>
    <row r="2695" spans="2:13" customFormat="1" x14ac:dyDescent="0.25">
      <c r="B2695" t="s">
        <v>626</v>
      </c>
      <c r="C2695" t="s">
        <v>27</v>
      </c>
      <c r="D2695" t="s">
        <v>891</v>
      </c>
      <c r="E2695" t="s">
        <v>212</v>
      </c>
      <c r="F2695" t="s">
        <v>117</v>
      </c>
      <c r="H2695">
        <v>3361.65</v>
      </c>
      <c r="I2695">
        <v>2741.9</v>
      </c>
      <c r="J2695">
        <v>1614.2</v>
      </c>
      <c r="M2695" s="7"/>
    </row>
    <row r="2696" spans="2:13" customFormat="1" x14ac:dyDescent="0.25">
      <c r="B2696" t="s">
        <v>626</v>
      </c>
      <c r="C2696" t="s">
        <v>28</v>
      </c>
      <c r="D2696" t="s">
        <v>891</v>
      </c>
      <c r="E2696" t="s">
        <v>213</v>
      </c>
      <c r="F2696" t="s">
        <v>118</v>
      </c>
      <c r="H2696">
        <v>139995.4</v>
      </c>
      <c r="I2696">
        <v>135999.06</v>
      </c>
      <c r="J2696">
        <v>775.31</v>
      </c>
      <c r="M2696" s="7"/>
    </row>
    <row r="2697" spans="2:13" customFormat="1" x14ac:dyDescent="0.25">
      <c r="B2697" t="s">
        <v>626</v>
      </c>
      <c r="C2697" t="s">
        <v>410</v>
      </c>
      <c r="D2697" t="s">
        <v>891</v>
      </c>
      <c r="E2697" t="s">
        <v>411</v>
      </c>
      <c r="F2697" t="s">
        <v>412</v>
      </c>
      <c r="H2697">
        <v>298456.90000000002</v>
      </c>
      <c r="I2697">
        <v>301072.5</v>
      </c>
      <c r="J2697">
        <v>7420.4</v>
      </c>
      <c r="M2697" s="7"/>
    </row>
    <row r="2698" spans="2:13" customFormat="1" x14ac:dyDescent="0.25">
      <c r="B2698" t="s">
        <v>626</v>
      </c>
      <c r="C2698" t="s">
        <v>30</v>
      </c>
      <c r="D2698" t="s">
        <v>891</v>
      </c>
      <c r="E2698" t="s">
        <v>215</v>
      </c>
      <c r="F2698" t="s">
        <v>120</v>
      </c>
      <c r="H2698">
        <v>990912.09</v>
      </c>
      <c r="I2698">
        <v>960483.57</v>
      </c>
      <c r="J2698">
        <v>345957.55</v>
      </c>
      <c r="M2698" s="7"/>
    </row>
    <row r="2699" spans="2:13" customFormat="1" x14ac:dyDescent="0.25">
      <c r="B2699" t="s">
        <v>626</v>
      </c>
      <c r="C2699" t="s">
        <v>81</v>
      </c>
      <c r="D2699" t="s">
        <v>891</v>
      </c>
      <c r="E2699" t="s">
        <v>216</v>
      </c>
      <c r="F2699" t="s">
        <v>121</v>
      </c>
      <c r="H2699">
        <v>50090</v>
      </c>
      <c r="I2699">
        <v>17085.73</v>
      </c>
      <c r="J2699">
        <v>27489.74</v>
      </c>
      <c r="M2699" s="7"/>
    </row>
    <row r="2700" spans="2:13" customFormat="1" x14ac:dyDescent="0.25">
      <c r="B2700" t="s">
        <v>626</v>
      </c>
      <c r="C2700" t="s">
        <v>449</v>
      </c>
      <c r="D2700" t="s">
        <v>891</v>
      </c>
      <c r="E2700" t="s">
        <v>450</v>
      </c>
      <c r="F2700" t="s">
        <v>451</v>
      </c>
      <c r="H2700">
        <v>7586.5</v>
      </c>
      <c r="I2700">
        <v>13570.12</v>
      </c>
      <c r="J2700">
        <v>13330.58</v>
      </c>
      <c r="M2700" s="7"/>
    </row>
    <row r="2701" spans="2:13" customFormat="1" x14ac:dyDescent="0.25">
      <c r="B2701" t="s">
        <v>626</v>
      </c>
      <c r="C2701" t="s">
        <v>31</v>
      </c>
      <c r="D2701" t="s">
        <v>891</v>
      </c>
      <c r="E2701" t="s">
        <v>217</v>
      </c>
      <c r="F2701" t="s">
        <v>122</v>
      </c>
      <c r="H2701">
        <v>903118.39</v>
      </c>
      <c r="I2701">
        <v>904817.06</v>
      </c>
      <c r="J2701">
        <v>-0.02</v>
      </c>
      <c r="M2701" s="7"/>
    </row>
    <row r="2702" spans="2:13" customFormat="1" x14ac:dyDescent="0.25">
      <c r="B2702" t="s">
        <v>626</v>
      </c>
      <c r="C2702" t="s">
        <v>32</v>
      </c>
      <c r="D2702" t="s">
        <v>891</v>
      </c>
      <c r="E2702" t="s">
        <v>218</v>
      </c>
      <c r="F2702" t="s">
        <v>123</v>
      </c>
      <c r="H2702">
        <v>21814</v>
      </c>
      <c r="I2702">
        <v>12500</v>
      </c>
      <c r="J2702">
        <v>12500</v>
      </c>
      <c r="M2702" s="7"/>
    </row>
    <row r="2703" spans="2:13" customFormat="1" x14ac:dyDescent="0.25">
      <c r="B2703" t="s">
        <v>626</v>
      </c>
      <c r="C2703" t="s">
        <v>33</v>
      </c>
      <c r="D2703" t="s">
        <v>891</v>
      </c>
      <c r="E2703" t="s">
        <v>219</v>
      </c>
      <c r="F2703" t="s">
        <v>124</v>
      </c>
      <c r="H2703">
        <v>239556.64</v>
      </c>
      <c r="I2703">
        <v>240312.47</v>
      </c>
      <c r="J2703">
        <v>11120.58</v>
      </c>
      <c r="M2703" s="7"/>
    </row>
    <row r="2704" spans="2:13" customFormat="1" x14ac:dyDescent="0.25">
      <c r="B2704" t="s">
        <v>626</v>
      </c>
      <c r="C2704" t="s">
        <v>34</v>
      </c>
      <c r="D2704" t="s">
        <v>891</v>
      </c>
      <c r="E2704" t="s">
        <v>220</v>
      </c>
      <c r="F2704" t="s">
        <v>125</v>
      </c>
      <c r="H2704">
        <v>163741.21</v>
      </c>
      <c r="I2704">
        <v>201537.58</v>
      </c>
      <c r="J2704">
        <v>214275.47</v>
      </c>
      <c r="M2704" s="7"/>
    </row>
    <row r="2705" spans="2:13" customFormat="1" x14ac:dyDescent="0.25">
      <c r="B2705" t="s">
        <v>626</v>
      </c>
      <c r="C2705" t="s">
        <v>205</v>
      </c>
      <c r="D2705" t="s">
        <v>891</v>
      </c>
      <c r="E2705" t="s">
        <v>298</v>
      </c>
      <c r="F2705" t="s">
        <v>206</v>
      </c>
      <c r="H2705">
        <v>21050.18</v>
      </c>
      <c r="I2705">
        <v>19957.580000000002</v>
      </c>
      <c r="J2705">
        <v>27374.25</v>
      </c>
      <c r="M2705" s="7"/>
    </row>
    <row r="2706" spans="2:13" customFormat="1" x14ac:dyDescent="0.25">
      <c r="B2706" t="s">
        <v>626</v>
      </c>
      <c r="C2706" t="s">
        <v>301</v>
      </c>
      <c r="D2706" t="s">
        <v>891</v>
      </c>
      <c r="E2706" t="s">
        <v>302</v>
      </c>
      <c r="F2706" t="s">
        <v>303</v>
      </c>
      <c r="H2706">
        <v>12598.4</v>
      </c>
      <c r="I2706">
        <v>14263.37</v>
      </c>
      <c r="J2706">
        <v>1664.97</v>
      </c>
      <c r="M2706" s="7"/>
    </row>
    <row r="2707" spans="2:13" customFormat="1" x14ac:dyDescent="0.25">
      <c r="B2707" t="s">
        <v>626</v>
      </c>
      <c r="C2707" t="s">
        <v>521</v>
      </c>
      <c r="D2707" t="s">
        <v>891</v>
      </c>
      <c r="E2707" t="s">
        <v>522</v>
      </c>
      <c r="F2707" t="s">
        <v>523</v>
      </c>
      <c r="H2707">
        <v>10282.64</v>
      </c>
      <c r="I2707">
        <v>76304</v>
      </c>
      <c r="J2707">
        <v>76304.009999999995</v>
      </c>
      <c r="M2707" s="7"/>
    </row>
    <row r="2708" spans="2:13" customFormat="1" x14ac:dyDescent="0.25">
      <c r="B2708" t="s">
        <v>626</v>
      </c>
      <c r="C2708" t="s">
        <v>35</v>
      </c>
      <c r="D2708" t="s">
        <v>891</v>
      </c>
      <c r="E2708" t="s">
        <v>221</v>
      </c>
      <c r="F2708" t="s">
        <v>127</v>
      </c>
      <c r="H2708">
        <v>3268.79</v>
      </c>
      <c r="I2708">
        <v>2199.7800000000002</v>
      </c>
      <c r="J2708">
        <v>0</v>
      </c>
      <c r="M2708" s="7"/>
    </row>
    <row r="2709" spans="2:13" customFormat="1" x14ac:dyDescent="0.25">
      <c r="B2709" t="s">
        <v>626</v>
      </c>
      <c r="C2709" t="s">
        <v>36</v>
      </c>
      <c r="D2709" t="s">
        <v>891</v>
      </c>
      <c r="E2709" t="s">
        <v>222</v>
      </c>
      <c r="F2709" t="s">
        <v>128</v>
      </c>
      <c r="H2709">
        <v>344.13</v>
      </c>
      <c r="I2709">
        <v>952.15</v>
      </c>
      <c r="J2709">
        <v>6266.26</v>
      </c>
      <c r="M2709" s="7"/>
    </row>
    <row r="2710" spans="2:13" customFormat="1" x14ac:dyDescent="0.25">
      <c r="B2710" t="s">
        <v>626</v>
      </c>
      <c r="C2710" t="s">
        <v>37</v>
      </c>
      <c r="D2710" t="s">
        <v>891</v>
      </c>
      <c r="E2710" t="s">
        <v>223</v>
      </c>
      <c r="F2710" t="s">
        <v>129</v>
      </c>
      <c r="H2710">
        <v>1585.07</v>
      </c>
      <c r="I2710">
        <v>4385.68</v>
      </c>
      <c r="J2710">
        <v>28862.86</v>
      </c>
      <c r="M2710" s="7"/>
    </row>
    <row r="2711" spans="2:13" customFormat="1" x14ac:dyDescent="0.25">
      <c r="B2711" t="s">
        <v>626</v>
      </c>
      <c r="C2711" t="s">
        <v>413</v>
      </c>
      <c r="D2711" t="s">
        <v>891</v>
      </c>
      <c r="E2711" t="s">
        <v>414</v>
      </c>
      <c r="F2711" t="s">
        <v>415</v>
      </c>
      <c r="H2711">
        <v>0</v>
      </c>
      <c r="I2711">
        <v>0</v>
      </c>
      <c r="J2711">
        <v>2147.69</v>
      </c>
      <c r="M2711" s="7"/>
    </row>
    <row r="2712" spans="2:13" customFormat="1" x14ac:dyDescent="0.25">
      <c r="B2712" t="s">
        <v>626</v>
      </c>
      <c r="C2712" t="s">
        <v>304</v>
      </c>
      <c r="D2712" t="s">
        <v>891</v>
      </c>
      <c r="E2712" t="s">
        <v>305</v>
      </c>
      <c r="F2712" t="s">
        <v>306</v>
      </c>
      <c r="H2712">
        <v>749141.62</v>
      </c>
      <c r="I2712">
        <v>708288.5</v>
      </c>
      <c r="J2712">
        <v>111132.44</v>
      </c>
      <c r="M2712" s="7"/>
    </row>
    <row r="2713" spans="2:13" customFormat="1" x14ac:dyDescent="0.25">
      <c r="B2713" t="s">
        <v>626</v>
      </c>
      <c r="C2713" t="s">
        <v>38</v>
      </c>
      <c r="D2713" t="s">
        <v>891</v>
      </c>
      <c r="E2713" t="s">
        <v>224</v>
      </c>
      <c r="F2713" t="s">
        <v>130</v>
      </c>
      <c r="H2713">
        <v>31957.41</v>
      </c>
      <c r="I2713">
        <v>47957.48</v>
      </c>
      <c r="J2713">
        <v>112598.39</v>
      </c>
      <c r="M2713" s="7"/>
    </row>
    <row r="2714" spans="2:13" customFormat="1" x14ac:dyDescent="0.25">
      <c r="B2714" t="s">
        <v>626</v>
      </c>
      <c r="C2714" t="s">
        <v>39</v>
      </c>
      <c r="D2714" t="s">
        <v>891</v>
      </c>
      <c r="E2714" t="s">
        <v>225</v>
      </c>
      <c r="F2714" t="s">
        <v>131</v>
      </c>
      <c r="H2714">
        <v>3632.17</v>
      </c>
      <c r="I2714">
        <v>6289.9</v>
      </c>
      <c r="J2714">
        <v>16155.32</v>
      </c>
      <c r="M2714" s="7"/>
    </row>
    <row r="2715" spans="2:13" customFormat="1" x14ac:dyDescent="0.25">
      <c r="B2715" t="s">
        <v>626</v>
      </c>
      <c r="C2715" t="s">
        <v>82</v>
      </c>
      <c r="D2715" t="s">
        <v>891</v>
      </c>
      <c r="E2715" t="s">
        <v>226</v>
      </c>
      <c r="F2715" t="s">
        <v>132</v>
      </c>
      <c r="H2715">
        <v>0</v>
      </c>
      <c r="I2715">
        <v>0</v>
      </c>
      <c r="J2715">
        <v>-8520</v>
      </c>
      <c r="M2715" s="7"/>
    </row>
    <row r="2716" spans="2:13" customFormat="1" x14ac:dyDescent="0.25">
      <c r="B2716" t="s">
        <v>626</v>
      </c>
      <c r="C2716" t="s">
        <v>452</v>
      </c>
      <c r="D2716" t="s">
        <v>891</v>
      </c>
      <c r="E2716" t="s">
        <v>453</v>
      </c>
      <c r="F2716" t="s">
        <v>454</v>
      </c>
      <c r="H2716">
        <v>0</v>
      </c>
      <c r="I2716">
        <v>0</v>
      </c>
      <c r="J2716">
        <v>106180.47</v>
      </c>
      <c r="M2716" s="7"/>
    </row>
    <row r="2717" spans="2:13" customFormat="1" x14ac:dyDescent="0.25">
      <c r="B2717" t="s">
        <v>626</v>
      </c>
      <c r="C2717" t="s">
        <v>455</v>
      </c>
      <c r="D2717" t="s">
        <v>891</v>
      </c>
      <c r="E2717" t="s">
        <v>456</v>
      </c>
      <c r="F2717" t="s">
        <v>457</v>
      </c>
      <c r="H2717">
        <v>0</v>
      </c>
      <c r="I2717">
        <v>0</v>
      </c>
      <c r="J2717">
        <v>6293.58</v>
      </c>
      <c r="M2717" s="7"/>
    </row>
    <row r="2718" spans="2:13" customFormat="1" x14ac:dyDescent="0.25">
      <c r="B2718" t="s">
        <v>626</v>
      </c>
      <c r="C2718" t="s">
        <v>416</v>
      </c>
      <c r="D2718" t="s">
        <v>891</v>
      </c>
      <c r="E2718" t="s">
        <v>417</v>
      </c>
      <c r="F2718" t="s">
        <v>418</v>
      </c>
      <c r="H2718">
        <v>0</v>
      </c>
      <c r="I2718">
        <v>680</v>
      </c>
      <c r="J2718">
        <v>26488.9</v>
      </c>
      <c r="M2718" s="7"/>
    </row>
    <row r="2719" spans="2:13" customFormat="1" x14ac:dyDescent="0.25">
      <c r="B2719" t="s">
        <v>626</v>
      </c>
      <c r="C2719" t="s">
        <v>458</v>
      </c>
      <c r="D2719" t="s">
        <v>891</v>
      </c>
      <c r="E2719" t="s">
        <v>459</v>
      </c>
      <c r="F2719" t="s">
        <v>460</v>
      </c>
      <c r="H2719">
        <v>0</v>
      </c>
      <c r="I2719">
        <v>0</v>
      </c>
      <c r="J2719">
        <v>42605.93</v>
      </c>
      <c r="M2719" s="7"/>
    </row>
    <row r="2720" spans="2:13" customFormat="1" x14ac:dyDescent="0.25">
      <c r="B2720" t="s">
        <v>626</v>
      </c>
      <c r="C2720" t="s">
        <v>464</v>
      </c>
      <c r="D2720" t="s">
        <v>891</v>
      </c>
      <c r="E2720" t="s">
        <v>465</v>
      </c>
      <c r="F2720" t="s">
        <v>466</v>
      </c>
      <c r="H2720">
        <v>0</v>
      </c>
      <c r="I2720">
        <v>30449.05</v>
      </c>
      <c r="J2720">
        <v>30449.05</v>
      </c>
      <c r="M2720" s="7"/>
    </row>
    <row r="2721" spans="2:13" customFormat="1" x14ac:dyDescent="0.25">
      <c r="B2721" t="s">
        <v>626</v>
      </c>
      <c r="C2721" t="s">
        <v>467</v>
      </c>
      <c r="D2721" t="s">
        <v>891</v>
      </c>
      <c r="E2721" t="s">
        <v>468</v>
      </c>
      <c r="F2721" t="s">
        <v>469</v>
      </c>
      <c r="H2721">
        <v>30449.05</v>
      </c>
      <c r="I2721">
        <v>0</v>
      </c>
      <c r="J2721">
        <v>0</v>
      </c>
      <c r="M2721" s="7"/>
    </row>
    <row r="2722" spans="2:13" customFormat="1" x14ac:dyDescent="0.25">
      <c r="B2722" t="s">
        <v>626</v>
      </c>
      <c r="C2722" t="s">
        <v>470</v>
      </c>
      <c r="D2722" t="s">
        <v>891</v>
      </c>
      <c r="E2722" t="s">
        <v>471</v>
      </c>
      <c r="F2722" t="s">
        <v>472</v>
      </c>
      <c r="H2722">
        <v>52.45</v>
      </c>
      <c r="I2722">
        <v>0</v>
      </c>
      <c r="J2722">
        <v>-1744.89</v>
      </c>
      <c r="M2722" s="7"/>
    </row>
    <row r="2723" spans="2:13" customFormat="1" x14ac:dyDescent="0.25">
      <c r="B2723" t="s">
        <v>626</v>
      </c>
      <c r="C2723" t="s">
        <v>419</v>
      </c>
      <c r="D2723" t="s">
        <v>891</v>
      </c>
      <c r="E2723" t="s">
        <v>420</v>
      </c>
      <c r="F2723" t="s">
        <v>421</v>
      </c>
      <c r="H2723">
        <v>215.07</v>
      </c>
      <c r="I2723">
        <v>0</v>
      </c>
      <c r="J2723">
        <v>-5432.53</v>
      </c>
      <c r="M2723" s="7"/>
    </row>
    <row r="2724" spans="2:13" customFormat="1" x14ac:dyDescent="0.25">
      <c r="B2724" t="s">
        <v>626</v>
      </c>
      <c r="C2724" t="s">
        <v>473</v>
      </c>
      <c r="D2724" t="s">
        <v>891</v>
      </c>
      <c r="E2724" t="s">
        <v>474</v>
      </c>
      <c r="F2724" t="s">
        <v>475</v>
      </c>
      <c r="H2724">
        <v>710.1</v>
      </c>
      <c r="I2724">
        <v>0</v>
      </c>
      <c r="J2724">
        <v>-23770.79</v>
      </c>
      <c r="M2724" s="7"/>
    </row>
    <row r="2725" spans="2:13" customFormat="1" x14ac:dyDescent="0.25">
      <c r="B2725" t="s">
        <v>626</v>
      </c>
      <c r="C2725" t="s">
        <v>479</v>
      </c>
      <c r="D2725" t="s">
        <v>891</v>
      </c>
      <c r="E2725" t="s">
        <v>480</v>
      </c>
      <c r="F2725" t="s">
        <v>481</v>
      </c>
      <c r="H2725">
        <v>253.74</v>
      </c>
      <c r="I2725">
        <v>0</v>
      </c>
      <c r="J2725">
        <v>-253.74</v>
      </c>
      <c r="M2725" s="7"/>
    </row>
    <row r="2726" spans="2:13" customFormat="1" x14ac:dyDescent="0.25">
      <c r="B2726" t="s">
        <v>626</v>
      </c>
      <c r="C2726" t="s">
        <v>482</v>
      </c>
      <c r="D2726" t="s">
        <v>891</v>
      </c>
      <c r="E2726" t="s">
        <v>483</v>
      </c>
      <c r="F2726" t="s">
        <v>484</v>
      </c>
      <c r="H2726">
        <v>0</v>
      </c>
      <c r="I2726">
        <v>0</v>
      </c>
      <c r="J2726">
        <v>73304</v>
      </c>
      <c r="M2726" s="7"/>
    </row>
    <row r="2727" spans="2:13" customFormat="1" x14ac:dyDescent="0.25">
      <c r="B2727" t="s">
        <v>626</v>
      </c>
      <c r="C2727" t="s">
        <v>485</v>
      </c>
      <c r="D2727" t="s">
        <v>891</v>
      </c>
      <c r="E2727" t="s">
        <v>486</v>
      </c>
      <c r="F2727" t="s">
        <v>487</v>
      </c>
      <c r="H2727">
        <v>1527.17</v>
      </c>
      <c r="I2727">
        <v>0</v>
      </c>
      <c r="J2727">
        <v>-21189.45</v>
      </c>
      <c r="M2727" s="7"/>
    </row>
    <row r="2728" spans="2:13" customFormat="1" x14ac:dyDescent="0.25">
      <c r="B2728" t="s">
        <v>626</v>
      </c>
      <c r="C2728" t="s">
        <v>40</v>
      </c>
      <c r="D2728" t="s">
        <v>891</v>
      </c>
      <c r="E2728" t="s">
        <v>227</v>
      </c>
      <c r="F2728" t="s">
        <v>133</v>
      </c>
      <c r="H2728">
        <v>832160.95</v>
      </c>
      <c r="I2728">
        <v>113040.68</v>
      </c>
      <c r="J2728">
        <v>-756973.67</v>
      </c>
      <c r="M2728" s="7"/>
    </row>
    <row r="2729" spans="2:13" customFormat="1" x14ac:dyDescent="0.25">
      <c r="B2729" t="s">
        <v>626</v>
      </c>
      <c r="C2729" t="s">
        <v>627</v>
      </c>
      <c r="D2729" t="s">
        <v>891</v>
      </c>
      <c r="E2729" t="s">
        <v>628</v>
      </c>
      <c r="F2729" t="s">
        <v>629</v>
      </c>
      <c r="H2729">
        <v>39025</v>
      </c>
      <c r="I2729">
        <v>0</v>
      </c>
      <c r="J2729">
        <v>-39025</v>
      </c>
      <c r="M2729" s="7"/>
    </row>
    <row r="2730" spans="2:13" customFormat="1" x14ac:dyDescent="0.25">
      <c r="B2730" t="s">
        <v>626</v>
      </c>
      <c r="C2730" t="s">
        <v>83</v>
      </c>
      <c r="D2730" t="s">
        <v>891</v>
      </c>
      <c r="E2730" t="s">
        <v>228</v>
      </c>
      <c r="F2730" t="s">
        <v>134</v>
      </c>
      <c r="H2730">
        <v>18065.59</v>
      </c>
      <c r="I2730">
        <v>20028.55</v>
      </c>
      <c r="J2730">
        <v>-12176.29</v>
      </c>
      <c r="M2730" s="7"/>
    </row>
    <row r="2731" spans="2:13" customFormat="1" x14ac:dyDescent="0.25">
      <c r="B2731" t="s">
        <v>626</v>
      </c>
      <c r="C2731" t="s">
        <v>113</v>
      </c>
      <c r="D2731" t="s">
        <v>891</v>
      </c>
      <c r="E2731" t="s">
        <v>229</v>
      </c>
      <c r="F2731" t="s">
        <v>135</v>
      </c>
      <c r="H2731">
        <v>0</v>
      </c>
      <c r="I2731">
        <v>790471.5</v>
      </c>
      <c r="J2731">
        <v>573348</v>
      </c>
      <c r="M2731" s="7"/>
    </row>
    <row r="2732" spans="2:13" customFormat="1" x14ac:dyDescent="0.25">
      <c r="B2732" t="s">
        <v>626</v>
      </c>
      <c r="C2732" t="s">
        <v>84</v>
      </c>
      <c r="D2732" t="s">
        <v>891</v>
      </c>
      <c r="E2732" t="s">
        <v>230</v>
      </c>
      <c r="F2732" t="s">
        <v>136</v>
      </c>
      <c r="H2732">
        <v>20761.57</v>
      </c>
      <c r="I2732">
        <v>10894.24</v>
      </c>
      <c r="J2732">
        <v>-9867.33</v>
      </c>
      <c r="M2732" s="7"/>
    </row>
    <row r="2733" spans="2:13" customFormat="1" x14ac:dyDescent="0.25">
      <c r="B2733" t="s">
        <v>626</v>
      </c>
      <c r="C2733" t="s">
        <v>310</v>
      </c>
      <c r="D2733" t="s">
        <v>891</v>
      </c>
      <c r="E2733" t="s">
        <v>311</v>
      </c>
      <c r="F2733" t="s">
        <v>312</v>
      </c>
      <c r="H2733">
        <v>70540.19</v>
      </c>
      <c r="I2733">
        <v>70540.19</v>
      </c>
      <c r="J2733">
        <v>0</v>
      </c>
      <c r="M2733" s="7"/>
    </row>
    <row r="2734" spans="2:13" customFormat="1" x14ac:dyDescent="0.25">
      <c r="B2734" t="s">
        <v>626</v>
      </c>
      <c r="C2734" t="s">
        <v>431</v>
      </c>
      <c r="D2734" t="s">
        <v>891</v>
      </c>
      <c r="E2734" t="s">
        <v>432</v>
      </c>
      <c r="F2734" t="s">
        <v>433</v>
      </c>
      <c r="H2734">
        <v>0</v>
      </c>
      <c r="I2734">
        <v>3031.02</v>
      </c>
      <c r="J2734">
        <v>3031.02</v>
      </c>
      <c r="M2734" s="7"/>
    </row>
    <row r="2735" spans="2:13" customFormat="1" x14ac:dyDescent="0.25">
      <c r="B2735" t="s">
        <v>626</v>
      </c>
      <c r="C2735" t="s">
        <v>316</v>
      </c>
      <c r="D2735" t="s">
        <v>891</v>
      </c>
      <c r="E2735" t="s">
        <v>317</v>
      </c>
      <c r="F2735" t="s">
        <v>318</v>
      </c>
      <c r="H2735">
        <v>3252.36</v>
      </c>
      <c r="I2735">
        <v>3720.5</v>
      </c>
      <c r="J2735">
        <v>-21112.68</v>
      </c>
      <c r="M2735" s="7"/>
    </row>
    <row r="2736" spans="2:13" customFormat="1" x14ac:dyDescent="0.25">
      <c r="B2736" t="s">
        <v>626</v>
      </c>
      <c r="C2736" t="s">
        <v>319</v>
      </c>
      <c r="D2736" t="s">
        <v>891</v>
      </c>
      <c r="E2736" t="s">
        <v>320</v>
      </c>
      <c r="F2736" t="s">
        <v>321</v>
      </c>
      <c r="H2736">
        <v>2424.31</v>
      </c>
      <c r="I2736">
        <v>0</v>
      </c>
      <c r="J2736">
        <v>-13038.48</v>
      </c>
      <c r="M2736" s="7"/>
    </row>
    <row r="2737" spans="2:13" customFormat="1" x14ac:dyDescent="0.25">
      <c r="B2737" t="s">
        <v>626</v>
      </c>
      <c r="C2737" t="s">
        <v>488</v>
      </c>
      <c r="D2737" t="s">
        <v>891</v>
      </c>
      <c r="E2737" t="s">
        <v>489</v>
      </c>
      <c r="F2737" t="s">
        <v>490</v>
      </c>
      <c r="H2737">
        <v>439.59</v>
      </c>
      <c r="I2737">
        <v>439.59</v>
      </c>
      <c r="J2737">
        <v>-305.64</v>
      </c>
      <c r="M2737" s="7"/>
    </row>
    <row r="2738" spans="2:13" customFormat="1" x14ac:dyDescent="0.25">
      <c r="B2738" t="s">
        <v>626</v>
      </c>
      <c r="C2738" t="s">
        <v>322</v>
      </c>
      <c r="D2738" t="s">
        <v>891</v>
      </c>
      <c r="E2738" t="s">
        <v>323</v>
      </c>
      <c r="F2738" t="s">
        <v>324</v>
      </c>
      <c r="H2738">
        <v>21658.63</v>
      </c>
      <c r="I2738">
        <v>20966.41</v>
      </c>
      <c r="J2738">
        <v>-11175.46</v>
      </c>
      <c r="M2738" s="7"/>
    </row>
    <row r="2739" spans="2:13" customFormat="1" x14ac:dyDescent="0.25">
      <c r="B2739" t="s">
        <v>626</v>
      </c>
      <c r="C2739" t="s">
        <v>325</v>
      </c>
      <c r="D2739" t="s">
        <v>891</v>
      </c>
      <c r="E2739" t="s">
        <v>326</v>
      </c>
      <c r="F2739" t="s">
        <v>327</v>
      </c>
      <c r="H2739">
        <v>5007.3</v>
      </c>
      <c r="I2739">
        <v>4461.58</v>
      </c>
      <c r="J2739">
        <v>-2776.51</v>
      </c>
      <c r="M2739" s="7"/>
    </row>
    <row r="2740" spans="2:13" customFormat="1" x14ac:dyDescent="0.25">
      <c r="B2740" t="s">
        <v>626</v>
      </c>
      <c r="C2740" t="s">
        <v>328</v>
      </c>
      <c r="D2740" t="s">
        <v>891</v>
      </c>
      <c r="E2740" t="s">
        <v>329</v>
      </c>
      <c r="F2740" t="s">
        <v>171</v>
      </c>
      <c r="H2740">
        <v>936.69</v>
      </c>
      <c r="I2740">
        <v>1071.49</v>
      </c>
      <c r="J2740">
        <v>-6080.47</v>
      </c>
      <c r="M2740" s="7"/>
    </row>
    <row r="2741" spans="2:13" customFormat="1" x14ac:dyDescent="0.25">
      <c r="B2741" t="s">
        <v>626</v>
      </c>
      <c r="C2741" t="s">
        <v>330</v>
      </c>
      <c r="D2741" t="s">
        <v>891</v>
      </c>
      <c r="E2741" t="s">
        <v>331</v>
      </c>
      <c r="F2741" t="s">
        <v>332</v>
      </c>
      <c r="H2741">
        <v>698.21</v>
      </c>
      <c r="I2741">
        <v>0</v>
      </c>
      <c r="J2741">
        <v>-3755.08</v>
      </c>
      <c r="M2741" s="7"/>
    </row>
    <row r="2742" spans="2:13" customFormat="1" x14ac:dyDescent="0.25">
      <c r="B2742" t="s">
        <v>626</v>
      </c>
      <c r="C2742" t="s">
        <v>333</v>
      </c>
      <c r="D2742" t="s">
        <v>891</v>
      </c>
      <c r="E2742" t="s">
        <v>334</v>
      </c>
      <c r="F2742" t="s">
        <v>172</v>
      </c>
      <c r="H2742">
        <v>252.99</v>
      </c>
      <c r="I2742">
        <v>297.64999999999998</v>
      </c>
      <c r="J2742">
        <v>-1681.82</v>
      </c>
      <c r="M2742" s="7"/>
    </row>
    <row r="2743" spans="2:13" customFormat="1" x14ac:dyDescent="0.25">
      <c r="B2743" t="s">
        <v>626</v>
      </c>
      <c r="C2743" t="s">
        <v>335</v>
      </c>
      <c r="D2743" t="s">
        <v>891</v>
      </c>
      <c r="E2743" t="s">
        <v>336</v>
      </c>
      <c r="F2743" t="s">
        <v>337</v>
      </c>
      <c r="H2743">
        <v>188.55</v>
      </c>
      <c r="I2743">
        <v>0</v>
      </c>
      <c r="J2743">
        <v>-1037.69</v>
      </c>
      <c r="M2743" s="7"/>
    </row>
    <row r="2744" spans="2:13" customFormat="1" x14ac:dyDescent="0.25">
      <c r="B2744" t="s">
        <v>626</v>
      </c>
      <c r="C2744" t="s">
        <v>41</v>
      </c>
      <c r="D2744" t="s">
        <v>891</v>
      </c>
      <c r="E2744" t="s">
        <v>231</v>
      </c>
      <c r="F2744" t="s">
        <v>137</v>
      </c>
      <c r="H2744">
        <v>3309.21</v>
      </c>
      <c r="I2744">
        <v>4626.26</v>
      </c>
      <c r="J2744">
        <v>-1202.27</v>
      </c>
      <c r="M2744" s="7"/>
    </row>
    <row r="2745" spans="2:13" customFormat="1" x14ac:dyDescent="0.25">
      <c r="B2745" t="s">
        <v>626</v>
      </c>
      <c r="C2745" t="s">
        <v>42</v>
      </c>
      <c r="D2745" t="s">
        <v>891</v>
      </c>
      <c r="E2745" t="s">
        <v>232</v>
      </c>
      <c r="F2745" t="s">
        <v>138</v>
      </c>
      <c r="H2745">
        <v>344.13</v>
      </c>
      <c r="I2745">
        <v>344.13</v>
      </c>
      <c r="J2745">
        <v>0</v>
      </c>
      <c r="M2745" s="7"/>
    </row>
    <row r="2746" spans="2:13" customFormat="1" x14ac:dyDescent="0.25">
      <c r="B2746" t="s">
        <v>626</v>
      </c>
      <c r="C2746" t="s">
        <v>43</v>
      </c>
      <c r="D2746" t="s">
        <v>891</v>
      </c>
      <c r="E2746" t="s">
        <v>233</v>
      </c>
      <c r="F2746" t="s">
        <v>139</v>
      </c>
      <c r="H2746">
        <v>1585.07</v>
      </c>
      <c r="I2746">
        <v>1585.07</v>
      </c>
      <c r="J2746">
        <v>0</v>
      </c>
      <c r="M2746" s="7"/>
    </row>
    <row r="2747" spans="2:13" customFormat="1" x14ac:dyDescent="0.25">
      <c r="B2747" t="s">
        <v>626</v>
      </c>
      <c r="C2747" t="s">
        <v>365</v>
      </c>
      <c r="D2747" t="s">
        <v>891</v>
      </c>
      <c r="E2747" t="s">
        <v>366</v>
      </c>
      <c r="F2747" t="s">
        <v>367</v>
      </c>
      <c r="H2747">
        <v>9915.02</v>
      </c>
      <c r="I2747">
        <v>5504.78</v>
      </c>
      <c r="J2747">
        <v>-9915.02</v>
      </c>
      <c r="M2747" s="7"/>
    </row>
    <row r="2748" spans="2:13" customFormat="1" x14ac:dyDescent="0.25">
      <c r="B2748" t="s">
        <v>626</v>
      </c>
      <c r="C2748" t="s">
        <v>368</v>
      </c>
      <c r="D2748" t="s">
        <v>891</v>
      </c>
      <c r="E2748" t="s">
        <v>369</v>
      </c>
      <c r="F2748" t="s">
        <v>370</v>
      </c>
      <c r="H2748">
        <v>4289.41</v>
      </c>
      <c r="I2748">
        <v>3302.87</v>
      </c>
      <c r="J2748">
        <v>-4289.41</v>
      </c>
      <c r="M2748" s="7"/>
    </row>
    <row r="2749" spans="2:13" customFormat="1" x14ac:dyDescent="0.25">
      <c r="B2749" t="s">
        <v>626</v>
      </c>
      <c r="C2749" t="s">
        <v>491</v>
      </c>
      <c r="D2749" t="s">
        <v>891</v>
      </c>
      <c r="E2749" t="s">
        <v>492</v>
      </c>
      <c r="F2749" t="s">
        <v>493</v>
      </c>
      <c r="H2749">
        <v>0</v>
      </c>
      <c r="I2749">
        <v>142.46</v>
      </c>
      <c r="J2749">
        <v>0.01</v>
      </c>
      <c r="M2749" s="7"/>
    </row>
    <row r="2750" spans="2:13" customFormat="1" x14ac:dyDescent="0.25">
      <c r="B2750" t="s">
        <v>626</v>
      </c>
      <c r="C2750" t="s">
        <v>79</v>
      </c>
      <c r="D2750" t="s">
        <v>891</v>
      </c>
      <c r="E2750" t="s">
        <v>234</v>
      </c>
      <c r="F2750" t="s">
        <v>140</v>
      </c>
      <c r="H2750">
        <v>0</v>
      </c>
      <c r="I2750">
        <v>0</v>
      </c>
      <c r="J2750">
        <v>-49.01</v>
      </c>
      <c r="M2750" s="7"/>
    </row>
    <row r="2751" spans="2:13" customFormat="1" x14ac:dyDescent="0.25">
      <c r="B2751" t="s">
        <v>626</v>
      </c>
      <c r="C2751" t="s">
        <v>44</v>
      </c>
      <c r="D2751" t="s">
        <v>891</v>
      </c>
      <c r="E2751" t="s">
        <v>235</v>
      </c>
      <c r="F2751" t="s">
        <v>141</v>
      </c>
      <c r="H2751">
        <v>662.39</v>
      </c>
      <c r="I2751">
        <v>105.76</v>
      </c>
      <c r="J2751">
        <v>-662.39</v>
      </c>
      <c r="M2751" s="7"/>
    </row>
    <row r="2752" spans="2:13" customFormat="1" x14ac:dyDescent="0.25">
      <c r="B2752" t="s">
        <v>626</v>
      </c>
      <c r="C2752" t="s">
        <v>45</v>
      </c>
      <c r="D2752" t="s">
        <v>891</v>
      </c>
      <c r="E2752" t="s">
        <v>236</v>
      </c>
      <c r="F2752" t="s">
        <v>142</v>
      </c>
      <c r="H2752">
        <v>2075.61</v>
      </c>
      <c r="I2752">
        <v>348.94</v>
      </c>
      <c r="J2752">
        <v>-2531.59</v>
      </c>
      <c r="M2752" s="7"/>
    </row>
    <row r="2753" spans="2:13" customFormat="1" x14ac:dyDescent="0.25">
      <c r="B2753" t="s">
        <v>626</v>
      </c>
      <c r="C2753" t="s">
        <v>338</v>
      </c>
      <c r="D2753" t="s">
        <v>891</v>
      </c>
      <c r="E2753" t="s">
        <v>339</v>
      </c>
      <c r="F2753" t="s">
        <v>340</v>
      </c>
      <c r="H2753">
        <v>232.66</v>
      </c>
      <c r="I2753">
        <v>210.71</v>
      </c>
      <c r="J2753">
        <v>-232.66</v>
      </c>
      <c r="M2753" s="7"/>
    </row>
    <row r="2754" spans="2:13" customFormat="1" x14ac:dyDescent="0.25">
      <c r="B2754" t="s">
        <v>626</v>
      </c>
      <c r="C2754" t="s">
        <v>341</v>
      </c>
      <c r="D2754" t="s">
        <v>891</v>
      </c>
      <c r="E2754" t="s">
        <v>342</v>
      </c>
      <c r="F2754" t="s">
        <v>343</v>
      </c>
      <c r="H2754">
        <v>0</v>
      </c>
      <c r="I2754">
        <v>0</v>
      </c>
      <c r="J2754">
        <v>-60</v>
      </c>
      <c r="M2754" s="7"/>
    </row>
    <row r="2755" spans="2:13" customFormat="1" x14ac:dyDescent="0.25">
      <c r="B2755" t="s">
        <v>626</v>
      </c>
      <c r="C2755" t="s">
        <v>530</v>
      </c>
      <c r="D2755" t="s">
        <v>891</v>
      </c>
      <c r="E2755" t="s">
        <v>531</v>
      </c>
      <c r="F2755" t="s">
        <v>532</v>
      </c>
      <c r="H2755">
        <v>0</v>
      </c>
      <c r="I2755">
        <v>0</v>
      </c>
      <c r="J2755">
        <v>-106180.47</v>
      </c>
      <c r="M2755" s="7"/>
    </row>
    <row r="2756" spans="2:13" customFormat="1" x14ac:dyDescent="0.25">
      <c r="B2756" t="s">
        <v>626</v>
      </c>
      <c r="C2756" t="s">
        <v>46</v>
      </c>
      <c r="D2756" t="s">
        <v>891</v>
      </c>
      <c r="E2756" t="s">
        <v>237</v>
      </c>
      <c r="F2756" t="s">
        <v>143</v>
      </c>
      <c r="H2756">
        <v>0</v>
      </c>
      <c r="I2756">
        <v>0</v>
      </c>
      <c r="J2756">
        <v>-1200000</v>
      </c>
      <c r="M2756" s="7"/>
    </row>
    <row r="2757" spans="2:13" customFormat="1" x14ac:dyDescent="0.25">
      <c r="B2757" t="s">
        <v>626</v>
      </c>
      <c r="C2757" t="s">
        <v>47</v>
      </c>
      <c r="D2757" t="s">
        <v>891</v>
      </c>
      <c r="E2757" t="s">
        <v>238</v>
      </c>
      <c r="F2757" t="s">
        <v>144</v>
      </c>
      <c r="H2757">
        <v>0</v>
      </c>
      <c r="I2757">
        <v>0</v>
      </c>
      <c r="J2757">
        <v>85000</v>
      </c>
      <c r="M2757" s="7"/>
    </row>
    <row r="2758" spans="2:13" customFormat="1" x14ac:dyDescent="0.25">
      <c r="B2758" t="s">
        <v>626</v>
      </c>
      <c r="C2758" t="s">
        <v>85</v>
      </c>
      <c r="D2758" t="s">
        <v>891</v>
      </c>
      <c r="E2758" t="s">
        <v>240</v>
      </c>
      <c r="F2758" t="s">
        <v>146</v>
      </c>
      <c r="H2758">
        <v>0</v>
      </c>
      <c r="I2758">
        <v>0</v>
      </c>
      <c r="J2758">
        <v>410491.67</v>
      </c>
      <c r="M2758" s="7"/>
    </row>
    <row r="2759" spans="2:13" customFormat="1" x14ac:dyDescent="0.25">
      <c r="B2759" t="s">
        <v>626</v>
      </c>
      <c r="C2759" t="s">
        <v>371</v>
      </c>
      <c r="D2759" t="s">
        <v>891</v>
      </c>
      <c r="E2759" t="s">
        <v>372</v>
      </c>
      <c r="F2759" t="s">
        <v>373</v>
      </c>
      <c r="H2759">
        <v>787495.79</v>
      </c>
      <c r="I2759">
        <v>0</v>
      </c>
      <c r="J2759">
        <v>-5048109.18</v>
      </c>
      <c r="M2759" s="7"/>
    </row>
    <row r="2760" spans="2:13" customFormat="1" x14ac:dyDescent="0.25">
      <c r="B2760" t="s">
        <v>626</v>
      </c>
      <c r="C2760" t="s">
        <v>374</v>
      </c>
      <c r="D2760" t="s">
        <v>891</v>
      </c>
      <c r="E2760" t="s">
        <v>375</v>
      </c>
      <c r="F2760" t="s">
        <v>376</v>
      </c>
      <c r="H2760">
        <v>63606.9</v>
      </c>
      <c r="I2760">
        <v>0</v>
      </c>
      <c r="J2760">
        <v>-507992.35</v>
      </c>
      <c r="M2760" s="7"/>
    </row>
    <row r="2761" spans="2:13" customFormat="1" x14ac:dyDescent="0.25">
      <c r="B2761" t="s">
        <v>626</v>
      </c>
      <c r="C2761" t="s">
        <v>48</v>
      </c>
      <c r="D2761" t="s">
        <v>891</v>
      </c>
      <c r="E2761" t="s">
        <v>241</v>
      </c>
      <c r="F2761" t="s">
        <v>147</v>
      </c>
      <c r="H2761">
        <v>5588.76</v>
      </c>
      <c r="I2761">
        <v>0</v>
      </c>
      <c r="J2761">
        <v>-45449.41</v>
      </c>
      <c r="M2761" s="7"/>
    </row>
    <row r="2762" spans="2:13" customFormat="1" x14ac:dyDescent="0.25">
      <c r="B2762" t="s">
        <v>626</v>
      </c>
      <c r="C2762" t="s">
        <v>86</v>
      </c>
      <c r="D2762" t="s">
        <v>891</v>
      </c>
      <c r="E2762" t="s">
        <v>242</v>
      </c>
      <c r="F2762" t="s">
        <v>148</v>
      </c>
      <c r="H2762">
        <v>46172.03</v>
      </c>
      <c r="I2762">
        <v>0</v>
      </c>
      <c r="J2762">
        <v>-320357.52</v>
      </c>
      <c r="M2762" s="7"/>
    </row>
    <row r="2763" spans="2:13" customFormat="1" x14ac:dyDescent="0.25">
      <c r="B2763" t="s">
        <v>626</v>
      </c>
      <c r="C2763" t="s">
        <v>49</v>
      </c>
      <c r="D2763" t="s">
        <v>891</v>
      </c>
      <c r="E2763" t="s">
        <v>243</v>
      </c>
      <c r="F2763" t="s">
        <v>149</v>
      </c>
      <c r="H2763">
        <v>0</v>
      </c>
      <c r="I2763">
        <v>3309.21</v>
      </c>
      <c r="J2763">
        <v>23325.46</v>
      </c>
      <c r="M2763" s="7"/>
    </row>
    <row r="2764" spans="2:13" customFormat="1" x14ac:dyDescent="0.25">
      <c r="B2764" t="s">
        <v>626</v>
      </c>
      <c r="C2764" t="s">
        <v>50</v>
      </c>
      <c r="D2764" t="s">
        <v>891</v>
      </c>
      <c r="E2764" t="s">
        <v>244</v>
      </c>
      <c r="F2764" t="s">
        <v>150</v>
      </c>
      <c r="H2764">
        <v>0</v>
      </c>
      <c r="I2764">
        <v>344.13</v>
      </c>
      <c r="J2764">
        <v>2458.1</v>
      </c>
      <c r="M2764" s="7"/>
    </row>
    <row r="2765" spans="2:13" customFormat="1" x14ac:dyDescent="0.25">
      <c r="B2765" t="s">
        <v>626</v>
      </c>
      <c r="C2765" t="s">
        <v>51</v>
      </c>
      <c r="D2765" t="s">
        <v>891</v>
      </c>
      <c r="E2765" t="s">
        <v>245</v>
      </c>
      <c r="F2765" t="s">
        <v>151</v>
      </c>
      <c r="H2765">
        <v>0</v>
      </c>
      <c r="I2765">
        <v>1585.07</v>
      </c>
      <c r="J2765">
        <v>11322.16</v>
      </c>
      <c r="M2765" s="7"/>
    </row>
    <row r="2766" spans="2:13" customFormat="1" x14ac:dyDescent="0.25">
      <c r="B2766" t="s">
        <v>626</v>
      </c>
      <c r="C2766" t="s">
        <v>87</v>
      </c>
      <c r="D2766" t="s">
        <v>891</v>
      </c>
      <c r="E2766" t="s">
        <v>246</v>
      </c>
      <c r="F2766" t="s">
        <v>152</v>
      </c>
      <c r="H2766">
        <v>55143.48</v>
      </c>
      <c r="I2766">
        <v>54293.16</v>
      </c>
      <c r="J2766">
        <v>-3018.73</v>
      </c>
      <c r="M2766" s="7"/>
    </row>
    <row r="2767" spans="2:13" customFormat="1" x14ac:dyDescent="0.25">
      <c r="B2767" t="s">
        <v>626</v>
      </c>
      <c r="C2767" t="s">
        <v>52</v>
      </c>
      <c r="D2767" t="s">
        <v>891</v>
      </c>
      <c r="E2767" t="s">
        <v>247</v>
      </c>
      <c r="F2767" t="s">
        <v>153</v>
      </c>
      <c r="H2767">
        <v>0</v>
      </c>
      <c r="I2767">
        <v>0</v>
      </c>
      <c r="J2767">
        <v>-50</v>
      </c>
      <c r="M2767" s="7"/>
    </row>
    <row r="2768" spans="2:13" customFormat="1" x14ac:dyDescent="0.25">
      <c r="B2768" t="s">
        <v>626</v>
      </c>
      <c r="C2768" t="s">
        <v>88</v>
      </c>
      <c r="D2768" t="s">
        <v>891</v>
      </c>
      <c r="E2768" t="s">
        <v>248</v>
      </c>
      <c r="F2768" t="s">
        <v>154</v>
      </c>
      <c r="H2768">
        <v>0</v>
      </c>
      <c r="I2768">
        <v>0</v>
      </c>
      <c r="J2768">
        <v>-1206.9000000000001</v>
      </c>
      <c r="M2768" s="7"/>
    </row>
    <row r="2769" spans="2:13" customFormat="1" x14ac:dyDescent="0.25">
      <c r="B2769" t="s">
        <v>626</v>
      </c>
      <c r="C2769" t="s">
        <v>377</v>
      </c>
      <c r="D2769" t="s">
        <v>891</v>
      </c>
      <c r="E2769" t="s">
        <v>378</v>
      </c>
      <c r="F2769" t="s">
        <v>379</v>
      </c>
      <c r="H2769">
        <v>66793.16</v>
      </c>
      <c r="I2769">
        <v>770955.62</v>
      </c>
      <c r="J2769">
        <v>4841319.34</v>
      </c>
      <c r="M2769" s="7"/>
    </row>
    <row r="2770" spans="2:13" customFormat="1" x14ac:dyDescent="0.25">
      <c r="B2770" t="s">
        <v>626</v>
      </c>
      <c r="C2770" t="s">
        <v>53</v>
      </c>
      <c r="D2770" t="s">
        <v>891</v>
      </c>
      <c r="E2770" t="s">
        <v>249</v>
      </c>
      <c r="F2770" t="s">
        <v>155</v>
      </c>
      <c r="H2770">
        <v>3674</v>
      </c>
      <c r="I2770">
        <v>29624.23</v>
      </c>
      <c r="J2770">
        <v>192078.8</v>
      </c>
      <c r="M2770" s="7"/>
    </row>
    <row r="2771" spans="2:13" customFormat="1" x14ac:dyDescent="0.25">
      <c r="B2771" t="s">
        <v>626</v>
      </c>
      <c r="C2771" t="s">
        <v>54</v>
      </c>
      <c r="D2771" t="s">
        <v>891</v>
      </c>
      <c r="E2771" t="s">
        <v>250</v>
      </c>
      <c r="F2771" t="s">
        <v>156</v>
      </c>
      <c r="H2771">
        <v>0</v>
      </c>
      <c r="I2771">
        <v>2913.74</v>
      </c>
      <c r="J2771">
        <v>22266.19</v>
      </c>
      <c r="M2771" s="7"/>
    </row>
    <row r="2772" spans="2:13" customFormat="1" x14ac:dyDescent="0.25">
      <c r="B2772" t="s">
        <v>626</v>
      </c>
      <c r="C2772" t="s">
        <v>89</v>
      </c>
      <c r="D2772" t="s">
        <v>891</v>
      </c>
      <c r="E2772" t="s">
        <v>251</v>
      </c>
      <c r="F2772" t="s">
        <v>157</v>
      </c>
      <c r="H2772">
        <v>0</v>
      </c>
      <c r="I2772">
        <v>0</v>
      </c>
      <c r="J2772">
        <v>8520</v>
      </c>
      <c r="M2772" s="7"/>
    </row>
    <row r="2773" spans="2:13" customFormat="1" x14ac:dyDescent="0.25">
      <c r="B2773" t="s">
        <v>626</v>
      </c>
      <c r="C2773" t="s">
        <v>55</v>
      </c>
      <c r="D2773" t="s">
        <v>891</v>
      </c>
      <c r="E2773" t="s">
        <v>252</v>
      </c>
      <c r="F2773" t="s">
        <v>158</v>
      </c>
      <c r="H2773">
        <v>3339.15</v>
      </c>
      <c r="I2773">
        <v>23866.34</v>
      </c>
      <c r="J2773">
        <v>165431.26999999999</v>
      </c>
      <c r="M2773" s="7"/>
    </row>
    <row r="2774" spans="2:13" customFormat="1" x14ac:dyDescent="0.25">
      <c r="B2774" t="s">
        <v>626</v>
      </c>
      <c r="C2774" t="s">
        <v>56</v>
      </c>
      <c r="D2774" t="s">
        <v>891</v>
      </c>
      <c r="E2774" t="s">
        <v>253</v>
      </c>
      <c r="F2774" t="s">
        <v>159</v>
      </c>
      <c r="H2774">
        <v>1071.22</v>
      </c>
      <c r="I2774">
        <v>8653.41</v>
      </c>
      <c r="J2774">
        <v>61442.98</v>
      </c>
      <c r="M2774" s="7"/>
    </row>
    <row r="2775" spans="2:13" customFormat="1" x14ac:dyDescent="0.25">
      <c r="B2775" t="s">
        <v>626</v>
      </c>
      <c r="C2775" t="s">
        <v>57</v>
      </c>
      <c r="D2775" t="s">
        <v>891</v>
      </c>
      <c r="E2775" t="s">
        <v>254</v>
      </c>
      <c r="F2775" t="s">
        <v>160</v>
      </c>
      <c r="H2775">
        <v>297.56</v>
      </c>
      <c r="I2775">
        <v>2336.92</v>
      </c>
      <c r="J2775">
        <v>13150.78</v>
      </c>
      <c r="M2775" s="7"/>
    </row>
    <row r="2776" spans="2:13" customFormat="1" x14ac:dyDescent="0.25">
      <c r="B2776" t="s">
        <v>626</v>
      </c>
      <c r="C2776" t="s">
        <v>58</v>
      </c>
      <c r="D2776" t="s">
        <v>891</v>
      </c>
      <c r="E2776" t="s">
        <v>255</v>
      </c>
      <c r="F2776" t="s">
        <v>161</v>
      </c>
      <c r="H2776">
        <v>0.96</v>
      </c>
      <c r="I2776">
        <v>3252.36</v>
      </c>
      <c r="J2776">
        <v>47143.199999999997</v>
      </c>
      <c r="M2776" s="7"/>
    </row>
    <row r="2777" spans="2:13" customFormat="1" x14ac:dyDescent="0.25">
      <c r="B2777" t="s">
        <v>626</v>
      </c>
      <c r="C2777" t="s">
        <v>59</v>
      </c>
      <c r="D2777" t="s">
        <v>891</v>
      </c>
      <c r="E2777" t="s">
        <v>256</v>
      </c>
      <c r="F2777" t="s">
        <v>162</v>
      </c>
      <c r="H2777">
        <v>0</v>
      </c>
      <c r="I2777">
        <v>2424.31</v>
      </c>
      <c r="J2777">
        <v>16974.71</v>
      </c>
      <c r="M2777" s="7"/>
    </row>
    <row r="2778" spans="2:13" customFormat="1" x14ac:dyDescent="0.25">
      <c r="B2778" t="s">
        <v>626</v>
      </c>
      <c r="C2778" t="s">
        <v>90</v>
      </c>
      <c r="D2778" t="s">
        <v>891</v>
      </c>
      <c r="E2778" t="s">
        <v>257</v>
      </c>
      <c r="F2778" t="s">
        <v>163</v>
      </c>
      <c r="H2778">
        <v>0</v>
      </c>
      <c r="I2778">
        <v>0</v>
      </c>
      <c r="J2778">
        <v>-3674.28</v>
      </c>
      <c r="M2778" s="7"/>
    </row>
    <row r="2779" spans="2:13" customFormat="1" x14ac:dyDescent="0.25">
      <c r="B2779" t="s">
        <v>626</v>
      </c>
      <c r="C2779" t="s">
        <v>60</v>
      </c>
      <c r="D2779" t="s">
        <v>891</v>
      </c>
      <c r="E2779" t="s">
        <v>258</v>
      </c>
      <c r="F2779" t="s">
        <v>164</v>
      </c>
      <c r="H2779">
        <v>0</v>
      </c>
      <c r="I2779">
        <v>1209.82</v>
      </c>
      <c r="J2779">
        <v>11616.8</v>
      </c>
      <c r="M2779" s="7"/>
    </row>
    <row r="2780" spans="2:13" customFormat="1" x14ac:dyDescent="0.25">
      <c r="B2780" t="s">
        <v>626</v>
      </c>
      <c r="C2780" t="s">
        <v>61</v>
      </c>
      <c r="D2780" t="s">
        <v>891</v>
      </c>
      <c r="E2780" t="s">
        <v>259</v>
      </c>
      <c r="F2780" t="s">
        <v>165</v>
      </c>
      <c r="H2780">
        <v>0</v>
      </c>
      <c r="I2780">
        <v>0</v>
      </c>
      <c r="J2780">
        <v>86.82</v>
      </c>
      <c r="M2780" s="7"/>
    </row>
    <row r="2781" spans="2:13" customFormat="1" x14ac:dyDescent="0.25">
      <c r="B2781" t="s">
        <v>626</v>
      </c>
      <c r="C2781" t="s">
        <v>344</v>
      </c>
      <c r="D2781" t="s">
        <v>891</v>
      </c>
      <c r="E2781" t="s">
        <v>345</v>
      </c>
      <c r="F2781" t="s">
        <v>346</v>
      </c>
      <c r="H2781">
        <v>260.79000000000002</v>
      </c>
      <c r="I2781">
        <v>1250.79</v>
      </c>
      <c r="J2781">
        <v>13102.5</v>
      </c>
      <c r="M2781" s="7"/>
    </row>
    <row r="2782" spans="2:13" customFormat="1" x14ac:dyDescent="0.25">
      <c r="B2782" t="s">
        <v>626</v>
      </c>
      <c r="C2782" t="s">
        <v>62</v>
      </c>
      <c r="D2782" t="s">
        <v>891</v>
      </c>
      <c r="E2782" t="s">
        <v>260</v>
      </c>
      <c r="F2782" t="s">
        <v>166</v>
      </c>
      <c r="H2782">
        <v>254.89</v>
      </c>
      <c r="I2782">
        <v>633.17999999999995</v>
      </c>
      <c r="J2782">
        <v>2373.3200000000002</v>
      </c>
      <c r="M2782" s="7"/>
    </row>
    <row r="2783" spans="2:13" customFormat="1" x14ac:dyDescent="0.25">
      <c r="B2783" t="s">
        <v>626</v>
      </c>
      <c r="C2783" t="s">
        <v>207</v>
      </c>
      <c r="D2783" t="s">
        <v>891</v>
      </c>
      <c r="E2783" t="s">
        <v>299</v>
      </c>
      <c r="F2783" t="s">
        <v>208</v>
      </c>
      <c r="H2783">
        <v>180</v>
      </c>
      <c r="I2783">
        <v>1799.1</v>
      </c>
      <c r="J2783">
        <v>6300.07</v>
      </c>
      <c r="M2783" s="7"/>
    </row>
    <row r="2784" spans="2:13" customFormat="1" x14ac:dyDescent="0.25">
      <c r="B2784" t="s">
        <v>626</v>
      </c>
      <c r="C2784" t="s">
        <v>63</v>
      </c>
      <c r="D2784" t="s">
        <v>891</v>
      </c>
      <c r="E2784" t="s">
        <v>261</v>
      </c>
      <c r="F2784" t="s">
        <v>167</v>
      </c>
      <c r="H2784">
        <v>0</v>
      </c>
      <c r="I2784">
        <v>0</v>
      </c>
      <c r="J2784">
        <v>-192.25</v>
      </c>
      <c r="M2784" s="7"/>
    </row>
    <row r="2785" spans="2:13" customFormat="1" x14ac:dyDescent="0.25">
      <c r="B2785" t="s">
        <v>626</v>
      </c>
      <c r="C2785" t="s">
        <v>380</v>
      </c>
      <c r="D2785" t="s">
        <v>891</v>
      </c>
      <c r="E2785" t="s">
        <v>381</v>
      </c>
      <c r="F2785" t="s">
        <v>382</v>
      </c>
      <c r="H2785">
        <v>200</v>
      </c>
      <c r="I2785">
        <v>0</v>
      </c>
      <c r="J2785">
        <v>467.65</v>
      </c>
      <c r="M2785" s="7"/>
    </row>
    <row r="2786" spans="2:13" customFormat="1" x14ac:dyDescent="0.25">
      <c r="B2786" t="s">
        <v>626</v>
      </c>
      <c r="C2786" t="s">
        <v>91</v>
      </c>
      <c r="D2786" t="s">
        <v>891</v>
      </c>
      <c r="E2786" t="s">
        <v>262</v>
      </c>
      <c r="F2786" t="s">
        <v>168</v>
      </c>
      <c r="H2786">
        <v>0</v>
      </c>
      <c r="I2786">
        <v>1541</v>
      </c>
      <c r="J2786">
        <v>3657.62</v>
      </c>
      <c r="M2786" s="7"/>
    </row>
    <row r="2787" spans="2:13" customFormat="1" x14ac:dyDescent="0.25">
      <c r="B2787" t="s">
        <v>626</v>
      </c>
      <c r="C2787" t="s">
        <v>383</v>
      </c>
      <c r="D2787" t="s">
        <v>891</v>
      </c>
      <c r="E2787" t="s">
        <v>384</v>
      </c>
      <c r="F2787" t="s">
        <v>385</v>
      </c>
      <c r="H2787">
        <v>0</v>
      </c>
      <c r="I2787">
        <v>0</v>
      </c>
      <c r="J2787">
        <v>1070.1600000000001</v>
      </c>
      <c r="M2787" s="7"/>
    </row>
    <row r="2788" spans="2:13" customFormat="1" x14ac:dyDescent="0.25">
      <c r="B2788" t="s">
        <v>626</v>
      </c>
      <c r="C2788" t="s">
        <v>386</v>
      </c>
      <c r="D2788" t="s">
        <v>891</v>
      </c>
      <c r="E2788" t="s">
        <v>387</v>
      </c>
      <c r="F2788" t="s">
        <v>388</v>
      </c>
      <c r="H2788">
        <v>0</v>
      </c>
      <c r="I2788">
        <v>1156.07</v>
      </c>
      <c r="J2788">
        <v>9064.9599999999991</v>
      </c>
      <c r="M2788" s="7"/>
    </row>
    <row r="2789" spans="2:13" customFormat="1" x14ac:dyDescent="0.25">
      <c r="B2789" t="s">
        <v>626</v>
      </c>
      <c r="C2789" t="s">
        <v>92</v>
      </c>
      <c r="D2789" t="s">
        <v>891</v>
      </c>
      <c r="E2789" t="s">
        <v>263</v>
      </c>
      <c r="F2789" t="s">
        <v>169</v>
      </c>
      <c r="H2789">
        <v>0</v>
      </c>
      <c r="I2789">
        <v>0</v>
      </c>
      <c r="J2789">
        <v>-2047.58</v>
      </c>
      <c r="M2789" s="7"/>
    </row>
    <row r="2790" spans="2:13" customFormat="1" x14ac:dyDescent="0.25">
      <c r="B2790" t="s">
        <v>626</v>
      </c>
      <c r="C2790" t="s">
        <v>93</v>
      </c>
      <c r="D2790" t="s">
        <v>891</v>
      </c>
      <c r="E2790" t="s">
        <v>264</v>
      </c>
      <c r="F2790" t="s">
        <v>170</v>
      </c>
      <c r="H2790">
        <v>0</v>
      </c>
      <c r="I2790">
        <v>1561.07</v>
      </c>
      <c r="J2790">
        <v>4308.8</v>
      </c>
      <c r="M2790" s="7"/>
    </row>
    <row r="2791" spans="2:13" customFormat="1" x14ac:dyDescent="0.25">
      <c r="B2791" t="s">
        <v>626</v>
      </c>
      <c r="C2791" t="s">
        <v>350</v>
      </c>
      <c r="D2791" t="s">
        <v>891</v>
      </c>
      <c r="E2791" t="s">
        <v>351</v>
      </c>
      <c r="F2791" t="s">
        <v>352</v>
      </c>
      <c r="H2791">
        <v>0</v>
      </c>
      <c r="I2791">
        <v>0</v>
      </c>
      <c r="J2791">
        <v>-46169.83</v>
      </c>
      <c r="M2791" s="7"/>
    </row>
    <row r="2792" spans="2:13" customFormat="1" x14ac:dyDescent="0.25">
      <c r="B2792" t="s">
        <v>626</v>
      </c>
      <c r="C2792" t="s">
        <v>64</v>
      </c>
      <c r="D2792" t="s">
        <v>891</v>
      </c>
      <c r="E2792" t="s">
        <v>265</v>
      </c>
      <c r="F2792" t="s">
        <v>171</v>
      </c>
      <c r="H2792">
        <v>0.36</v>
      </c>
      <c r="I2792">
        <v>2076.44</v>
      </c>
      <c r="J2792">
        <v>20678.54</v>
      </c>
      <c r="M2792" s="7"/>
    </row>
    <row r="2793" spans="2:13" customFormat="1" x14ac:dyDescent="0.25">
      <c r="B2793" t="s">
        <v>626</v>
      </c>
      <c r="C2793" t="s">
        <v>94</v>
      </c>
      <c r="D2793" t="s">
        <v>891</v>
      </c>
      <c r="E2793" t="s">
        <v>266</v>
      </c>
      <c r="F2793" t="s">
        <v>172</v>
      </c>
      <c r="H2793">
        <v>0</v>
      </c>
      <c r="I2793">
        <v>0</v>
      </c>
      <c r="J2793">
        <v>-780.42</v>
      </c>
      <c r="M2793" s="7"/>
    </row>
    <row r="2794" spans="2:13" customFormat="1" x14ac:dyDescent="0.25">
      <c r="B2794" t="s">
        <v>626</v>
      </c>
      <c r="C2794" t="s">
        <v>353</v>
      </c>
      <c r="D2794" t="s">
        <v>891</v>
      </c>
      <c r="E2794" t="s">
        <v>354</v>
      </c>
      <c r="F2794" t="s">
        <v>355</v>
      </c>
      <c r="H2794">
        <v>0</v>
      </c>
      <c r="I2794">
        <v>0</v>
      </c>
      <c r="J2794">
        <v>-0.01</v>
      </c>
      <c r="M2794" s="7"/>
    </row>
    <row r="2795" spans="2:13" customFormat="1" x14ac:dyDescent="0.25">
      <c r="B2795" t="s">
        <v>626</v>
      </c>
      <c r="C2795" t="s">
        <v>389</v>
      </c>
      <c r="D2795" t="s">
        <v>891</v>
      </c>
      <c r="E2795" t="s">
        <v>390</v>
      </c>
      <c r="F2795" t="s">
        <v>391</v>
      </c>
      <c r="H2795">
        <v>0</v>
      </c>
      <c r="I2795">
        <v>450</v>
      </c>
      <c r="J2795">
        <v>730</v>
      </c>
      <c r="M2795" s="7"/>
    </row>
    <row r="2796" spans="2:13" customFormat="1" x14ac:dyDescent="0.25">
      <c r="B2796" t="s">
        <v>626</v>
      </c>
      <c r="C2796" t="s">
        <v>65</v>
      </c>
      <c r="D2796" t="s">
        <v>891</v>
      </c>
      <c r="E2796" t="s">
        <v>269</v>
      </c>
      <c r="F2796" t="s">
        <v>175</v>
      </c>
      <c r="H2796">
        <v>0</v>
      </c>
      <c r="I2796">
        <v>18777.580000000002</v>
      </c>
      <c r="J2796">
        <v>44994.84</v>
      </c>
      <c r="M2796" s="7"/>
    </row>
    <row r="2797" spans="2:13" customFormat="1" x14ac:dyDescent="0.25">
      <c r="B2797" t="s">
        <v>626</v>
      </c>
      <c r="C2797" t="s">
        <v>97</v>
      </c>
      <c r="D2797" t="s">
        <v>891</v>
      </c>
      <c r="E2797" t="s">
        <v>270</v>
      </c>
      <c r="F2797" t="s">
        <v>176</v>
      </c>
      <c r="H2797">
        <v>0</v>
      </c>
      <c r="I2797">
        <v>119.55</v>
      </c>
      <c r="J2797">
        <v>685.32</v>
      </c>
      <c r="M2797" s="7"/>
    </row>
    <row r="2798" spans="2:13" customFormat="1" x14ac:dyDescent="0.25">
      <c r="B2798" t="s">
        <v>626</v>
      </c>
      <c r="C2798" t="s">
        <v>548</v>
      </c>
      <c r="D2798" t="s">
        <v>891</v>
      </c>
      <c r="E2798" t="s">
        <v>549</v>
      </c>
      <c r="F2798" t="s">
        <v>550</v>
      </c>
      <c r="H2798">
        <v>0</v>
      </c>
      <c r="I2798">
        <v>1688.38</v>
      </c>
      <c r="J2798">
        <v>12289.64</v>
      </c>
      <c r="M2798" s="7"/>
    </row>
    <row r="2799" spans="2:13" customFormat="1" x14ac:dyDescent="0.25">
      <c r="B2799" t="s">
        <v>626</v>
      </c>
      <c r="C2799" t="s">
        <v>66</v>
      </c>
      <c r="D2799" t="s">
        <v>891</v>
      </c>
      <c r="E2799" t="s">
        <v>272</v>
      </c>
      <c r="F2799" t="s">
        <v>178</v>
      </c>
      <c r="H2799">
        <v>0</v>
      </c>
      <c r="I2799">
        <v>106.33</v>
      </c>
      <c r="J2799">
        <v>837.98</v>
      </c>
      <c r="M2799" s="7"/>
    </row>
    <row r="2800" spans="2:13" customFormat="1" x14ac:dyDescent="0.25">
      <c r="B2800" t="s">
        <v>626</v>
      </c>
      <c r="C2800" t="s">
        <v>99</v>
      </c>
      <c r="D2800" t="s">
        <v>891</v>
      </c>
      <c r="E2800" t="s">
        <v>273</v>
      </c>
      <c r="F2800" t="s">
        <v>179</v>
      </c>
      <c r="H2800">
        <v>2277</v>
      </c>
      <c r="I2800">
        <v>0</v>
      </c>
      <c r="J2800">
        <v>0</v>
      </c>
      <c r="M2800" s="7"/>
    </row>
    <row r="2801" spans="2:13" customFormat="1" x14ac:dyDescent="0.25">
      <c r="B2801" t="s">
        <v>626</v>
      </c>
      <c r="C2801" t="s">
        <v>392</v>
      </c>
      <c r="D2801" t="s">
        <v>891</v>
      </c>
      <c r="E2801" t="s">
        <v>393</v>
      </c>
      <c r="F2801" t="s">
        <v>394</v>
      </c>
      <c r="H2801">
        <v>0</v>
      </c>
      <c r="I2801">
        <v>1026.92</v>
      </c>
      <c r="J2801">
        <v>7011.04</v>
      </c>
      <c r="M2801" s="7"/>
    </row>
    <row r="2802" spans="2:13" customFormat="1" x14ac:dyDescent="0.25">
      <c r="B2802" t="s">
        <v>626</v>
      </c>
      <c r="C2802" t="s">
        <v>100</v>
      </c>
      <c r="D2802" t="s">
        <v>891</v>
      </c>
      <c r="E2802" t="s">
        <v>274</v>
      </c>
      <c r="F2802" t="s">
        <v>180</v>
      </c>
      <c r="H2802">
        <v>1478</v>
      </c>
      <c r="I2802">
        <v>1847.44</v>
      </c>
      <c r="J2802">
        <v>12622.29</v>
      </c>
      <c r="M2802" s="7"/>
    </row>
    <row r="2803" spans="2:13" customFormat="1" x14ac:dyDescent="0.25">
      <c r="B2803" t="s">
        <v>626</v>
      </c>
      <c r="C2803" t="s">
        <v>101</v>
      </c>
      <c r="D2803" t="s">
        <v>891</v>
      </c>
      <c r="E2803" t="s">
        <v>275</v>
      </c>
      <c r="F2803" t="s">
        <v>181</v>
      </c>
      <c r="H2803">
        <v>0</v>
      </c>
      <c r="I2803">
        <v>290</v>
      </c>
      <c r="J2803">
        <v>290</v>
      </c>
      <c r="M2803" s="7"/>
    </row>
    <row r="2804" spans="2:13" customFormat="1" x14ac:dyDescent="0.25">
      <c r="B2804" t="s">
        <v>626</v>
      </c>
      <c r="C2804" t="s">
        <v>67</v>
      </c>
      <c r="D2804" t="s">
        <v>891</v>
      </c>
      <c r="E2804" t="s">
        <v>276</v>
      </c>
      <c r="F2804" t="s">
        <v>182</v>
      </c>
      <c r="H2804">
        <v>37279</v>
      </c>
      <c r="I2804">
        <v>44917.67</v>
      </c>
      <c r="J2804">
        <v>16344.77</v>
      </c>
      <c r="M2804" s="7"/>
    </row>
    <row r="2805" spans="2:13" customFormat="1" x14ac:dyDescent="0.25">
      <c r="B2805" t="s">
        <v>626</v>
      </c>
      <c r="C2805" t="s">
        <v>497</v>
      </c>
      <c r="D2805" t="s">
        <v>891</v>
      </c>
      <c r="E2805" t="s">
        <v>498</v>
      </c>
      <c r="F2805" t="s">
        <v>499</v>
      </c>
      <c r="H2805">
        <v>0</v>
      </c>
      <c r="I2805">
        <v>0</v>
      </c>
      <c r="J2805">
        <v>5548</v>
      </c>
      <c r="M2805" s="7"/>
    </row>
    <row r="2806" spans="2:13" customFormat="1" x14ac:dyDescent="0.25">
      <c r="B2806" t="s">
        <v>626</v>
      </c>
      <c r="C2806" t="s">
        <v>102</v>
      </c>
      <c r="D2806" t="s">
        <v>891</v>
      </c>
      <c r="E2806" t="s">
        <v>277</v>
      </c>
      <c r="F2806" t="s">
        <v>183</v>
      </c>
      <c r="H2806">
        <v>0</v>
      </c>
      <c r="I2806">
        <v>0</v>
      </c>
      <c r="J2806">
        <v>8914.98</v>
      </c>
      <c r="M2806" s="7"/>
    </row>
    <row r="2807" spans="2:13" customFormat="1" x14ac:dyDescent="0.25">
      <c r="B2807" t="s">
        <v>626</v>
      </c>
      <c r="C2807" t="s">
        <v>103</v>
      </c>
      <c r="D2807" t="s">
        <v>891</v>
      </c>
      <c r="E2807" t="s">
        <v>278</v>
      </c>
      <c r="F2807" t="s">
        <v>184</v>
      </c>
      <c r="H2807">
        <v>0</v>
      </c>
      <c r="I2807">
        <v>0</v>
      </c>
      <c r="J2807">
        <v>4425.5</v>
      </c>
      <c r="M2807" s="7"/>
    </row>
    <row r="2808" spans="2:13" customFormat="1" x14ac:dyDescent="0.25">
      <c r="B2808" t="s">
        <v>626</v>
      </c>
      <c r="C2808" t="s">
        <v>68</v>
      </c>
      <c r="D2808" t="s">
        <v>891</v>
      </c>
      <c r="E2808" t="s">
        <v>279</v>
      </c>
      <c r="F2808" t="s">
        <v>185</v>
      </c>
      <c r="H2808">
        <v>0</v>
      </c>
      <c r="I2808">
        <v>2014.02</v>
      </c>
      <c r="J2808">
        <v>14327.86</v>
      </c>
      <c r="M2808" s="7"/>
    </row>
    <row r="2809" spans="2:13" customFormat="1" x14ac:dyDescent="0.25">
      <c r="B2809" t="s">
        <v>626</v>
      </c>
      <c r="C2809" t="s">
        <v>594</v>
      </c>
      <c r="D2809" t="s">
        <v>891</v>
      </c>
      <c r="E2809" t="s">
        <v>595</v>
      </c>
      <c r="F2809" t="s">
        <v>596</v>
      </c>
      <c r="H2809">
        <v>0</v>
      </c>
      <c r="I2809">
        <v>0</v>
      </c>
      <c r="J2809">
        <v>1512</v>
      </c>
      <c r="M2809" s="7"/>
    </row>
    <row r="2810" spans="2:13" customFormat="1" x14ac:dyDescent="0.25">
      <c r="B2810" t="s">
        <v>626</v>
      </c>
      <c r="C2810" t="s">
        <v>395</v>
      </c>
      <c r="D2810" t="s">
        <v>891</v>
      </c>
      <c r="E2810" t="s">
        <v>396</v>
      </c>
      <c r="F2810" t="s">
        <v>397</v>
      </c>
      <c r="H2810">
        <v>0</v>
      </c>
      <c r="I2810">
        <v>205</v>
      </c>
      <c r="J2810">
        <v>1435</v>
      </c>
      <c r="M2810" s="7"/>
    </row>
    <row r="2811" spans="2:13" customFormat="1" x14ac:dyDescent="0.25">
      <c r="B2811" t="s">
        <v>626</v>
      </c>
      <c r="C2811" t="s">
        <v>104</v>
      </c>
      <c r="D2811" t="s">
        <v>891</v>
      </c>
      <c r="E2811" t="s">
        <v>280</v>
      </c>
      <c r="F2811" t="s">
        <v>186</v>
      </c>
      <c r="H2811">
        <v>0</v>
      </c>
      <c r="I2811">
        <v>0</v>
      </c>
      <c r="J2811">
        <v>2071.1799999999998</v>
      </c>
      <c r="M2811" s="7"/>
    </row>
    <row r="2812" spans="2:13" customFormat="1" x14ac:dyDescent="0.25">
      <c r="B2812" t="s">
        <v>626</v>
      </c>
      <c r="C2812" t="s">
        <v>356</v>
      </c>
      <c r="D2812" t="s">
        <v>891</v>
      </c>
      <c r="E2812" t="s">
        <v>357</v>
      </c>
      <c r="F2812" t="s">
        <v>358</v>
      </c>
      <c r="H2812">
        <v>0</v>
      </c>
      <c r="I2812">
        <v>820</v>
      </c>
      <c r="J2812">
        <v>11862.03</v>
      </c>
      <c r="M2812" s="7"/>
    </row>
    <row r="2813" spans="2:13" customFormat="1" x14ac:dyDescent="0.25">
      <c r="B2813" t="s">
        <v>626</v>
      </c>
      <c r="C2813" t="s">
        <v>105</v>
      </c>
      <c r="D2813" t="s">
        <v>891</v>
      </c>
      <c r="E2813" t="s">
        <v>281</v>
      </c>
      <c r="F2813" t="s">
        <v>187</v>
      </c>
      <c r="H2813">
        <v>0</v>
      </c>
      <c r="I2813">
        <v>699.62</v>
      </c>
      <c r="J2813">
        <v>3570.83</v>
      </c>
      <c r="M2813" s="7"/>
    </row>
    <row r="2814" spans="2:13" customFormat="1" x14ac:dyDescent="0.25">
      <c r="B2814" t="s">
        <v>626</v>
      </c>
      <c r="C2814" t="s">
        <v>106</v>
      </c>
      <c r="D2814" t="s">
        <v>891</v>
      </c>
      <c r="E2814" t="s">
        <v>282</v>
      </c>
      <c r="F2814" t="s">
        <v>188</v>
      </c>
      <c r="H2814">
        <v>0</v>
      </c>
      <c r="I2814">
        <v>448.33</v>
      </c>
      <c r="J2814">
        <v>1957.23</v>
      </c>
      <c r="M2814" s="7"/>
    </row>
    <row r="2815" spans="2:13" customFormat="1" x14ac:dyDescent="0.25">
      <c r="B2815" t="s">
        <v>626</v>
      </c>
      <c r="C2815" t="s">
        <v>107</v>
      </c>
      <c r="D2815" t="s">
        <v>891</v>
      </c>
      <c r="E2815" t="s">
        <v>283</v>
      </c>
      <c r="F2815" t="s">
        <v>189</v>
      </c>
      <c r="H2815">
        <v>0</v>
      </c>
      <c r="I2815">
        <v>21384.76</v>
      </c>
      <c r="J2815">
        <v>57688.06</v>
      </c>
      <c r="M2815" s="7"/>
    </row>
    <row r="2816" spans="2:13" customFormat="1" x14ac:dyDescent="0.25">
      <c r="B2816" t="s">
        <v>626</v>
      </c>
      <c r="C2816" t="s">
        <v>630</v>
      </c>
      <c r="D2816" t="s">
        <v>891</v>
      </c>
      <c r="E2816" t="s">
        <v>631</v>
      </c>
      <c r="F2816" t="s">
        <v>632</v>
      </c>
      <c r="H2816">
        <v>0</v>
      </c>
      <c r="I2816">
        <v>0</v>
      </c>
      <c r="J2816">
        <v>3357.46</v>
      </c>
      <c r="M2816" s="7"/>
    </row>
    <row r="2817" spans="2:13" customFormat="1" x14ac:dyDescent="0.25">
      <c r="B2817" t="s">
        <v>626</v>
      </c>
      <c r="C2817" t="s">
        <v>69</v>
      </c>
      <c r="D2817" t="s">
        <v>891</v>
      </c>
      <c r="E2817" t="s">
        <v>284</v>
      </c>
      <c r="F2817" t="s">
        <v>190</v>
      </c>
      <c r="H2817">
        <v>0</v>
      </c>
      <c r="I2817">
        <v>197.5</v>
      </c>
      <c r="J2817">
        <v>197.5</v>
      </c>
      <c r="M2817" s="7"/>
    </row>
    <row r="2818" spans="2:13" customFormat="1" x14ac:dyDescent="0.25">
      <c r="B2818" t="s">
        <v>626</v>
      </c>
      <c r="C2818" t="s">
        <v>633</v>
      </c>
      <c r="D2818" t="s">
        <v>891</v>
      </c>
      <c r="E2818" t="s">
        <v>634</v>
      </c>
      <c r="F2818" t="s">
        <v>635</v>
      </c>
      <c r="H2818">
        <v>0</v>
      </c>
      <c r="I2818">
        <v>424.89</v>
      </c>
      <c r="J2818">
        <v>424.89</v>
      </c>
      <c r="M2818" s="7"/>
    </row>
    <row r="2819" spans="2:13" customFormat="1" x14ac:dyDescent="0.25">
      <c r="B2819" t="s">
        <v>626</v>
      </c>
      <c r="C2819" t="s">
        <v>108</v>
      </c>
      <c r="D2819" t="s">
        <v>891</v>
      </c>
      <c r="E2819" t="s">
        <v>285</v>
      </c>
      <c r="F2819" t="s">
        <v>191</v>
      </c>
      <c r="H2819">
        <v>0</v>
      </c>
      <c r="I2819">
        <v>0</v>
      </c>
      <c r="J2819">
        <v>970.42</v>
      </c>
      <c r="M2819" s="7"/>
    </row>
    <row r="2820" spans="2:13" customFormat="1" x14ac:dyDescent="0.25">
      <c r="B2820" t="s">
        <v>626</v>
      </c>
      <c r="C2820" t="s">
        <v>70</v>
      </c>
      <c r="D2820" t="s">
        <v>891</v>
      </c>
      <c r="E2820" t="s">
        <v>286</v>
      </c>
      <c r="F2820" t="s">
        <v>192</v>
      </c>
      <c r="H2820">
        <v>0</v>
      </c>
      <c r="I2820">
        <v>2625.77</v>
      </c>
      <c r="J2820">
        <v>11072.05</v>
      </c>
      <c r="M2820" s="7"/>
    </row>
    <row r="2821" spans="2:13" customFormat="1" x14ac:dyDescent="0.25">
      <c r="B2821" t="s">
        <v>626</v>
      </c>
      <c r="C2821" t="s">
        <v>109</v>
      </c>
      <c r="D2821" t="s">
        <v>891</v>
      </c>
      <c r="E2821" t="s">
        <v>287</v>
      </c>
      <c r="F2821" t="s">
        <v>193</v>
      </c>
      <c r="H2821">
        <v>0</v>
      </c>
      <c r="I2821">
        <v>4365.05</v>
      </c>
      <c r="J2821">
        <v>16116.35</v>
      </c>
      <c r="M2821" s="7"/>
    </row>
    <row r="2822" spans="2:13" customFormat="1" x14ac:dyDescent="0.25">
      <c r="B2822" t="s">
        <v>626</v>
      </c>
      <c r="C2822" t="s">
        <v>560</v>
      </c>
      <c r="D2822" t="s">
        <v>891</v>
      </c>
      <c r="E2822" t="s">
        <v>561</v>
      </c>
      <c r="F2822" t="s">
        <v>562</v>
      </c>
      <c r="H2822">
        <v>0</v>
      </c>
      <c r="I2822">
        <v>0</v>
      </c>
      <c r="J2822">
        <v>2823</v>
      </c>
      <c r="M2822" s="7"/>
    </row>
    <row r="2823" spans="2:13" customFormat="1" x14ac:dyDescent="0.25">
      <c r="B2823" t="s">
        <v>626</v>
      </c>
      <c r="C2823" t="s">
        <v>110</v>
      </c>
      <c r="D2823" t="s">
        <v>891</v>
      </c>
      <c r="E2823" t="s">
        <v>288</v>
      </c>
      <c r="F2823" t="s">
        <v>194</v>
      </c>
      <c r="H2823">
        <v>0</v>
      </c>
      <c r="I2823">
        <v>2263.5</v>
      </c>
      <c r="J2823">
        <v>7209.79</v>
      </c>
      <c r="M2823" s="7"/>
    </row>
    <row r="2824" spans="2:13" customFormat="1" x14ac:dyDescent="0.25">
      <c r="B2824" t="s">
        <v>626</v>
      </c>
      <c r="C2824" t="s">
        <v>440</v>
      </c>
      <c r="D2824" t="s">
        <v>891</v>
      </c>
      <c r="E2824" t="s">
        <v>441</v>
      </c>
      <c r="F2824" t="s">
        <v>442</v>
      </c>
      <c r="H2824">
        <v>0</v>
      </c>
      <c r="I2824">
        <v>0</v>
      </c>
      <c r="J2824">
        <v>-715.72</v>
      </c>
      <c r="M2824" s="7"/>
    </row>
    <row r="2825" spans="2:13" customFormat="1" x14ac:dyDescent="0.25">
      <c r="B2825" t="s">
        <v>626</v>
      </c>
      <c r="C2825" t="s">
        <v>111</v>
      </c>
      <c r="D2825" t="s">
        <v>891</v>
      </c>
      <c r="E2825" t="s">
        <v>289</v>
      </c>
      <c r="F2825" t="s">
        <v>195</v>
      </c>
      <c r="H2825">
        <v>234.15</v>
      </c>
      <c r="I2825">
        <v>0</v>
      </c>
      <c r="J2825">
        <v>-24885.200000000001</v>
      </c>
      <c r="M2825" s="7"/>
    </row>
    <row r="2826" spans="2:13" customFormat="1" x14ac:dyDescent="0.25">
      <c r="B2826" t="s">
        <v>626</v>
      </c>
      <c r="C2826" t="s">
        <v>203</v>
      </c>
      <c r="D2826" t="s">
        <v>891</v>
      </c>
      <c r="E2826" t="s">
        <v>297</v>
      </c>
      <c r="F2826" t="s">
        <v>204</v>
      </c>
      <c r="H2826">
        <v>0</v>
      </c>
      <c r="I2826">
        <v>0</v>
      </c>
      <c r="J2826">
        <v>16843.18</v>
      </c>
      <c r="M2826" s="7"/>
    </row>
    <row r="2827" spans="2:13" customFormat="1" x14ac:dyDescent="0.25">
      <c r="B2827" t="s">
        <v>626</v>
      </c>
      <c r="C2827" t="s">
        <v>398</v>
      </c>
      <c r="D2827" t="s">
        <v>891</v>
      </c>
      <c r="E2827" t="s">
        <v>399</v>
      </c>
      <c r="F2827" t="s">
        <v>400</v>
      </c>
      <c r="H2827">
        <v>0</v>
      </c>
      <c r="I2827">
        <v>1231.3599999999999</v>
      </c>
      <c r="J2827">
        <v>7054.03</v>
      </c>
      <c r="M2827" s="7"/>
    </row>
    <row r="2828" spans="2:13" customFormat="1" x14ac:dyDescent="0.25">
      <c r="B2828" t="s">
        <v>626</v>
      </c>
      <c r="C2828" t="s">
        <v>443</v>
      </c>
      <c r="D2828" t="s">
        <v>891</v>
      </c>
      <c r="E2828" t="s">
        <v>444</v>
      </c>
      <c r="F2828" t="s">
        <v>445</v>
      </c>
      <c r="H2828">
        <v>0</v>
      </c>
      <c r="I2828">
        <v>1527.17</v>
      </c>
      <c r="J2828">
        <v>21189.45</v>
      </c>
      <c r="M2828" s="7"/>
    </row>
    <row r="2829" spans="2:13" customFormat="1" x14ac:dyDescent="0.25">
      <c r="B2829" t="s">
        <v>626</v>
      </c>
      <c r="C2829" t="s">
        <v>636</v>
      </c>
      <c r="D2829" t="s">
        <v>891</v>
      </c>
      <c r="E2829" t="s">
        <v>637</v>
      </c>
      <c r="F2829" t="s">
        <v>638</v>
      </c>
      <c r="H2829">
        <v>0</v>
      </c>
      <c r="I2829">
        <v>0</v>
      </c>
      <c r="J2829">
        <v>4174.55</v>
      </c>
      <c r="M2829" s="7"/>
    </row>
    <row r="2830" spans="2:13" customFormat="1" x14ac:dyDescent="0.25">
      <c r="B2830" t="s">
        <v>626</v>
      </c>
      <c r="C2830" t="s">
        <v>401</v>
      </c>
      <c r="D2830" t="s">
        <v>891</v>
      </c>
      <c r="E2830" t="s">
        <v>402</v>
      </c>
      <c r="F2830" t="s">
        <v>403</v>
      </c>
      <c r="H2830">
        <v>0</v>
      </c>
      <c r="I2830">
        <v>0</v>
      </c>
      <c r="J2830">
        <v>1747.37</v>
      </c>
      <c r="M2830" s="7"/>
    </row>
    <row r="2831" spans="2:13" customFormat="1" x14ac:dyDescent="0.25">
      <c r="B2831" t="s">
        <v>626</v>
      </c>
      <c r="C2831" t="s">
        <v>446</v>
      </c>
      <c r="D2831" t="s">
        <v>891</v>
      </c>
      <c r="E2831" t="s">
        <v>447</v>
      </c>
      <c r="F2831" t="s">
        <v>448</v>
      </c>
      <c r="H2831">
        <v>0</v>
      </c>
      <c r="I2831">
        <v>0</v>
      </c>
      <c r="J2831">
        <v>890.35</v>
      </c>
      <c r="M2831" s="7"/>
    </row>
    <row r="2832" spans="2:13" customFormat="1" x14ac:dyDescent="0.25">
      <c r="B2832" t="s">
        <v>626</v>
      </c>
      <c r="C2832" t="s">
        <v>404</v>
      </c>
      <c r="D2832" t="s">
        <v>891</v>
      </c>
      <c r="E2832" t="s">
        <v>405</v>
      </c>
      <c r="F2832" t="s">
        <v>406</v>
      </c>
      <c r="H2832">
        <v>0</v>
      </c>
      <c r="I2832">
        <v>0</v>
      </c>
      <c r="J2832">
        <v>-3.38</v>
      </c>
      <c r="M2832" s="7"/>
    </row>
    <row r="2833" spans="2:23" x14ac:dyDescent="0.25">
      <c r="B2833" t="s">
        <v>626</v>
      </c>
      <c r="C2833" t="s">
        <v>407</v>
      </c>
      <c r="D2833" t="s">
        <v>891</v>
      </c>
      <c r="E2833" t="s">
        <v>408</v>
      </c>
      <c r="F2833" t="s">
        <v>409</v>
      </c>
      <c r="G2833"/>
      <c r="H2833">
        <v>0</v>
      </c>
      <c r="I2833">
        <v>0</v>
      </c>
      <c r="J2833">
        <v>892.89</v>
      </c>
      <c r="K2833"/>
      <c r="L2833"/>
      <c r="M2833" s="7"/>
      <c r="W2833"/>
    </row>
    <row r="2834" spans="2:23" x14ac:dyDescent="0.25">
      <c r="B2834" t="s">
        <v>626</v>
      </c>
      <c r="C2834" t="s">
        <v>71</v>
      </c>
      <c r="D2834" t="s">
        <v>891</v>
      </c>
      <c r="E2834" t="s">
        <v>291</v>
      </c>
      <c r="F2834" t="s">
        <v>197</v>
      </c>
      <c r="G2834"/>
      <c r="H2834">
        <v>0</v>
      </c>
      <c r="I2834">
        <v>874.93</v>
      </c>
      <c r="J2834">
        <v>5829.98</v>
      </c>
      <c r="K2834"/>
      <c r="L2834"/>
      <c r="M2834" s="7"/>
      <c r="W2834"/>
    </row>
    <row r="2835" spans="2:23" x14ac:dyDescent="0.25">
      <c r="B2835" t="s">
        <v>626</v>
      </c>
      <c r="C2835" t="s">
        <v>72</v>
      </c>
      <c r="D2835" t="s">
        <v>891</v>
      </c>
      <c r="E2835" t="s">
        <v>292</v>
      </c>
      <c r="F2835" t="s">
        <v>198</v>
      </c>
      <c r="G2835"/>
      <c r="H2835">
        <v>0</v>
      </c>
      <c r="I2835">
        <v>348.71</v>
      </c>
      <c r="J2835">
        <v>1783.54</v>
      </c>
      <c r="K2835"/>
      <c r="L2835"/>
      <c r="M2835" s="7"/>
      <c r="W2835"/>
    </row>
    <row r="2836" spans="2:23" x14ac:dyDescent="0.25">
      <c r="B2836" t="s">
        <v>626</v>
      </c>
      <c r="C2836" t="s">
        <v>73</v>
      </c>
      <c r="D2836" t="s">
        <v>891</v>
      </c>
      <c r="E2836" t="s">
        <v>293</v>
      </c>
      <c r="F2836" t="s">
        <v>199</v>
      </c>
      <c r="G2836"/>
      <c r="H2836">
        <v>1698.69</v>
      </c>
      <c r="I2836">
        <v>688.31</v>
      </c>
      <c r="J2836">
        <v>7513.06</v>
      </c>
      <c r="K2836"/>
      <c r="L2836"/>
      <c r="M2836" s="7"/>
      <c r="W2836"/>
    </row>
    <row r="2837" spans="2:23" x14ac:dyDescent="0.25">
      <c r="B2837" t="s">
        <v>626</v>
      </c>
      <c r="C2837" t="s">
        <v>74</v>
      </c>
      <c r="D2837" t="s">
        <v>891</v>
      </c>
      <c r="E2837" t="s">
        <v>294</v>
      </c>
      <c r="F2837" t="s">
        <v>200</v>
      </c>
      <c r="G2837"/>
      <c r="H2837">
        <v>0</v>
      </c>
      <c r="I2837">
        <v>5257.04</v>
      </c>
      <c r="J2837">
        <v>46180.6</v>
      </c>
      <c r="K2837"/>
      <c r="L2837"/>
      <c r="M2837" s="7"/>
      <c r="W2837"/>
    </row>
    <row r="2838" spans="2:23" x14ac:dyDescent="0.25">
      <c r="B2838" t="s">
        <v>626</v>
      </c>
      <c r="C2838" t="s">
        <v>75</v>
      </c>
      <c r="D2838" t="s">
        <v>891</v>
      </c>
      <c r="E2838" t="s">
        <v>295</v>
      </c>
      <c r="F2838" t="s">
        <v>201</v>
      </c>
      <c r="G2838"/>
      <c r="H2838">
        <v>0</v>
      </c>
      <c r="I2838">
        <v>9915.02</v>
      </c>
      <c r="J2838">
        <v>35117.699999999997</v>
      </c>
      <c r="K2838"/>
      <c r="L2838"/>
      <c r="M2838" s="7"/>
      <c r="W2838"/>
    </row>
    <row r="2839" spans="2:23" x14ac:dyDescent="0.25">
      <c r="B2839" t="s">
        <v>626</v>
      </c>
      <c r="C2839" t="s">
        <v>76</v>
      </c>
      <c r="D2839" t="s">
        <v>891</v>
      </c>
      <c r="E2839" t="s">
        <v>296</v>
      </c>
      <c r="F2839" t="s">
        <v>202</v>
      </c>
      <c r="G2839"/>
      <c r="H2839">
        <v>0</v>
      </c>
      <c r="I2839">
        <v>4289.41</v>
      </c>
      <c r="J2839">
        <v>16843.53</v>
      </c>
      <c r="K2839"/>
      <c r="L2839"/>
      <c r="M2839" s="7"/>
      <c r="W2839"/>
    </row>
    <row r="2840" spans="2:23" x14ac:dyDescent="0.25">
      <c r="K2840"/>
      <c r="L2840"/>
      <c r="M2840" s="7"/>
      <c r="W2840"/>
    </row>
    <row r="2841" spans="2:23" x14ac:dyDescent="0.25">
      <c r="K2841"/>
      <c r="L2841"/>
      <c r="M2841" s="7"/>
      <c r="W2841"/>
    </row>
    <row r="2842" spans="2:23" x14ac:dyDescent="0.25">
      <c r="K2842"/>
      <c r="L2842"/>
      <c r="M2842" s="7"/>
      <c r="W2842"/>
    </row>
    <row r="2843" spans="2:23" x14ac:dyDescent="0.25">
      <c r="K2843"/>
      <c r="L2843"/>
      <c r="M2843" s="7"/>
      <c r="W2843"/>
    </row>
    <row r="2844" spans="2:23" x14ac:dyDescent="0.25">
      <c r="K2844"/>
      <c r="L2844"/>
      <c r="M2844" s="7"/>
      <c r="W2844"/>
    </row>
    <row r="2845" spans="2:23" x14ac:dyDescent="0.25">
      <c r="K2845"/>
      <c r="L2845"/>
      <c r="M2845" s="7"/>
      <c r="W2845"/>
    </row>
    <row r="2846" spans="2:23" x14ac:dyDescent="0.25">
      <c r="K2846"/>
      <c r="L2846"/>
      <c r="M2846" s="7"/>
      <c r="W2846"/>
    </row>
    <row r="2847" spans="2:23" x14ac:dyDescent="0.25">
      <c r="K2847"/>
      <c r="L2847"/>
      <c r="M2847" s="7"/>
      <c r="W2847"/>
    </row>
    <row r="2848" spans="2:23" x14ac:dyDescent="0.25">
      <c r="K2848"/>
      <c r="L2848"/>
      <c r="M2848" s="7"/>
      <c r="W2848"/>
    </row>
    <row r="2849" spans="11:23" x14ac:dyDescent="0.25">
      <c r="K2849"/>
      <c r="L2849"/>
      <c r="M2849" s="7"/>
      <c r="W2849"/>
    </row>
    <row r="2850" spans="11:23" x14ac:dyDescent="0.25">
      <c r="K2850"/>
      <c r="L2850"/>
      <c r="M2850" s="7"/>
      <c r="W2850"/>
    </row>
    <row r="2851" spans="11:23" x14ac:dyDescent="0.25">
      <c r="K2851"/>
      <c r="L2851"/>
      <c r="M2851" s="7"/>
      <c r="W2851"/>
    </row>
    <row r="2852" spans="11:23" x14ac:dyDescent="0.25">
      <c r="K2852"/>
      <c r="L2852"/>
      <c r="M2852" s="7"/>
      <c r="W2852"/>
    </row>
    <row r="2853" spans="11:23" x14ac:dyDescent="0.25">
      <c r="K2853"/>
      <c r="L2853"/>
      <c r="M2853" s="7"/>
      <c r="W2853"/>
    </row>
    <row r="2854" spans="11:23" x14ac:dyDescent="0.25">
      <c r="K2854"/>
      <c r="L2854"/>
      <c r="M2854" s="7"/>
      <c r="W2854"/>
    </row>
    <row r="2855" spans="11:23" x14ac:dyDescent="0.25">
      <c r="K2855"/>
      <c r="L2855"/>
      <c r="M2855" s="7"/>
      <c r="W2855"/>
    </row>
    <row r="2856" spans="11:23" x14ac:dyDescent="0.25">
      <c r="K2856"/>
      <c r="L2856"/>
      <c r="M2856" s="7"/>
      <c r="W2856"/>
    </row>
    <row r="2857" spans="11:23" x14ac:dyDescent="0.25">
      <c r="K2857"/>
      <c r="L2857"/>
      <c r="M2857" s="7"/>
      <c r="W2857"/>
    </row>
    <row r="2858" spans="11:23" x14ac:dyDescent="0.25">
      <c r="K2858"/>
      <c r="L2858"/>
      <c r="M2858" s="7"/>
      <c r="W2858"/>
    </row>
    <row r="2859" spans="11:23" x14ac:dyDescent="0.25">
      <c r="K2859"/>
      <c r="L2859"/>
      <c r="M2859" s="7"/>
      <c r="W2859"/>
    </row>
    <row r="2860" spans="11:23" x14ac:dyDescent="0.25">
      <c r="K2860"/>
      <c r="L2860"/>
      <c r="M2860" s="7"/>
      <c r="W2860"/>
    </row>
    <row r="2861" spans="11:23" x14ac:dyDescent="0.25">
      <c r="K2861"/>
      <c r="L2861"/>
      <c r="M2861" s="7"/>
      <c r="W2861"/>
    </row>
    <row r="2862" spans="11:23" x14ac:dyDescent="0.25">
      <c r="K2862"/>
      <c r="L2862"/>
      <c r="M2862" s="7"/>
      <c r="W2862"/>
    </row>
    <row r="2863" spans="11:23" x14ac:dyDescent="0.25">
      <c r="K2863"/>
      <c r="L2863"/>
      <c r="M2863" s="7"/>
      <c r="W2863"/>
    </row>
    <row r="2864" spans="11:23" x14ac:dyDescent="0.25">
      <c r="K2864"/>
      <c r="L2864"/>
      <c r="M2864" s="7"/>
      <c r="W2864"/>
    </row>
    <row r="2865" spans="11:23" x14ac:dyDescent="0.25">
      <c r="K2865"/>
      <c r="L2865"/>
      <c r="M2865" s="7"/>
      <c r="W2865"/>
    </row>
    <row r="2866" spans="11:23" x14ac:dyDescent="0.25">
      <c r="K2866"/>
      <c r="L2866"/>
      <c r="M2866" s="7"/>
      <c r="W2866"/>
    </row>
    <row r="2867" spans="11:23" x14ac:dyDescent="0.25">
      <c r="K2867"/>
      <c r="L2867"/>
      <c r="M2867" s="7"/>
      <c r="W2867"/>
    </row>
    <row r="2868" spans="11:23" x14ac:dyDescent="0.25">
      <c r="K2868"/>
      <c r="L2868"/>
      <c r="M2868" s="7"/>
      <c r="W2868"/>
    </row>
    <row r="2869" spans="11:23" x14ac:dyDescent="0.25">
      <c r="K2869"/>
      <c r="L2869"/>
      <c r="M2869" s="7"/>
      <c r="W2869"/>
    </row>
    <row r="2870" spans="11:23" x14ac:dyDescent="0.25">
      <c r="K2870"/>
      <c r="L2870"/>
      <c r="M2870" s="7"/>
      <c r="W2870"/>
    </row>
    <row r="2871" spans="11:23" x14ac:dyDescent="0.25">
      <c r="K2871"/>
      <c r="L2871"/>
      <c r="M2871" s="7"/>
      <c r="W2871"/>
    </row>
    <row r="2872" spans="11:23" x14ac:dyDescent="0.25">
      <c r="K2872"/>
      <c r="L2872"/>
      <c r="M2872" s="7"/>
      <c r="W2872"/>
    </row>
    <row r="2873" spans="11:23" x14ac:dyDescent="0.25">
      <c r="K2873"/>
      <c r="L2873"/>
      <c r="M2873" s="7"/>
      <c r="W2873"/>
    </row>
    <row r="2874" spans="11:23" x14ac:dyDescent="0.25">
      <c r="K2874"/>
      <c r="L2874"/>
      <c r="M2874" s="7"/>
      <c r="W2874"/>
    </row>
    <row r="2875" spans="11:23" x14ac:dyDescent="0.25">
      <c r="K2875"/>
      <c r="L2875"/>
      <c r="M2875" s="7"/>
      <c r="W2875"/>
    </row>
    <row r="2876" spans="11:23" x14ac:dyDescent="0.25">
      <c r="K2876"/>
      <c r="L2876"/>
      <c r="M2876" s="7"/>
      <c r="W2876"/>
    </row>
    <row r="2877" spans="11:23" x14ac:dyDescent="0.25">
      <c r="K2877"/>
      <c r="L2877"/>
      <c r="M2877" s="7"/>
      <c r="W2877"/>
    </row>
    <row r="2878" spans="11:23" x14ac:dyDescent="0.25">
      <c r="K2878"/>
      <c r="L2878"/>
      <c r="M2878" s="7"/>
      <c r="W2878"/>
    </row>
    <row r="2879" spans="11:23" x14ac:dyDescent="0.25">
      <c r="K2879"/>
      <c r="L2879"/>
      <c r="M2879" s="7"/>
      <c r="W2879"/>
    </row>
    <row r="2880" spans="11:23" x14ac:dyDescent="0.25">
      <c r="K2880"/>
      <c r="L2880"/>
      <c r="M2880" s="7"/>
      <c r="W2880"/>
    </row>
    <row r="2881" spans="11:23" x14ac:dyDescent="0.25">
      <c r="K2881"/>
      <c r="L2881"/>
      <c r="M2881" s="7"/>
      <c r="W2881"/>
    </row>
    <row r="2882" spans="11:23" x14ac:dyDescent="0.25">
      <c r="K2882"/>
      <c r="L2882"/>
      <c r="M2882" s="7"/>
      <c r="W2882"/>
    </row>
    <row r="2883" spans="11:23" x14ac:dyDescent="0.25">
      <c r="K2883"/>
      <c r="L2883"/>
      <c r="M2883" s="7"/>
      <c r="W2883"/>
    </row>
    <row r="2884" spans="11:23" x14ac:dyDescent="0.25">
      <c r="K2884"/>
      <c r="L2884"/>
      <c r="M2884" s="7"/>
      <c r="W2884"/>
    </row>
    <row r="2885" spans="11:23" x14ac:dyDescent="0.25">
      <c r="K2885"/>
      <c r="L2885"/>
      <c r="M2885" s="7"/>
      <c r="W2885"/>
    </row>
    <row r="2886" spans="11:23" x14ac:dyDescent="0.25">
      <c r="K2886"/>
      <c r="L2886"/>
      <c r="M2886" s="7"/>
      <c r="W2886"/>
    </row>
    <row r="2887" spans="11:23" x14ac:dyDescent="0.25">
      <c r="K2887"/>
      <c r="L2887"/>
      <c r="M2887" s="7"/>
      <c r="W2887"/>
    </row>
    <row r="2888" spans="11:23" x14ac:dyDescent="0.25">
      <c r="K2888"/>
      <c r="L2888"/>
      <c r="M2888" s="7"/>
      <c r="W2888"/>
    </row>
    <row r="2889" spans="11:23" x14ac:dyDescent="0.25">
      <c r="K2889"/>
      <c r="L2889"/>
      <c r="M2889" s="7"/>
      <c r="W2889"/>
    </row>
    <row r="2890" spans="11:23" x14ac:dyDescent="0.25">
      <c r="K2890"/>
      <c r="L2890"/>
      <c r="M2890" s="7"/>
      <c r="W2890"/>
    </row>
    <row r="2891" spans="11:23" x14ac:dyDescent="0.25">
      <c r="K2891"/>
      <c r="L2891"/>
      <c r="M2891" s="7"/>
      <c r="W2891"/>
    </row>
    <row r="2892" spans="11:23" x14ac:dyDescent="0.25">
      <c r="K2892"/>
      <c r="L2892"/>
      <c r="M2892" s="7"/>
      <c r="W2892"/>
    </row>
    <row r="2893" spans="11:23" x14ac:dyDescent="0.25">
      <c r="K2893"/>
      <c r="L2893"/>
      <c r="M2893" s="7"/>
      <c r="W2893"/>
    </row>
    <row r="2894" spans="11:23" x14ac:dyDescent="0.25">
      <c r="K2894"/>
      <c r="L2894"/>
      <c r="M2894" s="7"/>
      <c r="W2894"/>
    </row>
    <row r="2895" spans="11:23" x14ac:dyDescent="0.25">
      <c r="K2895"/>
      <c r="L2895"/>
      <c r="M2895" s="7"/>
      <c r="W2895"/>
    </row>
    <row r="2896" spans="11:23" x14ac:dyDescent="0.25">
      <c r="K2896"/>
      <c r="L2896"/>
      <c r="M2896" s="7"/>
      <c r="W2896"/>
    </row>
    <row r="2897" spans="11:23" x14ac:dyDescent="0.25">
      <c r="K2897"/>
      <c r="L2897"/>
      <c r="M2897" s="7"/>
      <c r="W2897"/>
    </row>
    <row r="2898" spans="11:23" x14ac:dyDescent="0.25">
      <c r="K2898"/>
      <c r="L2898"/>
      <c r="M2898" s="7"/>
      <c r="W2898"/>
    </row>
    <row r="2899" spans="11:23" x14ac:dyDescent="0.25">
      <c r="K2899"/>
      <c r="L2899"/>
      <c r="M2899" s="7"/>
      <c r="W2899"/>
    </row>
    <row r="2900" spans="11:23" x14ac:dyDescent="0.25">
      <c r="K2900"/>
      <c r="L2900"/>
      <c r="M2900" s="7"/>
      <c r="W2900"/>
    </row>
    <row r="2901" spans="11:23" x14ac:dyDescent="0.25">
      <c r="K2901"/>
      <c r="L2901"/>
      <c r="M2901" s="7"/>
      <c r="W2901"/>
    </row>
    <row r="2902" spans="11:23" x14ac:dyDescent="0.25">
      <c r="K2902"/>
      <c r="L2902"/>
      <c r="M2902" s="7"/>
      <c r="W2902"/>
    </row>
    <row r="2903" spans="11:23" x14ac:dyDescent="0.25">
      <c r="K2903"/>
      <c r="L2903"/>
      <c r="M2903" s="7"/>
      <c r="W2903"/>
    </row>
    <row r="2904" spans="11:23" x14ac:dyDescent="0.25">
      <c r="K2904"/>
      <c r="L2904"/>
      <c r="M2904" s="7"/>
      <c r="W2904"/>
    </row>
    <row r="2905" spans="11:23" x14ac:dyDescent="0.25">
      <c r="K2905"/>
      <c r="L2905"/>
      <c r="M2905" s="7"/>
      <c r="W2905"/>
    </row>
    <row r="2906" spans="11:23" x14ac:dyDescent="0.25">
      <c r="K2906"/>
      <c r="L2906"/>
      <c r="M2906" s="7"/>
      <c r="W2906"/>
    </row>
    <row r="2907" spans="11:23" x14ac:dyDescent="0.25">
      <c r="K2907"/>
      <c r="L2907"/>
      <c r="M2907" s="7"/>
      <c r="W2907"/>
    </row>
    <row r="2908" spans="11:23" x14ac:dyDescent="0.25">
      <c r="K2908"/>
      <c r="L2908"/>
      <c r="M2908" s="7"/>
      <c r="W2908"/>
    </row>
    <row r="2909" spans="11:23" x14ac:dyDescent="0.25">
      <c r="K2909"/>
      <c r="L2909"/>
      <c r="M2909" s="7"/>
      <c r="W2909"/>
    </row>
    <row r="2910" spans="11:23" x14ac:dyDescent="0.25">
      <c r="K2910"/>
      <c r="L2910"/>
      <c r="M2910" s="7"/>
      <c r="W2910"/>
    </row>
    <row r="2911" spans="11:23" x14ac:dyDescent="0.25">
      <c r="K2911"/>
      <c r="L2911"/>
      <c r="M2911" s="7"/>
      <c r="W2911"/>
    </row>
    <row r="2912" spans="11:23" x14ac:dyDescent="0.25">
      <c r="K2912"/>
      <c r="L2912"/>
      <c r="M2912" s="7"/>
      <c r="W2912"/>
    </row>
    <row r="2913" spans="11:23" x14ac:dyDescent="0.25">
      <c r="K2913"/>
      <c r="L2913"/>
      <c r="M2913" s="7"/>
      <c r="W2913"/>
    </row>
    <row r="2914" spans="11:23" x14ac:dyDescent="0.25">
      <c r="K2914"/>
      <c r="L2914"/>
      <c r="M2914" s="7"/>
      <c r="W2914"/>
    </row>
    <row r="2915" spans="11:23" x14ac:dyDescent="0.25">
      <c r="K2915"/>
      <c r="L2915"/>
      <c r="M2915" s="7"/>
      <c r="W2915"/>
    </row>
    <row r="2916" spans="11:23" x14ac:dyDescent="0.25">
      <c r="K2916"/>
      <c r="L2916"/>
      <c r="M2916" s="7"/>
      <c r="W2916"/>
    </row>
    <row r="2917" spans="11:23" x14ac:dyDescent="0.25">
      <c r="K2917"/>
      <c r="L2917"/>
      <c r="M2917" s="7"/>
      <c r="W2917"/>
    </row>
    <row r="2918" spans="11:23" x14ac:dyDescent="0.25">
      <c r="K2918"/>
      <c r="L2918"/>
      <c r="M2918" s="7"/>
      <c r="W2918"/>
    </row>
    <row r="2919" spans="11:23" x14ac:dyDescent="0.25">
      <c r="K2919"/>
      <c r="L2919"/>
      <c r="M2919" s="7"/>
      <c r="W2919"/>
    </row>
    <row r="2920" spans="11:23" x14ac:dyDescent="0.25">
      <c r="K2920"/>
      <c r="L2920"/>
      <c r="M2920" s="7"/>
      <c r="W2920"/>
    </row>
    <row r="2921" spans="11:23" x14ac:dyDescent="0.25">
      <c r="K2921"/>
      <c r="L2921"/>
      <c r="M2921" s="7"/>
      <c r="W2921"/>
    </row>
    <row r="2922" spans="11:23" x14ac:dyDescent="0.25">
      <c r="K2922"/>
      <c r="L2922"/>
      <c r="M2922" s="7"/>
      <c r="W2922"/>
    </row>
    <row r="2923" spans="11:23" x14ac:dyDescent="0.25">
      <c r="K2923"/>
      <c r="L2923"/>
      <c r="M2923" s="7"/>
      <c r="W2923"/>
    </row>
    <row r="2924" spans="11:23" x14ac:dyDescent="0.25">
      <c r="K2924"/>
      <c r="L2924"/>
      <c r="M2924" s="7"/>
      <c r="W2924"/>
    </row>
    <row r="2925" spans="11:23" x14ac:dyDescent="0.25">
      <c r="K2925"/>
      <c r="L2925"/>
      <c r="M2925" s="7"/>
      <c r="W2925"/>
    </row>
    <row r="2926" spans="11:23" x14ac:dyDescent="0.25">
      <c r="K2926"/>
      <c r="L2926"/>
      <c r="M2926" s="7"/>
      <c r="W2926"/>
    </row>
    <row r="2927" spans="11:23" x14ac:dyDescent="0.25">
      <c r="K2927"/>
      <c r="L2927"/>
      <c r="M2927" s="7"/>
      <c r="W2927"/>
    </row>
    <row r="2928" spans="11:23" x14ac:dyDescent="0.25">
      <c r="K2928"/>
      <c r="L2928"/>
      <c r="M2928" s="7"/>
      <c r="W2928"/>
    </row>
    <row r="2929" spans="11:23" x14ac:dyDescent="0.25">
      <c r="K2929"/>
      <c r="L2929"/>
      <c r="M2929" s="7"/>
      <c r="W2929"/>
    </row>
    <row r="2930" spans="11:23" x14ac:dyDescent="0.25">
      <c r="K2930"/>
      <c r="L2930"/>
      <c r="M2930" s="7"/>
      <c r="W2930"/>
    </row>
    <row r="2931" spans="11:23" x14ac:dyDescent="0.25">
      <c r="K2931"/>
      <c r="L2931"/>
      <c r="M2931" s="7"/>
      <c r="W2931"/>
    </row>
    <row r="2932" spans="11:23" x14ac:dyDescent="0.25">
      <c r="K2932"/>
      <c r="L2932"/>
      <c r="M2932" s="7"/>
      <c r="W2932"/>
    </row>
    <row r="2933" spans="11:23" x14ac:dyDescent="0.25">
      <c r="K2933"/>
      <c r="L2933"/>
      <c r="M2933" s="7"/>
      <c r="W2933"/>
    </row>
    <row r="2934" spans="11:23" x14ac:dyDescent="0.25">
      <c r="K2934"/>
      <c r="L2934"/>
      <c r="M2934" s="7"/>
      <c r="W2934"/>
    </row>
    <row r="2935" spans="11:23" x14ac:dyDescent="0.25">
      <c r="K2935"/>
      <c r="L2935"/>
      <c r="M2935" s="7"/>
      <c r="W2935"/>
    </row>
    <row r="2936" spans="11:23" x14ac:dyDescent="0.25">
      <c r="K2936"/>
      <c r="L2936"/>
      <c r="M2936" s="7"/>
      <c r="W2936"/>
    </row>
    <row r="2937" spans="11:23" x14ac:dyDescent="0.25">
      <c r="K2937"/>
      <c r="L2937"/>
      <c r="M2937" s="7"/>
      <c r="W2937"/>
    </row>
    <row r="2938" spans="11:23" x14ac:dyDescent="0.25">
      <c r="K2938"/>
      <c r="L2938"/>
      <c r="M2938" s="7"/>
      <c r="W2938"/>
    </row>
    <row r="2939" spans="11:23" x14ac:dyDescent="0.25">
      <c r="K2939"/>
      <c r="L2939"/>
      <c r="M2939" s="7"/>
      <c r="W2939"/>
    </row>
    <row r="2940" spans="11:23" x14ac:dyDescent="0.25">
      <c r="K2940"/>
      <c r="L2940"/>
      <c r="M2940" s="7"/>
      <c r="W2940"/>
    </row>
    <row r="2941" spans="11:23" x14ac:dyDescent="0.25">
      <c r="K2941"/>
      <c r="L2941"/>
      <c r="M2941" s="7"/>
      <c r="W2941"/>
    </row>
    <row r="2942" spans="11:23" x14ac:dyDescent="0.25">
      <c r="K2942"/>
      <c r="L2942"/>
      <c r="M2942" s="7"/>
      <c r="W2942"/>
    </row>
    <row r="2943" spans="11:23" x14ac:dyDescent="0.25">
      <c r="K2943"/>
      <c r="L2943"/>
      <c r="M2943" s="7"/>
      <c r="W2943"/>
    </row>
    <row r="2944" spans="11:23" x14ac:dyDescent="0.25">
      <c r="K2944"/>
      <c r="L2944"/>
      <c r="M2944" s="7"/>
      <c r="W2944"/>
    </row>
    <row r="2945" spans="11:23" x14ac:dyDescent="0.25">
      <c r="K2945"/>
      <c r="L2945"/>
      <c r="M2945" s="7"/>
      <c r="W2945"/>
    </row>
    <row r="2946" spans="11:23" x14ac:dyDescent="0.25">
      <c r="K2946"/>
      <c r="L2946"/>
      <c r="M2946" s="7"/>
      <c r="W2946"/>
    </row>
    <row r="2947" spans="11:23" x14ac:dyDescent="0.25">
      <c r="K2947"/>
      <c r="L2947"/>
      <c r="M2947" s="7"/>
      <c r="W2947"/>
    </row>
    <row r="2948" spans="11:23" x14ac:dyDescent="0.25">
      <c r="K2948"/>
      <c r="L2948"/>
      <c r="M2948" s="7"/>
      <c r="W2948"/>
    </row>
    <row r="2949" spans="11:23" x14ac:dyDescent="0.25">
      <c r="K2949"/>
      <c r="L2949"/>
      <c r="M2949" s="7"/>
      <c r="W2949"/>
    </row>
    <row r="2950" spans="11:23" x14ac:dyDescent="0.25">
      <c r="K2950"/>
      <c r="L2950"/>
      <c r="M2950" s="7"/>
      <c r="W2950"/>
    </row>
    <row r="2951" spans="11:23" x14ac:dyDescent="0.25">
      <c r="K2951"/>
      <c r="L2951"/>
      <c r="M2951" s="7"/>
      <c r="W2951"/>
    </row>
    <row r="2952" spans="11:23" x14ac:dyDescent="0.25">
      <c r="K2952"/>
      <c r="L2952"/>
      <c r="M2952" s="7"/>
      <c r="W2952"/>
    </row>
    <row r="2953" spans="11:23" x14ac:dyDescent="0.25">
      <c r="K2953"/>
      <c r="L2953"/>
      <c r="M2953" s="7"/>
      <c r="W2953"/>
    </row>
    <row r="2954" spans="11:23" x14ac:dyDescent="0.25">
      <c r="K2954"/>
      <c r="L2954"/>
      <c r="M2954" s="7"/>
      <c r="W2954"/>
    </row>
    <row r="2955" spans="11:23" x14ac:dyDescent="0.25">
      <c r="K2955"/>
      <c r="L2955"/>
      <c r="M2955" s="7"/>
      <c r="W2955"/>
    </row>
    <row r="2956" spans="11:23" x14ac:dyDescent="0.25">
      <c r="K2956"/>
      <c r="L2956"/>
      <c r="M2956" s="7"/>
      <c r="W2956"/>
    </row>
    <row r="2957" spans="11:23" x14ac:dyDescent="0.25">
      <c r="K2957"/>
      <c r="L2957"/>
      <c r="M2957" s="7"/>
      <c r="W2957"/>
    </row>
    <row r="2958" spans="11:23" x14ac:dyDescent="0.25">
      <c r="K2958"/>
      <c r="L2958"/>
      <c r="M2958" s="7"/>
      <c r="W2958"/>
    </row>
    <row r="2959" spans="11:23" x14ac:dyDescent="0.25">
      <c r="K2959"/>
      <c r="L2959"/>
      <c r="M2959" s="7"/>
      <c r="W2959"/>
    </row>
    <row r="2960" spans="11:23" x14ac:dyDescent="0.25">
      <c r="K2960"/>
      <c r="L2960"/>
      <c r="M2960" s="7"/>
      <c r="W2960"/>
    </row>
    <row r="2961" spans="11:23" x14ac:dyDescent="0.25">
      <c r="K2961"/>
      <c r="L2961"/>
      <c r="M2961" s="7"/>
      <c r="W2961"/>
    </row>
    <row r="2962" spans="11:23" x14ac:dyDescent="0.25">
      <c r="K2962"/>
      <c r="L2962"/>
      <c r="M2962" s="7"/>
      <c r="W2962"/>
    </row>
    <row r="2963" spans="11:23" x14ac:dyDescent="0.25">
      <c r="K2963"/>
      <c r="L2963"/>
      <c r="M2963" s="7"/>
      <c r="W2963"/>
    </row>
    <row r="2964" spans="11:23" x14ac:dyDescent="0.25">
      <c r="K2964"/>
      <c r="L2964"/>
      <c r="M2964" s="7"/>
      <c r="W2964"/>
    </row>
    <row r="2965" spans="11:23" x14ac:dyDescent="0.25">
      <c r="K2965"/>
      <c r="L2965"/>
      <c r="M2965" s="7"/>
      <c r="W2965"/>
    </row>
    <row r="2966" spans="11:23" x14ac:dyDescent="0.25">
      <c r="K2966"/>
      <c r="L2966"/>
      <c r="M2966" s="7"/>
      <c r="W2966"/>
    </row>
    <row r="2967" spans="11:23" x14ac:dyDescent="0.25">
      <c r="K2967"/>
      <c r="L2967"/>
      <c r="M2967" s="7"/>
      <c r="W2967"/>
    </row>
    <row r="2968" spans="11:23" x14ac:dyDescent="0.25">
      <c r="K2968"/>
      <c r="L2968"/>
      <c r="M2968" s="7"/>
      <c r="W2968"/>
    </row>
    <row r="2969" spans="11:23" x14ac:dyDescent="0.25">
      <c r="K2969"/>
      <c r="L2969"/>
      <c r="M2969" s="7"/>
      <c r="W2969"/>
    </row>
    <row r="2970" spans="11:23" x14ac:dyDescent="0.25">
      <c r="K2970"/>
      <c r="L2970"/>
      <c r="M2970" s="7"/>
      <c r="W2970"/>
    </row>
    <row r="2971" spans="11:23" x14ac:dyDescent="0.25">
      <c r="K2971"/>
      <c r="L2971"/>
      <c r="M2971" s="7"/>
      <c r="W2971"/>
    </row>
    <row r="2972" spans="11:23" x14ac:dyDescent="0.25">
      <c r="K2972"/>
      <c r="L2972"/>
      <c r="M2972" s="7"/>
      <c r="W2972"/>
    </row>
    <row r="2973" spans="11:23" x14ac:dyDescent="0.25">
      <c r="K2973"/>
      <c r="L2973"/>
      <c r="M2973" s="7"/>
      <c r="W2973"/>
    </row>
    <row r="2974" spans="11:23" x14ac:dyDescent="0.25">
      <c r="K2974"/>
      <c r="L2974"/>
      <c r="M2974" s="7"/>
      <c r="W2974"/>
    </row>
    <row r="2975" spans="11:23" x14ac:dyDescent="0.25">
      <c r="K2975"/>
      <c r="L2975"/>
      <c r="M2975" s="7"/>
      <c r="W2975"/>
    </row>
    <row r="2976" spans="11:23" x14ac:dyDescent="0.25">
      <c r="K2976"/>
      <c r="L2976"/>
      <c r="M2976" s="7"/>
      <c r="W2976"/>
    </row>
    <row r="2977" spans="11:23" x14ac:dyDescent="0.25">
      <c r="K2977"/>
      <c r="L2977"/>
      <c r="M2977" s="7"/>
      <c r="W2977"/>
    </row>
    <row r="2978" spans="11:23" x14ac:dyDescent="0.25">
      <c r="K2978"/>
      <c r="L2978"/>
      <c r="M2978" s="7"/>
      <c r="W2978"/>
    </row>
    <row r="2979" spans="11:23" x14ac:dyDescent="0.25">
      <c r="K2979"/>
      <c r="L2979"/>
      <c r="M2979" s="7"/>
      <c r="W2979"/>
    </row>
    <row r="2980" spans="11:23" x14ac:dyDescent="0.25">
      <c r="K2980"/>
      <c r="L2980"/>
      <c r="M2980" s="7"/>
      <c r="W2980"/>
    </row>
    <row r="2981" spans="11:23" x14ac:dyDescent="0.25">
      <c r="K2981"/>
      <c r="L2981"/>
      <c r="M2981" s="7"/>
      <c r="W2981"/>
    </row>
    <row r="2982" spans="11:23" x14ac:dyDescent="0.25">
      <c r="K2982"/>
      <c r="L2982"/>
      <c r="M2982" s="7"/>
      <c r="W2982"/>
    </row>
    <row r="2983" spans="11:23" x14ac:dyDescent="0.25">
      <c r="K2983"/>
      <c r="L2983"/>
      <c r="M2983" s="7"/>
      <c r="W2983"/>
    </row>
    <row r="2984" spans="11:23" x14ac:dyDescent="0.25">
      <c r="K2984"/>
      <c r="L2984"/>
      <c r="M2984" s="7"/>
      <c r="W2984"/>
    </row>
    <row r="2985" spans="11:23" x14ac:dyDescent="0.25">
      <c r="K2985"/>
      <c r="L2985"/>
      <c r="M2985" s="7"/>
      <c r="W2985"/>
    </row>
    <row r="2986" spans="11:23" x14ac:dyDescent="0.25">
      <c r="K2986"/>
      <c r="L2986"/>
      <c r="M2986" s="7"/>
      <c r="W2986"/>
    </row>
    <row r="2987" spans="11:23" x14ac:dyDescent="0.25">
      <c r="K2987"/>
      <c r="L2987"/>
      <c r="M2987" s="7"/>
      <c r="W2987"/>
    </row>
    <row r="2988" spans="11:23" x14ac:dyDescent="0.25">
      <c r="K2988"/>
      <c r="L2988"/>
      <c r="M2988" s="7"/>
      <c r="W2988"/>
    </row>
    <row r="2989" spans="11:23" x14ac:dyDescent="0.25">
      <c r="K2989"/>
      <c r="L2989"/>
      <c r="M2989" s="7"/>
      <c r="W2989"/>
    </row>
    <row r="2990" spans="11:23" x14ac:dyDescent="0.25">
      <c r="K2990"/>
      <c r="L2990"/>
      <c r="M2990" s="7"/>
      <c r="W2990"/>
    </row>
    <row r="2991" spans="11:23" x14ac:dyDescent="0.25">
      <c r="K2991"/>
      <c r="L2991"/>
      <c r="M2991" s="7"/>
      <c r="W2991"/>
    </row>
    <row r="2992" spans="11:23" x14ac:dyDescent="0.25">
      <c r="K2992"/>
      <c r="L2992"/>
      <c r="M2992" s="7"/>
      <c r="W2992"/>
    </row>
    <row r="2993" spans="11:23" x14ac:dyDescent="0.25">
      <c r="K2993"/>
      <c r="L2993"/>
      <c r="M2993" s="7"/>
      <c r="W2993"/>
    </row>
    <row r="2994" spans="11:23" x14ac:dyDescent="0.25">
      <c r="K2994"/>
      <c r="L2994"/>
      <c r="M2994" s="7"/>
      <c r="W2994"/>
    </row>
    <row r="2995" spans="11:23" x14ac:dyDescent="0.25">
      <c r="K2995"/>
      <c r="L2995"/>
      <c r="M2995" s="7"/>
      <c r="W2995"/>
    </row>
    <row r="2996" spans="11:23" x14ac:dyDescent="0.25">
      <c r="K2996"/>
      <c r="L2996"/>
      <c r="M2996" s="7"/>
      <c r="W2996"/>
    </row>
    <row r="2997" spans="11:23" x14ac:dyDescent="0.25">
      <c r="K2997"/>
      <c r="L2997"/>
      <c r="M2997" s="7"/>
      <c r="W2997"/>
    </row>
    <row r="2998" spans="11:23" x14ac:dyDescent="0.25">
      <c r="K2998"/>
      <c r="L2998"/>
      <c r="M2998" s="7"/>
      <c r="W2998"/>
    </row>
    <row r="2999" spans="11:23" x14ac:dyDescent="0.25">
      <c r="K2999"/>
      <c r="L2999"/>
      <c r="M2999" s="7"/>
      <c r="W2999"/>
    </row>
    <row r="3000" spans="11:23" x14ac:dyDescent="0.25">
      <c r="K3000"/>
      <c r="L3000"/>
      <c r="M3000" s="7"/>
      <c r="W3000"/>
    </row>
    <row r="3001" spans="11:23" x14ac:dyDescent="0.25">
      <c r="K3001"/>
      <c r="L3001"/>
      <c r="M3001" s="7"/>
      <c r="W3001"/>
    </row>
    <row r="3002" spans="11:23" x14ac:dyDescent="0.25">
      <c r="K3002"/>
      <c r="L3002"/>
      <c r="M3002" s="7"/>
      <c r="W3002"/>
    </row>
    <row r="3003" spans="11:23" x14ac:dyDescent="0.25">
      <c r="K3003"/>
      <c r="L3003"/>
      <c r="M3003" s="7"/>
      <c r="W3003"/>
    </row>
    <row r="3004" spans="11:23" x14ac:dyDescent="0.25">
      <c r="K3004"/>
      <c r="L3004"/>
      <c r="M3004" s="7"/>
      <c r="W3004"/>
    </row>
    <row r="3005" spans="11:23" x14ac:dyDescent="0.25">
      <c r="K3005"/>
      <c r="L3005"/>
      <c r="M3005" s="7"/>
      <c r="W3005"/>
    </row>
    <row r="3006" spans="11:23" x14ac:dyDescent="0.25">
      <c r="K3006"/>
      <c r="L3006"/>
      <c r="M3006" s="7"/>
      <c r="W3006"/>
    </row>
    <row r="3007" spans="11:23" x14ac:dyDescent="0.25">
      <c r="K3007"/>
      <c r="L3007"/>
      <c r="M3007" s="7"/>
      <c r="W3007"/>
    </row>
    <row r="3008" spans="11:23" x14ac:dyDescent="0.25">
      <c r="K3008"/>
      <c r="L3008"/>
      <c r="M3008" s="7"/>
      <c r="W3008"/>
    </row>
    <row r="3009" spans="11:23" x14ac:dyDescent="0.25">
      <c r="K3009"/>
      <c r="L3009"/>
      <c r="M3009" s="7"/>
      <c r="W3009"/>
    </row>
    <row r="3010" spans="11:23" x14ac:dyDescent="0.25">
      <c r="K3010"/>
      <c r="L3010"/>
      <c r="M3010" s="7"/>
      <c r="W3010"/>
    </row>
    <row r="3011" spans="11:23" x14ac:dyDescent="0.25">
      <c r="K3011"/>
      <c r="L3011"/>
      <c r="M3011" s="7"/>
      <c r="W3011"/>
    </row>
    <row r="3012" spans="11:23" x14ac:dyDescent="0.25">
      <c r="K3012"/>
      <c r="L3012"/>
      <c r="M3012" s="7"/>
      <c r="W3012"/>
    </row>
    <row r="3013" spans="11:23" x14ac:dyDescent="0.25">
      <c r="K3013"/>
      <c r="L3013"/>
      <c r="M3013" s="7"/>
      <c r="W3013"/>
    </row>
    <row r="3014" spans="11:23" x14ac:dyDescent="0.25">
      <c r="K3014"/>
      <c r="L3014"/>
      <c r="M3014" s="7"/>
      <c r="W3014"/>
    </row>
    <row r="3015" spans="11:23" x14ac:dyDescent="0.25">
      <c r="K3015"/>
      <c r="L3015"/>
      <c r="M3015" s="7"/>
      <c r="W3015"/>
    </row>
    <row r="3016" spans="11:23" x14ac:dyDescent="0.25">
      <c r="K3016"/>
      <c r="L3016"/>
      <c r="M3016" s="7"/>
      <c r="W3016"/>
    </row>
    <row r="3017" spans="11:23" x14ac:dyDescent="0.25">
      <c r="K3017"/>
      <c r="L3017"/>
      <c r="M3017" s="7"/>
      <c r="W3017"/>
    </row>
    <row r="3018" spans="11:23" x14ac:dyDescent="0.25">
      <c r="K3018"/>
      <c r="L3018"/>
      <c r="M3018" s="7"/>
      <c r="W3018"/>
    </row>
    <row r="3019" spans="11:23" x14ac:dyDescent="0.25">
      <c r="K3019"/>
      <c r="L3019"/>
      <c r="M3019" s="7"/>
      <c r="W3019"/>
    </row>
    <row r="3020" spans="11:23" x14ac:dyDescent="0.25">
      <c r="K3020"/>
      <c r="L3020"/>
      <c r="M3020" s="7"/>
      <c r="W3020"/>
    </row>
    <row r="3021" spans="11:23" x14ac:dyDescent="0.25">
      <c r="K3021"/>
      <c r="L3021"/>
      <c r="M3021" s="7"/>
      <c r="W3021"/>
    </row>
    <row r="3022" spans="11:23" x14ac:dyDescent="0.25">
      <c r="K3022"/>
      <c r="L3022"/>
      <c r="M3022" s="7"/>
      <c r="W3022"/>
    </row>
    <row r="3023" spans="11:23" x14ac:dyDescent="0.25">
      <c r="K3023"/>
      <c r="L3023"/>
      <c r="M3023" s="7"/>
      <c r="W3023"/>
    </row>
    <row r="3024" spans="11:23" x14ac:dyDescent="0.25">
      <c r="K3024"/>
      <c r="L3024"/>
      <c r="M3024" s="7"/>
      <c r="W3024"/>
    </row>
    <row r="3025" spans="11:23" x14ac:dyDescent="0.25">
      <c r="K3025"/>
      <c r="L3025"/>
      <c r="M3025" s="7"/>
      <c r="W3025"/>
    </row>
    <row r="3026" spans="11:23" x14ac:dyDescent="0.25">
      <c r="K3026"/>
      <c r="L3026"/>
      <c r="M3026" s="7"/>
      <c r="W3026"/>
    </row>
    <row r="3027" spans="11:23" x14ac:dyDescent="0.25">
      <c r="K3027"/>
      <c r="L3027"/>
      <c r="M3027" s="7"/>
      <c r="W3027"/>
    </row>
    <row r="3028" spans="11:23" x14ac:dyDescent="0.25">
      <c r="K3028"/>
      <c r="L3028"/>
      <c r="M3028" s="7"/>
      <c r="W3028"/>
    </row>
    <row r="3029" spans="11:23" x14ac:dyDescent="0.25">
      <c r="K3029"/>
      <c r="L3029"/>
      <c r="M3029" s="7"/>
      <c r="W3029"/>
    </row>
    <row r="3030" spans="11:23" x14ac:dyDescent="0.25">
      <c r="K3030"/>
      <c r="L3030"/>
      <c r="M3030" s="7"/>
      <c r="W3030"/>
    </row>
    <row r="3031" spans="11:23" x14ac:dyDescent="0.25">
      <c r="K3031"/>
      <c r="L3031"/>
      <c r="M3031" s="7"/>
      <c r="W3031"/>
    </row>
    <row r="3032" spans="11:23" x14ac:dyDescent="0.25">
      <c r="K3032"/>
      <c r="L3032"/>
      <c r="M3032" s="7"/>
      <c r="W3032"/>
    </row>
    <row r="3033" spans="11:23" x14ac:dyDescent="0.25">
      <c r="K3033"/>
      <c r="L3033"/>
      <c r="M3033" s="7"/>
      <c r="W3033"/>
    </row>
    <row r="3034" spans="11:23" x14ac:dyDescent="0.25">
      <c r="K3034"/>
      <c r="L3034"/>
      <c r="M3034" s="7"/>
      <c r="W3034"/>
    </row>
    <row r="3035" spans="11:23" x14ac:dyDescent="0.25">
      <c r="K3035"/>
      <c r="L3035"/>
      <c r="M3035" s="7"/>
      <c r="W3035"/>
    </row>
    <row r="3036" spans="11:23" x14ac:dyDescent="0.25">
      <c r="K3036"/>
      <c r="L3036"/>
      <c r="M3036" s="7"/>
      <c r="W3036"/>
    </row>
    <row r="3037" spans="11:23" x14ac:dyDescent="0.25">
      <c r="K3037"/>
      <c r="L3037"/>
      <c r="M3037" s="7"/>
      <c r="W3037"/>
    </row>
    <row r="3038" spans="11:23" x14ac:dyDescent="0.25">
      <c r="K3038"/>
      <c r="L3038"/>
      <c r="M3038" s="7"/>
      <c r="W3038"/>
    </row>
    <row r="3039" spans="11:23" x14ac:dyDescent="0.25">
      <c r="K3039"/>
      <c r="L3039"/>
      <c r="M3039" s="7"/>
      <c r="W3039"/>
    </row>
    <row r="3040" spans="11:23" x14ac:dyDescent="0.25">
      <c r="K3040"/>
      <c r="L3040"/>
      <c r="M3040" s="7"/>
      <c r="W3040"/>
    </row>
    <row r="3041" spans="11:23" x14ac:dyDescent="0.25">
      <c r="K3041"/>
      <c r="L3041"/>
      <c r="M3041" s="7"/>
      <c r="W3041"/>
    </row>
    <row r="3042" spans="11:23" x14ac:dyDescent="0.25">
      <c r="K3042"/>
      <c r="L3042"/>
      <c r="M3042" s="7"/>
      <c r="W3042"/>
    </row>
    <row r="3043" spans="11:23" x14ac:dyDescent="0.25">
      <c r="K3043"/>
      <c r="L3043"/>
      <c r="M3043" s="7"/>
      <c r="W3043"/>
    </row>
    <row r="3044" spans="11:23" x14ac:dyDescent="0.25">
      <c r="K3044"/>
      <c r="L3044"/>
      <c r="M3044" s="7"/>
      <c r="W3044"/>
    </row>
    <row r="3045" spans="11:23" x14ac:dyDescent="0.25">
      <c r="K3045"/>
      <c r="L3045"/>
      <c r="M3045" s="7"/>
      <c r="W3045"/>
    </row>
    <row r="3046" spans="11:23" x14ac:dyDescent="0.25">
      <c r="K3046"/>
      <c r="L3046"/>
      <c r="M3046" s="7"/>
      <c r="W3046"/>
    </row>
    <row r="3047" spans="11:23" x14ac:dyDescent="0.25">
      <c r="K3047"/>
      <c r="L3047"/>
      <c r="M3047" s="7"/>
      <c r="W3047"/>
    </row>
    <row r="3048" spans="11:23" x14ac:dyDescent="0.25">
      <c r="K3048"/>
      <c r="L3048"/>
      <c r="M3048" s="7"/>
      <c r="W3048"/>
    </row>
    <row r="3049" spans="11:23" x14ac:dyDescent="0.25">
      <c r="K3049"/>
      <c r="L3049"/>
      <c r="M3049" s="7"/>
      <c r="W3049"/>
    </row>
    <row r="3050" spans="11:23" x14ac:dyDescent="0.25">
      <c r="K3050"/>
      <c r="L3050"/>
      <c r="M3050" s="7"/>
      <c r="W3050"/>
    </row>
    <row r="3051" spans="11:23" x14ac:dyDescent="0.25">
      <c r="K3051"/>
      <c r="L3051"/>
      <c r="M3051" s="7"/>
      <c r="W3051"/>
    </row>
    <row r="3052" spans="11:23" x14ac:dyDescent="0.25">
      <c r="K3052"/>
      <c r="L3052"/>
      <c r="M3052" s="7"/>
      <c r="W3052"/>
    </row>
    <row r="3053" spans="11:23" x14ac:dyDescent="0.25">
      <c r="K3053"/>
      <c r="L3053"/>
      <c r="M3053" s="7"/>
      <c r="W3053"/>
    </row>
    <row r="3054" spans="11:23" x14ac:dyDescent="0.25">
      <c r="K3054"/>
      <c r="L3054"/>
      <c r="M3054" s="7"/>
      <c r="W3054"/>
    </row>
    <row r="3055" spans="11:23" x14ac:dyDescent="0.25">
      <c r="K3055"/>
      <c r="L3055"/>
      <c r="M3055" s="7"/>
      <c r="W3055"/>
    </row>
    <row r="3056" spans="11:23" x14ac:dyDescent="0.25">
      <c r="K3056"/>
      <c r="L3056"/>
      <c r="M3056" s="7"/>
      <c r="W3056"/>
    </row>
    <row r="3057" spans="11:23" x14ac:dyDescent="0.25">
      <c r="K3057"/>
      <c r="L3057"/>
      <c r="M3057" s="7"/>
      <c r="W3057"/>
    </row>
    <row r="3058" spans="11:23" x14ac:dyDescent="0.25">
      <c r="K3058"/>
      <c r="L3058"/>
      <c r="M3058" s="7"/>
      <c r="W3058"/>
    </row>
    <row r="3059" spans="11:23" x14ac:dyDescent="0.25">
      <c r="K3059"/>
      <c r="L3059"/>
      <c r="M3059" s="7"/>
      <c r="W3059"/>
    </row>
    <row r="3060" spans="11:23" x14ac:dyDescent="0.25">
      <c r="K3060"/>
      <c r="L3060"/>
      <c r="M3060" s="7"/>
      <c r="W3060"/>
    </row>
    <row r="3061" spans="11:23" x14ac:dyDescent="0.25">
      <c r="K3061"/>
      <c r="L3061"/>
      <c r="M3061" s="7"/>
      <c r="W3061"/>
    </row>
    <row r="3062" spans="11:23" x14ac:dyDescent="0.25">
      <c r="K3062"/>
      <c r="L3062"/>
      <c r="M3062" s="7"/>
      <c r="W3062"/>
    </row>
    <row r="3063" spans="11:23" x14ac:dyDescent="0.25">
      <c r="K3063"/>
      <c r="L3063"/>
      <c r="M3063" s="7"/>
      <c r="W3063"/>
    </row>
    <row r="3064" spans="11:23" x14ac:dyDescent="0.25">
      <c r="K3064"/>
      <c r="L3064"/>
      <c r="M3064" s="7"/>
      <c r="W3064"/>
    </row>
    <row r="3065" spans="11:23" x14ac:dyDescent="0.25">
      <c r="K3065"/>
      <c r="L3065"/>
      <c r="M3065" s="7"/>
      <c r="W3065"/>
    </row>
    <row r="3066" spans="11:23" x14ac:dyDescent="0.25">
      <c r="K3066"/>
      <c r="L3066"/>
      <c r="M3066" s="7"/>
      <c r="W3066"/>
    </row>
    <row r="3067" spans="11:23" x14ac:dyDescent="0.25">
      <c r="K3067"/>
      <c r="L3067"/>
      <c r="M3067" s="7"/>
      <c r="W3067"/>
    </row>
    <row r="3068" spans="11:23" x14ac:dyDescent="0.25">
      <c r="K3068"/>
      <c r="L3068"/>
      <c r="M3068" s="7"/>
      <c r="W3068"/>
    </row>
    <row r="3069" spans="11:23" x14ac:dyDescent="0.25">
      <c r="K3069"/>
      <c r="L3069"/>
      <c r="M3069" s="7"/>
      <c r="W3069"/>
    </row>
    <row r="3070" spans="11:23" x14ac:dyDescent="0.25">
      <c r="K3070"/>
      <c r="L3070"/>
      <c r="M3070" s="7"/>
      <c r="W3070"/>
    </row>
    <row r="3071" spans="11:23" x14ac:dyDescent="0.25">
      <c r="K3071"/>
      <c r="L3071"/>
      <c r="M3071" s="7"/>
      <c r="W3071"/>
    </row>
    <row r="3072" spans="11:23" x14ac:dyDescent="0.25">
      <c r="K3072"/>
      <c r="L3072"/>
      <c r="M3072" s="7"/>
      <c r="W3072"/>
    </row>
    <row r="3073" spans="11:23" x14ac:dyDescent="0.25">
      <c r="K3073"/>
      <c r="L3073"/>
      <c r="M3073" s="7"/>
      <c r="W3073"/>
    </row>
    <row r="3074" spans="11:23" x14ac:dyDescent="0.25">
      <c r="K3074"/>
      <c r="L3074"/>
      <c r="M3074" s="7"/>
      <c r="W3074"/>
    </row>
    <row r="3075" spans="11:23" x14ac:dyDescent="0.25">
      <c r="K3075"/>
      <c r="L3075"/>
      <c r="M3075" s="7"/>
      <c r="W3075"/>
    </row>
    <row r="3076" spans="11:23" x14ac:dyDescent="0.25">
      <c r="K3076"/>
      <c r="L3076"/>
      <c r="M3076" s="7"/>
      <c r="W3076"/>
    </row>
    <row r="3077" spans="11:23" x14ac:dyDescent="0.25">
      <c r="K3077"/>
      <c r="L3077"/>
      <c r="M3077" s="7"/>
      <c r="W3077"/>
    </row>
    <row r="3078" spans="11:23" x14ac:dyDescent="0.25">
      <c r="K3078"/>
      <c r="L3078"/>
      <c r="M3078" s="7"/>
      <c r="W3078"/>
    </row>
    <row r="3079" spans="11:23" x14ac:dyDescent="0.25">
      <c r="K3079"/>
      <c r="L3079"/>
      <c r="M3079" s="7"/>
      <c r="W3079"/>
    </row>
    <row r="3080" spans="11:23" x14ac:dyDescent="0.25">
      <c r="K3080"/>
      <c r="L3080"/>
      <c r="M3080" s="7"/>
      <c r="W3080"/>
    </row>
    <row r="3081" spans="11:23" x14ac:dyDescent="0.25">
      <c r="K3081"/>
      <c r="L3081"/>
      <c r="M3081" s="7"/>
      <c r="W3081"/>
    </row>
    <row r="3082" spans="11:23" x14ac:dyDescent="0.25">
      <c r="K3082"/>
      <c r="L3082"/>
      <c r="M3082" s="7"/>
      <c r="W3082"/>
    </row>
    <row r="3083" spans="11:23" x14ac:dyDescent="0.25">
      <c r="K3083"/>
      <c r="L3083"/>
      <c r="M3083" s="7"/>
      <c r="W3083"/>
    </row>
    <row r="3084" spans="11:23" x14ac:dyDescent="0.25">
      <c r="K3084"/>
      <c r="L3084"/>
      <c r="M3084" s="7"/>
      <c r="W3084"/>
    </row>
    <row r="3085" spans="11:23" x14ac:dyDescent="0.25">
      <c r="K3085"/>
      <c r="L3085"/>
      <c r="M3085" s="7"/>
      <c r="W3085"/>
    </row>
    <row r="3086" spans="11:23" x14ac:dyDescent="0.25">
      <c r="K3086"/>
      <c r="L3086"/>
      <c r="M3086" s="7"/>
      <c r="W3086"/>
    </row>
    <row r="3087" spans="11:23" x14ac:dyDescent="0.25">
      <c r="K3087"/>
      <c r="L3087"/>
      <c r="M3087" s="7"/>
      <c r="W3087"/>
    </row>
    <row r="3088" spans="11:23" x14ac:dyDescent="0.25">
      <c r="K3088"/>
      <c r="L3088"/>
      <c r="M3088" s="7"/>
      <c r="W3088"/>
    </row>
    <row r="3089" spans="11:23" x14ac:dyDescent="0.25">
      <c r="K3089"/>
      <c r="L3089"/>
      <c r="M3089" s="7"/>
      <c r="W3089"/>
    </row>
    <row r="3090" spans="11:23" x14ac:dyDescent="0.25">
      <c r="K3090"/>
      <c r="L3090"/>
      <c r="M3090" s="7"/>
      <c r="W3090"/>
    </row>
    <row r="3091" spans="11:23" x14ac:dyDescent="0.25">
      <c r="K3091"/>
      <c r="L3091"/>
      <c r="M3091" s="7"/>
      <c r="W3091"/>
    </row>
    <row r="3092" spans="11:23" x14ac:dyDescent="0.25">
      <c r="K3092"/>
      <c r="L3092"/>
      <c r="M3092" s="7"/>
      <c r="W3092"/>
    </row>
    <row r="3093" spans="11:23" x14ac:dyDescent="0.25">
      <c r="K3093"/>
      <c r="L3093"/>
      <c r="M3093" s="7"/>
      <c r="W3093"/>
    </row>
    <row r="3094" spans="11:23" x14ac:dyDescent="0.25">
      <c r="K3094"/>
      <c r="L3094"/>
      <c r="M3094" s="7"/>
      <c r="W3094"/>
    </row>
    <row r="3095" spans="11:23" x14ac:dyDescent="0.25">
      <c r="K3095"/>
      <c r="L3095"/>
      <c r="M3095" s="7"/>
      <c r="W3095"/>
    </row>
    <row r="3096" spans="11:23" x14ac:dyDescent="0.25">
      <c r="K3096"/>
      <c r="L3096"/>
      <c r="M3096" s="7"/>
      <c r="W3096"/>
    </row>
    <row r="3097" spans="11:23" x14ac:dyDescent="0.25">
      <c r="K3097"/>
      <c r="L3097"/>
      <c r="M3097" s="7"/>
      <c r="W3097"/>
    </row>
    <row r="3098" spans="11:23" x14ac:dyDescent="0.25">
      <c r="K3098"/>
      <c r="L3098"/>
      <c r="M3098" s="7"/>
      <c r="W3098"/>
    </row>
    <row r="3099" spans="11:23" x14ac:dyDescent="0.25">
      <c r="K3099"/>
      <c r="L3099"/>
      <c r="M3099" s="7"/>
      <c r="W3099"/>
    </row>
    <row r="3100" spans="11:23" x14ac:dyDescent="0.25">
      <c r="K3100"/>
      <c r="L3100"/>
      <c r="M3100" s="7"/>
      <c r="W3100"/>
    </row>
    <row r="3101" spans="11:23" x14ac:dyDescent="0.25">
      <c r="K3101"/>
      <c r="L3101"/>
      <c r="M3101" s="7"/>
      <c r="W3101"/>
    </row>
    <row r="3102" spans="11:23" x14ac:dyDescent="0.25">
      <c r="K3102"/>
      <c r="L3102"/>
      <c r="M3102" s="7"/>
      <c r="W3102"/>
    </row>
    <row r="3103" spans="11:23" x14ac:dyDescent="0.25">
      <c r="K3103"/>
      <c r="L3103"/>
      <c r="M3103" s="7"/>
      <c r="W3103"/>
    </row>
    <row r="3104" spans="11:23" x14ac:dyDescent="0.25">
      <c r="K3104"/>
      <c r="L3104"/>
      <c r="M3104" s="7"/>
      <c r="W3104"/>
    </row>
    <row r="3105" spans="11:23" x14ac:dyDescent="0.25">
      <c r="K3105"/>
      <c r="L3105"/>
      <c r="M3105" s="7"/>
      <c r="W3105"/>
    </row>
    <row r="3106" spans="11:23" x14ac:dyDescent="0.25">
      <c r="K3106"/>
      <c r="L3106"/>
      <c r="M3106" s="7"/>
      <c r="W3106"/>
    </row>
    <row r="3107" spans="11:23" x14ac:dyDescent="0.25">
      <c r="K3107"/>
      <c r="L3107"/>
      <c r="M3107" s="7"/>
      <c r="W3107"/>
    </row>
    <row r="3108" spans="11:23" x14ac:dyDescent="0.25">
      <c r="K3108"/>
      <c r="L3108"/>
      <c r="M3108" s="7"/>
      <c r="W3108"/>
    </row>
    <row r="3109" spans="11:23" x14ac:dyDescent="0.25">
      <c r="K3109"/>
      <c r="L3109"/>
      <c r="M3109" s="7"/>
      <c r="W3109"/>
    </row>
    <row r="3110" spans="11:23" x14ac:dyDescent="0.25">
      <c r="K3110"/>
      <c r="L3110"/>
      <c r="M3110" s="7"/>
      <c r="W3110"/>
    </row>
    <row r="3111" spans="11:23" x14ac:dyDescent="0.25">
      <c r="K3111"/>
      <c r="L3111"/>
      <c r="M3111" s="7"/>
      <c r="W3111"/>
    </row>
    <row r="3112" spans="11:23" x14ac:dyDescent="0.25">
      <c r="K3112"/>
      <c r="L3112"/>
      <c r="M3112" s="7"/>
      <c r="W3112"/>
    </row>
    <row r="3113" spans="11:23" x14ac:dyDescent="0.25">
      <c r="K3113"/>
      <c r="L3113"/>
      <c r="M3113" s="7"/>
      <c r="W3113"/>
    </row>
    <row r="3114" spans="11:23" x14ac:dyDescent="0.25">
      <c r="K3114"/>
      <c r="L3114"/>
      <c r="M3114" s="7"/>
      <c r="W3114"/>
    </row>
    <row r="3115" spans="11:23" x14ac:dyDescent="0.25">
      <c r="K3115"/>
      <c r="L3115"/>
      <c r="M3115" s="7"/>
      <c r="W3115"/>
    </row>
    <row r="3116" spans="11:23" x14ac:dyDescent="0.25">
      <c r="K3116"/>
      <c r="L3116"/>
      <c r="M3116" s="7"/>
      <c r="W3116"/>
    </row>
    <row r="3117" spans="11:23" x14ac:dyDescent="0.25">
      <c r="K3117"/>
      <c r="L3117"/>
      <c r="M3117" s="7"/>
      <c r="W3117"/>
    </row>
    <row r="3118" spans="11:23" x14ac:dyDescent="0.25">
      <c r="K3118"/>
      <c r="L3118"/>
      <c r="M3118" s="7"/>
      <c r="W3118"/>
    </row>
    <row r="3119" spans="11:23" x14ac:dyDescent="0.25">
      <c r="K3119"/>
      <c r="L3119"/>
      <c r="M3119" s="7"/>
      <c r="W3119"/>
    </row>
    <row r="3120" spans="11:23" x14ac:dyDescent="0.25">
      <c r="K3120"/>
      <c r="L3120"/>
      <c r="M3120" s="7"/>
      <c r="W3120"/>
    </row>
    <row r="3121" spans="11:23" x14ac:dyDescent="0.25">
      <c r="K3121"/>
      <c r="L3121"/>
      <c r="M3121" s="7"/>
      <c r="W3121"/>
    </row>
    <row r="3122" spans="11:23" x14ac:dyDescent="0.25">
      <c r="K3122"/>
      <c r="L3122"/>
      <c r="M3122" s="7"/>
      <c r="W3122"/>
    </row>
    <row r="3123" spans="11:23" x14ac:dyDescent="0.25">
      <c r="K3123"/>
      <c r="L3123"/>
      <c r="M3123" s="7"/>
      <c r="W3123"/>
    </row>
    <row r="3124" spans="11:23" x14ac:dyDescent="0.25">
      <c r="K3124"/>
      <c r="L3124"/>
      <c r="M3124" s="7"/>
      <c r="W3124"/>
    </row>
    <row r="3125" spans="11:23" x14ac:dyDescent="0.25">
      <c r="K3125"/>
      <c r="L3125"/>
      <c r="M3125" s="7"/>
      <c r="W3125"/>
    </row>
    <row r="3126" spans="11:23" x14ac:dyDescent="0.25">
      <c r="K3126"/>
      <c r="L3126"/>
      <c r="M3126" s="7"/>
      <c r="W3126"/>
    </row>
    <row r="3127" spans="11:23" x14ac:dyDescent="0.25">
      <c r="K3127"/>
      <c r="L3127"/>
      <c r="M3127" s="7"/>
      <c r="W3127"/>
    </row>
    <row r="3128" spans="11:23" x14ac:dyDescent="0.25">
      <c r="K3128"/>
      <c r="L3128"/>
      <c r="M3128" s="7"/>
      <c r="W3128"/>
    </row>
    <row r="3129" spans="11:23" x14ac:dyDescent="0.25">
      <c r="K3129"/>
      <c r="L3129"/>
      <c r="M3129" s="7"/>
      <c r="W3129"/>
    </row>
    <row r="3130" spans="11:23" x14ac:dyDescent="0.25">
      <c r="K3130"/>
      <c r="L3130"/>
      <c r="M3130" s="7"/>
      <c r="W3130"/>
    </row>
    <row r="3131" spans="11:23" x14ac:dyDescent="0.25">
      <c r="K3131"/>
      <c r="L3131"/>
      <c r="M3131" s="7"/>
      <c r="W3131"/>
    </row>
    <row r="3132" spans="11:23" x14ac:dyDescent="0.25">
      <c r="K3132"/>
      <c r="L3132"/>
      <c r="M3132" s="7"/>
      <c r="W3132"/>
    </row>
    <row r="3133" spans="11:23" x14ac:dyDescent="0.25">
      <c r="K3133"/>
      <c r="L3133"/>
      <c r="M3133" s="7"/>
      <c r="W3133"/>
    </row>
    <row r="3134" spans="11:23" x14ac:dyDescent="0.25">
      <c r="K3134"/>
      <c r="L3134"/>
      <c r="M3134" s="7"/>
      <c r="W3134"/>
    </row>
    <row r="3135" spans="11:23" x14ac:dyDescent="0.25">
      <c r="K3135"/>
      <c r="L3135"/>
      <c r="M3135" s="7"/>
      <c r="W3135"/>
    </row>
    <row r="3136" spans="11:23" x14ac:dyDescent="0.25">
      <c r="K3136"/>
      <c r="L3136"/>
      <c r="M3136" s="7"/>
      <c r="W3136"/>
    </row>
    <row r="3137" spans="11:23" x14ac:dyDescent="0.25">
      <c r="K3137"/>
      <c r="L3137"/>
      <c r="M3137" s="7"/>
      <c r="W3137"/>
    </row>
    <row r="3138" spans="11:23" x14ac:dyDescent="0.25">
      <c r="K3138"/>
      <c r="L3138"/>
      <c r="M3138" s="7"/>
      <c r="W3138"/>
    </row>
    <row r="3139" spans="11:23" x14ac:dyDescent="0.25">
      <c r="K3139"/>
      <c r="L3139"/>
      <c r="M3139" s="7"/>
      <c r="W3139"/>
    </row>
    <row r="3140" spans="11:23" x14ac:dyDescent="0.25">
      <c r="K3140"/>
      <c r="L3140"/>
      <c r="M3140" s="7"/>
      <c r="W3140"/>
    </row>
    <row r="3141" spans="11:23" x14ac:dyDescent="0.25">
      <c r="K3141"/>
      <c r="L3141"/>
      <c r="M3141" s="7"/>
      <c r="W3141"/>
    </row>
    <row r="3142" spans="11:23" x14ac:dyDescent="0.25">
      <c r="K3142"/>
      <c r="L3142"/>
      <c r="M3142" s="7"/>
      <c r="W3142"/>
    </row>
    <row r="3143" spans="11:23" x14ac:dyDescent="0.25">
      <c r="K3143"/>
      <c r="L3143"/>
      <c r="M3143" s="7"/>
      <c r="W3143"/>
    </row>
    <row r="3144" spans="11:23" x14ac:dyDescent="0.25">
      <c r="K3144"/>
      <c r="L3144"/>
      <c r="M3144" s="7"/>
      <c r="W3144"/>
    </row>
    <row r="3145" spans="11:23" x14ac:dyDescent="0.25">
      <c r="K3145"/>
      <c r="L3145"/>
      <c r="M3145" s="7"/>
      <c r="W3145"/>
    </row>
    <row r="3146" spans="11:23" x14ac:dyDescent="0.25">
      <c r="K3146"/>
      <c r="L3146"/>
      <c r="M3146" s="7"/>
      <c r="W3146"/>
    </row>
    <row r="3147" spans="11:23" x14ac:dyDescent="0.25">
      <c r="K3147"/>
      <c r="L3147"/>
      <c r="M3147" s="7"/>
      <c r="W3147"/>
    </row>
    <row r="3148" spans="11:23" x14ac:dyDescent="0.25">
      <c r="K3148"/>
      <c r="L3148"/>
      <c r="M3148" s="7"/>
      <c r="W3148"/>
    </row>
    <row r="3149" spans="11:23" x14ac:dyDescent="0.25">
      <c r="K3149"/>
      <c r="L3149"/>
      <c r="M3149" s="7"/>
      <c r="W3149"/>
    </row>
    <row r="3150" spans="11:23" x14ac:dyDescent="0.25">
      <c r="K3150"/>
      <c r="L3150"/>
      <c r="M3150" s="7"/>
      <c r="W3150"/>
    </row>
    <row r="3151" spans="11:23" x14ac:dyDescent="0.25">
      <c r="K3151"/>
      <c r="L3151"/>
      <c r="M3151" s="7"/>
      <c r="W3151"/>
    </row>
    <row r="3152" spans="11:23" x14ac:dyDescent="0.25">
      <c r="K3152"/>
      <c r="L3152"/>
      <c r="M3152" s="7"/>
      <c r="W3152"/>
    </row>
    <row r="3153" spans="11:23" x14ac:dyDescent="0.25">
      <c r="K3153"/>
      <c r="L3153"/>
      <c r="M3153" s="7"/>
      <c r="W3153"/>
    </row>
    <row r="3154" spans="11:23" x14ac:dyDescent="0.25">
      <c r="K3154"/>
      <c r="L3154"/>
      <c r="M3154" s="7"/>
      <c r="W3154"/>
    </row>
    <row r="3155" spans="11:23" x14ac:dyDescent="0.25">
      <c r="K3155"/>
      <c r="L3155"/>
      <c r="M3155" s="7"/>
      <c r="W3155"/>
    </row>
    <row r="3156" spans="11:23" x14ac:dyDescent="0.25">
      <c r="K3156"/>
      <c r="L3156"/>
      <c r="M3156" s="7"/>
      <c r="W3156"/>
    </row>
    <row r="3157" spans="11:23" x14ac:dyDescent="0.25">
      <c r="K3157"/>
      <c r="L3157"/>
      <c r="M3157" s="7"/>
      <c r="W3157"/>
    </row>
    <row r="3158" spans="11:23" x14ac:dyDescent="0.25">
      <c r="K3158"/>
      <c r="L3158"/>
      <c r="M3158" s="7"/>
      <c r="W3158"/>
    </row>
    <row r="3159" spans="11:23" x14ac:dyDescent="0.25">
      <c r="K3159"/>
      <c r="L3159"/>
      <c r="M3159" s="7"/>
      <c r="W3159"/>
    </row>
    <row r="3160" spans="11:23" x14ac:dyDescent="0.25">
      <c r="K3160"/>
      <c r="L3160"/>
      <c r="M3160" s="7"/>
      <c r="W3160"/>
    </row>
    <row r="3161" spans="11:23" x14ac:dyDescent="0.25">
      <c r="K3161"/>
      <c r="L3161"/>
      <c r="M3161" s="7"/>
      <c r="W3161"/>
    </row>
    <row r="3162" spans="11:23" x14ac:dyDescent="0.25">
      <c r="K3162"/>
      <c r="L3162"/>
      <c r="M3162" s="7"/>
      <c r="W3162"/>
    </row>
    <row r="3163" spans="11:23" x14ac:dyDescent="0.25">
      <c r="K3163"/>
      <c r="L3163"/>
      <c r="M3163" s="7"/>
      <c r="W3163"/>
    </row>
    <row r="3164" spans="11:23" x14ac:dyDescent="0.25">
      <c r="K3164"/>
      <c r="L3164"/>
      <c r="M3164" s="7"/>
      <c r="W3164"/>
    </row>
    <row r="3165" spans="11:23" x14ac:dyDescent="0.25">
      <c r="K3165"/>
      <c r="L3165"/>
      <c r="M3165" s="7"/>
      <c r="W3165"/>
    </row>
    <row r="3166" spans="11:23" x14ac:dyDescent="0.25">
      <c r="K3166"/>
      <c r="L3166"/>
      <c r="M3166" s="7"/>
      <c r="W3166"/>
    </row>
    <row r="3167" spans="11:23" x14ac:dyDescent="0.25">
      <c r="K3167"/>
      <c r="L3167"/>
      <c r="M3167" s="7"/>
      <c r="W3167"/>
    </row>
    <row r="3168" spans="11:23" x14ac:dyDescent="0.25">
      <c r="K3168"/>
      <c r="L3168"/>
      <c r="M3168" s="7"/>
      <c r="W3168"/>
    </row>
    <row r="3169" spans="11:23" x14ac:dyDescent="0.25">
      <c r="K3169"/>
      <c r="L3169"/>
      <c r="M3169" s="7"/>
      <c r="W3169"/>
    </row>
    <row r="3170" spans="11:23" x14ac:dyDescent="0.25">
      <c r="K3170"/>
      <c r="L3170"/>
      <c r="M3170" s="7"/>
      <c r="W3170"/>
    </row>
    <row r="3171" spans="11:23" x14ac:dyDescent="0.25">
      <c r="K3171"/>
      <c r="L3171"/>
      <c r="M3171" s="7"/>
      <c r="W3171"/>
    </row>
    <row r="3172" spans="11:23" x14ac:dyDescent="0.25">
      <c r="K3172"/>
      <c r="L3172"/>
      <c r="M3172" s="7"/>
      <c r="W3172"/>
    </row>
    <row r="3173" spans="11:23" x14ac:dyDescent="0.25">
      <c r="K3173"/>
      <c r="L3173"/>
      <c r="M3173" s="7"/>
      <c r="W3173"/>
    </row>
    <row r="3174" spans="11:23" x14ac:dyDescent="0.25">
      <c r="K3174"/>
      <c r="L3174"/>
      <c r="M3174" s="7"/>
      <c r="W3174"/>
    </row>
    <row r="3175" spans="11:23" x14ac:dyDescent="0.25">
      <c r="K3175"/>
      <c r="L3175"/>
      <c r="M3175" s="7"/>
      <c r="W3175"/>
    </row>
    <row r="3176" spans="11:23" x14ac:dyDescent="0.25">
      <c r="K3176"/>
      <c r="L3176"/>
      <c r="M3176" s="7"/>
      <c r="W3176"/>
    </row>
    <row r="3177" spans="11:23" x14ac:dyDescent="0.25">
      <c r="K3177"/>
      <c r="L3177"/>
      <c r="M3177" s="7"/>
      <c r="W3177"/>
    </row>
    <row r="3178" spans="11:23" x14ac:dyDescent="0.25">
      <c r="K3178"/>
      <c r="L3178"/>
      <c r="M3178" s="7"/>
      <c r="W3178"/>
    </row>
    <row r="3179" spans="11:23" x14ac:dyDescent="0.25">
      <c r="K3179"/>
      <c r="L3179"/>
      <c r="M3179" s="7"/>
      <c r="W3179"/>
    </row>
    <row r="3180" spans="11:23" x14ac:dyDescent="0.25">
      <c r="K3180"/>
      <c r="L3180"/>
      <c r="M3180" s="7"/>
      <c r="W3180"/>
    </row>
    <row r="3181" spans="11:23" x14ac:dyDescent="0.25">
      <c r="K3181"/>
      <c r="L3181"/>
      <c r="M3181" s="7"/>
      <c r="W3181"/>
    </row>
    <row r="3182" spans="11:23" x14ac:dyDescent="0.25">
      <c r="K3182"/>
      <c r="L3182"/>
      <c r="M3182" s="7"/>
      <c r="W3182"/>
    </row>
    <row r="3183" spans="11:23" x14ac:dyDescent="0.25">
      <c r="K3183"/>
      <c r="L3183"/>
      <c r="M3183" s="7"/>
      <c r="W3183"/>
    </row>
    <row r="3184" spans="11:23" x14ac:dyDescent="0.25">
      <c r="K3184"/>
      <c r="L3184"/>
      <c r="M3184" s="7"/>
      <c r="W3184"/>
    </row>
    <row r="3185" spans="11:23" x14ac:dyDescent="0.25">
      <c r="K3185"/>
      <c r="L3185"/>
      <c r="M3185" s="7"/>
      <c r="W3185"/>
    </row>
    <row r="3186" spans="11:23" x14ac:dyDescent="0.25">
      <c r="K3186"/>
      <c r="L3186"/>
      <c r="M3186" s="7"/>
      <c r="W3186"/>
    </row>
    <row r="3187" spans="11:23" x14ac:dyDescent="0.25">
      <c r="K3187"/>
      <c r="L3187"/>
      <c r="M3187" s="7"/>
      <c r="W3187"/>
    </row>
    <row r="3188" spans="11:23" x14ac:dyDescent="0.25">
      <c r="K3188"/>
      <c r="L3188"/>
      <c r="M3188" s="7"/>
      <c r="W3188"/>
    </row>
    <row r="3189" spans="11:23" x14ac:dyDescent="0.25">
      <c r="K3189"/>
      <c r="L3189"/>
      <c r="M3189" s="7"/>
      <c r="W3189"/>
    </row>
    <row r="3190" spans="11:23" x14ac:dyDescent="0.25">
      <c r="K3190"/>
      <c r="L3190"/>
      <c r="M3190" s="7"/>
      <c r="W3190"/>
    </row>
    <row r="3191" spans="11:23" x14ac:dyDescent="0.25">
      <c r="K3191"/>
      <c r="L3191"/>
      <c r="M3191" s="7"/>
      <c r="W3191"/>
    </row>
    <row r="3192" spans="11:23" x14ac:dyDescent="0.25">
      <c r="K3192"/>
      <c r="L3192"/>
      <c r="M3192" s="7"/>
      <c r="W3192"/>
    </row>
    <row r="3193" spans="11:23" x14ac:dyDescent="0.25">
      <c r="K3193"/>
      <c r="L3193"/>
      <c r="M3193" s="7"/>
      <c r="W3193"/>
    </row>
    <row r="3194" spans="11:23" x14ac:dyDescent="0.25">
      <c r="K3194"/>
      <c r="L3194"/>
      <c r="M3194" s="7"/>
      <c r="W3194"/>
    </row>
    <row r="3195" spans="11:23" x14ac:dyDescent="0.25">
      <c r="K3195"/>
      <c r="L3195"/>
      <c r="M3195" s="7"/>
      <c r="W3195"/>
    </row>
    <row r="3196" spans="11:23" x14ac:dyDescent="0.25">
      <c r="K3196"/>
      <c r="L3196"/>
      <c r="M3196" s="7"/>
      <c r="W3196"/>
    </row>
    <row r="3197" spans="11:23" x14ac:dyDescent="0.25">
      <c r="K3197"/>
      <c r="L3197"/>
      <c r="M3197" s="7"/>
      <c r="W3197"/>
    </row>
    <row r="3198" spans="11:23" x14ac:dyDescent="0.25">
      <c r="K3198"/>
      <c r="L3198"/>
      <c r="M3198" s="7"/>
      <c r="W3198"/>
    </row>
    <row r="3199" spans="11:23" x14ac:dyDescent="0.25">
      <c r="K3199"/>
      <c r="L3199"/>
      <c r="M3199" s="7"/>
      <c r="W3199"/>
    </row>
    <row r="3200" spans="11:23" x14ac:dyDescent="0.25">
      <c r="K3200"/>
      <c r="L3200"/>
      <c r="M3200" s="7"/>
      <c r="W3200"/>
    </row>
    <row r="3201" spans="11:23" x14ac:dyDescent="0.25">
      <c r="K3201"/>
      <c r="L3201"/>
      <c r="M3201" s="7"/>
      <c r="W3201"/>
    </row>
    <row r="3202" spans="11:23" x14ac:dyDescent="0.25">
      <c r="K3202"/>
      <c r="L3202"/>
      <c r="M3202" s="7"/>
      <c r="W3202"/>
    </row>
    <row r="3203" spans="11:23" x14ac:dyDescent="0.25">
      <c r="K3203"/>
      <c r="L3203"/>
      <c r="M3203" s="7"/>
      <c r="W3203"/>
    </row>
    <row r="3204" spans="11:23" x14ac:dyDescent="0.25">
      <c r="K3204"/>
      <c r="L3204"/>
      <c r="M3204" s="7"/>
      <c r="W3204"/>
    </row>
    <row r="3205" spans="11:23" x14ac:dyDescent="0.25">
      <c r="K3205"/>
      <c r="L3205"/>
      <c r="M3205" s="7"/>
      <c r="W3205"/>
    </row>
    <row r="3206" spans="11:23" x14ac:dyDescent="0.25">
      <c r="K3206"/>
      <c r="L3206"/>
      <c r="M3206" s="7"/>
      <c r="W3206"/>
    </row>
    <row r="3207" spans="11:23" x14ac:dyDescent="0.25">
      <c r="K3207"/>
      <c r="L3207"/>
      <c r="M3207" s="7"/>
      <c r="W3207"/>
    </row>
    <row r="3208" spans="11:23" x14ac:dyDescent="0.25">
      <c r="K3208"/>
      <c r="L3208"/>
      <c r="M3208" s="7"/>
      <c r="W3208"/>
    </row>
    <row r="3209" spans="11:23" x14ac:dyDescent="0.25">
      <c r="K3209"/>
      <c r="L3209"/>
      <c r="M3209" s="7"/>
      <c r="W3209"/>
    </row>
    <row r="3210" spans="11:23" x14ac:dyDescent="0.25">
      <c r="K3210"/>
      <c r="L3210"/>
      <c r="M3210" s="7"/>
      <c r="W3210"/>
    </row>
    <row r="3211" spans="11:23" x14ac:dyDescent="0.25">
      <c r="K3211"/>
      <c r="L3211"/>
      <c r="M3211" s="7"/>
      <c r="W3211"/>
    </row>
    <row r="3212" spans="11:23" x14ac:dyDescent="0.25">
      <c r="K3212"/>
      <c r="L3212"/>
      <c r="M3212" s="7"/>
      <c r="W3212"/>
    </row>
    <row r="3213" spans="11:23" x14ac:dyDescent="0.25">
      <c r="K3213"/>
      <c r="L3213"/>
      <c r="M3213" s="7"/>
      <c r="W3213"/>
    </row>
    <row r="3214" spans="11:23" x14ac:dyDescent="0.25">
      <c r="K3214"/>
      <c r="L3214"/>
      <c r="M3214" s="7"/>
      <c r="W3214"/>
    </row>
    <row r="3215" spans="11:23" x14ac:dyDescent="0.25">
      <c r="K3215"/>
      <c r="L3215"/>
      <c r="M3215" s="7"/>
      <c r="W3215"/>
    </row>
    <row r="3216" spans="11:23" x14ac:dyDescent="0.25">
      <c r="K3216"/>
      <c r="L3216"/>
      <c r="M3216" s="7"/>
      <c r="W3216"/>
    </row>
    <row r="3217" spans="11:23" x14ac:dyDescent="0.25">
      <c r="K3217"/>
      <c r="L3217"/>
      <c r="M3217" s="7"/>
      <c r="W3217"/>
    </row>
    <row r="3218" spans="11:23" x14ac:dyDescent="0.25">
      <c r="K3218"/>
      <c r="L3218"/>
      <c r="M3218" s="7"/>
      <c r="W3218"/>
    </row>
    <row r="3219" spans="11:23" x14ac:dyDescent="0.25">
      <c r="K3219"/>
      <c r="L3219"/>
      <c r="M3219" s="7"/>
      <c r="W3219"/>
    </row>
    <row r="3220" spans="11:23" x14ac:dyDescent="0.25">
      <c r="K3220"/>
      <c r="L3220"/>
      <c r="M3220" s="7"/>
      <c r="W3220"/>
    </row>
    <row r="3221" spans="11:23" x14ac:dyDescent="0.25">
      <c r="K3221"/>
      <c r="L3221"/>
      <c r="M3221" s="7"/>
      <c r="W3221"/>
    </row>
    <row r="3222" spans="11:23" x14ac:dyDescent="0.25">
      <c r="K3222"/>
      <c r="L3222"/>
      <c r="M3222" s="7"/>
      <c r="W3222"/>
    </row>
    <row r="3223" spans="11:23" x14ac:dyDescent="0.25">
      <c r="K3223"/>
      <c r="L3223"/>
      <c r="M3223" s="7"/>
      <c r="W3223"/>
    </row>
    <row r="3224" spans="11:23" x14ac:dyDescent="0.25">
      <c r="K3224"/>
      <c r="L3224"/>
      <c r="M3224" s="7"/>
      <c r="W3224"/>
    </row>
    <row r="3225" spans="11:23" x14ac:dyDescent="0.25">
      <c r="K3225"/>
      <c r="L3225"/>
      <c r="M3225" s="7"/>
      <c r="W3225"/>
    </row>
    <row r="3226" spans="11:23" x14ac:dyDescent="0.25">
      <c r="K3226"/>
      <c r="L3226"/>
      <c r="M3226" s="7"/>
      <c r="W3226"/>
    </row>
    <row r="3227" spans="11:23" x14ac:dyDescent="0.25">
      <c r="K3227"/>
      <c r="L3227"/>
      <c r="M3227" s="7"/>
      <c r="W3227"/>
    </row>
    <row r="3228" spans="11:23" x14ac:dyDescent="0.25">
      <c r="K3228"/>
      <c r="L3228"/>
      <c r="M3228" s="7"/>
      <c r="W3228"/>
    </row>
    <row r="3229" spans="11:23" x14ac:dyDescent="0.25">
      <c r="K3229"/>
      <c r="L3229"/>
      <c r="M3229" s="7"/>
      <c r="W3229"/>
    </row>
    <row r="3230" spans="11:23" x14ac:dyDescent="0.25">
      <c r="K3230"/>
      <c r="L3230"/>
      <c r="M3230" s="7"/>
      <c r="W3230"/>
    </row>
    <row r="3231" spans="11:23" x14ac:dyDescent="0.25">
      <c r="K3231"/>
      <c r="L3231"/>
      <c r="M3231" s="7"/>
      <c r="W3231"/>
    </row>
    <row r="3232" spans="11:23" x14ac:dyDescent="0.25">
      <c r="K3232"/>
      <c r="L3232"/>
      <c r="M3232" s="7"/>
      <c r="W3232"/>
    </row>
    <row r="3233" spans="11:23" x14ac:dyDescent="0.25">
      <c r="K3233"/>
      <c r="L3233"/>
      <c r="M3233" s="7"/>
      <c r="W3233"/>
    </row>
    <row r="3234" spans="11:23" x14ac:dyDescent="0.25">
      <c r="K3234"/>
      <c r="L3234"/>
      <c r="M3234" s="7"/>
      <c r="W3234"/>
    </row>
    <row r="3235" spans="11:23" x14ac:dyDescent="0.25">
      <c r="K3235"/>
      <c r="L3235"/>
      <c r="M3235" s="7"/>
      <c r="W3235"/>
    </row>
    <row r="3236" spans="11:23" x14ac:dyDescent="0.25">
      <c r="K3236"/>
      <c r="L3236"/>
      <c r="M3236" s="7"/>
      <c r="W3236"/>
    </row>
    <row r="3237" spans="11:23" x14ac:dyDescent="0.25">
      <c r="K3237"/>
      <c r="L3237"/>
      <c r="M3237" s="7"/>
      <c r="W3237"/>
    </row>
    <row r="3238" spans="11:23" x14ac:dyDescent="0.25">
      <c r="K3238"/>
      <c r="L3238"/>
      <c r="M3238" s="7"/>
      <c r="W3238"/>
    </row>
    <row r="3239" spans="11:23" x14ac:dyDescent="0.25">
      <c r="K3239"/>
      <c r="L3239"/>
      <c r="M3239" s="7"/>
      <c r="W3239"/>
    </row>
    <row r="3240" spans="11:23" x14ac:dyDescent="0.25">
      <c r="K3240"/>
      <c r="L3240"/>
      <c r="M3240" s="7"/>
      <c r="W3240"/>
    </row>
    <row r="3241" spans="11:23" x14ac:dyDescent="0.25">
      <c r="K3241"/>
      <c r="L3241"/>
      <c r="M3241" s="7"/>
      <c r="W3241"/>
    </row>
    <row r="3242" spans="11:23" x14ac:dyDescent="0.25">
      <c r="K3242"/>
      <c r="L3242"/>
      <c r="M3242" s="7"/>
      <c r="W3242"/>
    </row>
    <row r="3243" spans="11:23" x14ac:dyDescent="0.25">
      <c r="K3243"/>
      <c r="L3243"/>
      <c r="M3243" s="7"/>
      <c r="W3243"/>
    </row>
    <row r="3244" spans="11:23" x14ac:dyDescent="0.25">
      <c r="K3244"/>
      <c r="L3244"/>
      <c r="M3244" s="7"/>
      <c r="W3244"/>
    </row>
    <row r="3245" spans="11:23" x14ac:dyDescent="0.25">
      <c r="K3245"/>
      <c r="L3245"/>
      <c r="M3245" s="7"/>
      <c r="W3245"/>
    </row>
    <row r="3246" spans="11:23" x14ac:dyDescent="0.25">
      <c r="K3246"/>
      <c r="L3246"/>
      <c r="M3246" s="7"/>
      <c r="W3246"/>
    </row>
    <row r="3247" spans="11:23" x14ac:dyDescent="0.25">
      <c r="K3247"/>
      <c r="L3247"/>
      <c r="M3247" s="7"/>
      <c r="W3247"/>
    </row>
    <row r="3248" spans="11:23" x14ac:dyDescent="0.25">
      <c r="K3248"/>
      <c r="L3248"/>
      <c r="M3248" s="7"/>
      <c r="W3248"/>
    </row>
    <row r="3249" spans="11:23" x14ac:dyDescent="0.25">
      <c r="K3249"/>
      <c r="L3249"/>
      <c r="M3249" s="7"/>
      <c r="W3249"/>
    </row>
    <row r="3250" spans="11:23" x14ac:dyDescent="0.25">
      <c r="K3250"/>
      <c r="L3250"/>
      <c r="M3250" s="7"/>
      <c r="W3250"/>
    </row>
    <row r="3251" spans="11:23" x14ac:dyDescent="0.25">
      <c r="K3251"/>
      <c r="L3251"/>
      <c r="M3251" s="7"/>
      <c r="W3251"/>
    </row>
    <row r="3252" spans="11:23" x14ac:dyDescent="0.25">
      <c r="K3252"/>
      <c r="L3252"/>
      <c r="M3252" s="7"/>
      <c r="W3252"/>
    </row>
    <row r="3253" spans="11:23" x14ac:dyDescent="0.25">
      <c r="K3253"/>
      <c r="L3253"/>
      <c r="M3253" s="7"/>
      <c r="W3253"/>
    </row>
    <row r="3254" spans="11:23" x14ac:dyDescent="0.25">
      <c r="K3254"/>
      <c r="L3254"/>
      <c r="M3254" s="7"/>
      <c r="W3254"/>
    </row>
    <row r="3255" spans="11:23" x14ac:dyDescent="0.25">
      <c r="K3255"/>
      <c r="L3255"/>
      <c r="M3255" s="7"/>
      <c r="W3255"/>
    </row>
    <row r="3256" spans="11:23" x14ac:dyDescent="0.25">
      <c r="K3256"/>
      <c r="L3256"/>
      <c r="M3256" s="7"/>
      <c r="W3256"/>
    </row>
    <row r="3257" spans="11:23" x14ac:dyDescent="0.25">
      <c r="K3257"/>
      <c r="L3257"/>
      <c r="M3257" s="7"/>
      <c r="W3257"/>
    </row>
    <row r="3258" spans="11:23" x14ac:dyDescent="0.25">
      <c r="K3258"/>
      <c r="L3258"/>
      <c r="M3258" s="7"/>
      <c r="W3258"/>
    </row>
    <row r="3259" spans="11:23" x14ac:dyDescent="0.25">
      <c r="K3259"/>
      <c r="L3259"/>
      <c r="M3259" s="7"/>
      <c r="W3259"/>
    </row>
    <row r="3260" spans="11:23" x14ac:dyDescent="0.25">
      <c r="K3260"/>
      <c r="L3260"/>
      <c r="M3260" s="7"/>
      <c r="W3260"/>
    </row>
    <row r="3261" spans="11:23" x14ac:dyDescent="0.25">
      <c r="K3261"/>
      <c r="L3261"/>
      <c r="M3261" s="7"/>
      <c r="W3261"/>
    </row>
    <row r="3262" spans="11:23" x14ac:dyDescent="0.25">
      <c r="K3262"/>
      <c r="L3262"/>
      <c r="M3262" s="7"/>
      <c r="W3262"/>
    </row>
    <row r="3263" spans="11:23" x14ac:dyDescent="0.25">
      <c r="K3263"/>
      <c r="L3263"/>
      <c r="M3263" s="7"/>
      <c r="W3263"/>
    </row>
    <row r="3264" spans="11:23" x14ac:dyDescent="0.25">
      <c r="K3264"/>
      <c r="L3264"/>
      <c r="M3264" s="7"/>
      <c r="W3264"/>
    </row>
    <row r="3265" spans="11:23" x14ac:dyDescent="0.25">
      <c r="K3265"/>
      <c r="L3265"/>
      <c r="M3265" s="7"/>
      <c r="W3265"/>
    </row>
    <row r="3266" spans="11:23" x14ac:dyDescent="0.25">
      <c r="K3266"/>
      <c r="L3266"/>
      <c r="M3266" s="7"/>
      <c r="W3266"/>
    </row>
    <row r="3267" spans="11:23" x14ac:dyDescent="0.25">
      <c r="K3267"/>
      <c r="L3267"/>
      <c r="M3267" s="7"/>
      <c r="W3267"/>
    </row>
    <row r="3268" spans="11:23" x14ac:dyDescent="0.25">
      <c r="K3268"/>
      <c r="L3268"/>
      <c r="M3268" s="7"/>
      <c r="W3268"/>
    </row>
    <row r="3269" spans="11:23" x14ac:dyDescent="0.25">
      <c r="K3269"/>
      <c r="L3269"/>
      <c r="M3269" s="7"/>
      <c r="W3269"/>
    </row>
    <row r="3270" spans="11:23" x14ac:dyDescent="0.25">
      <c r="K3270"/>
      <c r="L3270"/>
      <c r="M3270" s="7"/>
      <c r="W3270"/>
    </row>
    <row r="3271" spans="11:23" x14ac:dyDescent="0.25">
      <c r="K3271"/>
      <c r="L3271"/>
      <c r="M3271" s="7"/>
      <c r="W3271"/>
    </row>
    <row r="3272" spans="11:23" x14ac:dyDescent="0.25">
      <c r="K3272"/>
      <c r="L3272"/>
      <c r="M3272" s="7"/>
      <c r="W3272"/>
    </row>
    <row r="3273" spans="11:23" x14ac:dyDescent="0.25">
      <c r="K3273"/>
      <c r="L3273"/>
      <c r="M3273" s="7"/>
      <c r="W3273"/>
    </row>
    <row r="3274" spans="11:23" x14ac:dyDescent="0.25">
      <c r="K3274"/>
      <c r="L3274"/>
      <c r="M3274" s="7"/>
      <c r="W3274"/>
    </row>
    <row r="3275" spans="11:23" x14ac:dyDescent="0.25">
      <c r="K3275"/>
      <c r="L3275"/>
      <c r="M3275" s="7"/>
      <c r="W3275"/>
    </row>
    <row r="3276" spans="11:23" x14ac:dyDescent="0.25">
      <c r="K3276"/>
      <c r="L3276"/>
      <c r="M3276" s="7"/>
      <c r="W3276"/>
    </row>
    <row r="3277" spans="11:23" x14ac:dyDescent="0.25">
      <c r="K3277"/>
      <c r="L3277"/>
      <c r="M3277" s="7"/>
      <c r="W3277"/>
    </row>
    <row r="3278" spans="11:23" x14ac:dyDescent="0.25">
      <c r="K3278"/>
      <c r="L3278"/>
      <c r="M3278" s="7"/>
      <c r="W3278"/>
    </row>
    <row r="3279" spans="11:23" x14ac:dyDescent="0.25">
      <c r="K3279"/>
      <c r="L3279"/>
      <c r="M3279" s="7"/>
      <c r="W3279"/>
    </row>
    <row r="3280" spans="11:23" x14ac:dyDescent="0.25">
      <c r="K3280"/>
      <c r="L3280"/>
      <c r="M3280" s="7"/>
      <c r="W3280"/>
    </row>
    <row r="3281" spans="11:23" x14ac:dyDescent="0.25">
      <c r="K3281"/>
      <c r="L3281"/>
      <c r="M3281" s="7"/>
      <c r="W3281"/>
    </row>
    <row r="3282" spans="11:23" x14ac:dyDescent="0.25">
      <c r="K3282"/>
      <c r="L3282"/>
      <c r="M3282" s="7"/>
      <c r="W3282"/>
    </row>
    <row r="3283" spans="11:23" x14ac:dyDescent="0.25">
      <c r="K3283"/>
      <c r="L3283"/>
      <c r="M3283" s="7"/>
      <c r="W3283"/>
    </row>
    <row r="3284" spans="11:23" x14ac:dyDescent="0.25">
      <c r="K3284"/>
      <c r="L3284"/>
      <c r="M3284" s="7"/>
      <c r="W3284"/>
    </row>
    <row r="3285" spans="11:23" x14ac:dyDescent="0.25">
      <c r="K3285"/>
      <c r="L3285"/>
      <c r="M3285" s="7"/>
      <c r="W3285"/>
    </row>
    <row r="3286" spans="11:23" x14ac:dyDescent="0.25">
      <c r="K3286"/>
      <c r="L3286"/>
      <c r="M3286" s="7"/>
      <c r="W3286"/>
    </row>
    <row r="3287" spans="11:23" x14ac:dyDescent="0.25">
      <c r="K3287"/>
      <c r="L3287"/>
      <c r="M3287" s="7"/>
      <c r="W3287"/>
    </row>
    <row r="3288" spans="11:23" x14ac:dyDescent="0.25">
      <c r="K3288"/>
      <c r="L3288"/>
      <c r="M3288" s="7"/>
      <c r="W3288"/>
    </row>
    <row r="3289" spans="11:23" x14ac:dyDescent="0.25">
      <c r="K3289"/>
      <c r="L3289"/>
      <c r="M3289" s="7"/>
      <c r="W3289"/>
    </row>
    <row r="3290" spans="11:23" x14ac:dyDescent="0.25">
      <c r="K3290"/>
      <c r="L3290"/>
      <c r="M3290" s="7"/>
      <c r="W3290"/>
    </row>
    <row r="3291" spans="11:23" x14ac:dyDescent="0.25">
      <c r="K3291"/>
      <c r="L3291"/>
      <c r="M3291" s="7"/>
      <c r="W3291"/>
    </row>
    <row r="3292" spans="11:23" x14ac:dyDescent="0.25">
      <c r="K3292"/>
      <c r="L3292"/>
      <c r="M3292" s="7"/>
      <c r="W3292"/>
    </row>
    <row r="3293" spans="11:23" x14ac:dyDescent="0.25">
      <c r="K3293"/>
      <c r="L3293"/>
      <c r="M3293" s="7"/>
      <c r="W3293"/>
    </row>
    <row r="3294" spans="11:23" x14ac:dyDescent="0.25">
      <c r="K3294"/>
      <c r="L3294"/>
      <c r="M3294" s="7"/>
      <c r="W3294"/>
    </row>
    <row r="3295" spans="11:23" x14ac:dyDescent="0.25">
      <c r="K3295"/>
      <c r="L3295"/>
      <c r="M3295" s="7"/>
      <c r="W3295"/>
    </row>
    <row r="3296" spans="11:23" x14ac:dyDescent="0.25">
      <c r="K3296"/>
      <c r="L3296"/>
      <c r="M3296" s="7"/>
      <c r="W3296"/>
    </row>
    <row r="3297" spans="11:23" x14ac:dyDescent="0.25">
      <c r="K3297"/>
      <c r="L3297"/>
      <c r="M3297" s="7"/>
      <c r="W3297"/>
    </row>
    <row r="3298" spans="11:23" x14ac:dyDescent="0.25">
      <c r="K3298"/>
      <c r="L3298"/>
      <c r="M3298" s="7"/>
      <c r="W3298"/>
    </row>
    <row r="3299" spans="11:23" x14ac:dyDescent="0.25">
      <c r="K3299"/>
      <c r="L3299"/>
      <c r="M3299" s="7"/>
      <c r="W3299"/>
    </row>
    <row r="3300" spans="11:23" x14ac:dyDescent="0.25">
      <c r="K3300"/>
      <c r="L3300"/>
      <c r="M3300" s="7"/>
      <c r="W3300"/>
    </row>
    <row r="3301" spans="11:23" x14ac:dyDescent="0.25">
      <c r="K3301"/>
      <c r="L3301"/>
      <c r="M3301" s="7"/>
      <c r="W3301"/>
    </row>
    <row r="3302" spans="11:23" x14ac:dyDescent="0.25">
      <c r="K3302"/>
      <c r="L3302"/>
      <c r="M3302" s="7"/>
      <c r="W3302"/>
    </row>
    <row r="3303" spans="11:23" x14ac:dyDescent="0.25">
      <c r="K3303"/>
      <c r="L3303"/>
      <c r="M3303" s="7"/>
      <c r="W3303"/>
    </row>
    <row r="3304" spans="11:23" x14ac:dyDescent="0.25">
      <c r="K3304"/>
      <c r="L3304"/>
      <c r="M3304" s="7"/>
      <c r="W3304"/>
    </row>
    <row r="3305" spans="11:23" x14ac:dyDescent="0.25">
      <c r="K3305"/>
      <c r="L3305"/>
      <c r="M3305" s="7"/>
      <c r="W3305"/>
    </row>
    <row r="3306" spans="11:23" x14ac:dyDescent="0.25">
      <c r="K3306"/>
      <c r="L3306"/>
      <c r="M3306" s="7"/>
      <c r="W3306"/>
    </row>
    <row r="3307" spans="11:23" x14ac:dyDescent="0.25">
      <c r="K3307"/>
      <c r="L3307"/>
      <c r="M3307" s="7"/>
      <c r="W3307"/>
    </row>
    <row r="3308" spans="11:23" x14ac:dyDescent="0.25">
      <c r="K3308"/>
      <c r="L3308"/>
      <c r="M3308" s="7"/>
      <c r="W3308"/>
    </row>
    <row r="3309" spans="11:23" x14ac:dyDescent="0.25">
      <c r="K3309"/>
      <c r="L3309"/>
      <c r="M3309" s="7"/>
      <c r="W3309"/>
    </row>
    <row r="3310" spans="11:23" x14ac:dyDescent="0.25">
      <c r="K3310"/>
      <c r="L3310"/>
      <c r="M3310" s="7"/>
      <c r="W3310"/>
    </row>
    <row r="3311" spans="11:23" x14ac:dyDescent="0.25">
      <c r="K3311"/>
      <c r="L3311"/>
      <c r="M3311" s="7"/>
      <c r="W3311"/>
    </row>
    <row r="3312" spans="11:23" x14ac:dyDescent="0.25">
      <c r="K3312"/>
      <c r="L3312"/>
      <c r="M3312" s="7"/>
      <c r="W3312"/>
    </row>
    <row r="3313" spans="11:23" x14ac:dyDescent="0.25">
      <c r="K3313"/>
      <c r="L3313"/>
      <c r="M3313" s="7"/>
      <c r="W3313"/>
    </row>
    <row r="3314" spans="11:23" x14ac:dyDescent="0.25">
      <c r="K3314"/>
      <c r="L3314"/>
      <c r="M3314" s="7"/>
      <c r="W3314"/>
    </row>
    <row r="3315" spans="11:23" x14ac:dyDescent="0.25">
      <c r="K3315"/>
      <c r="L3315"/>
      <c r="M3315" s="7"/>
      <c r="W3315"/>
    </row>
    <row r="3316" spans="11:23" x14ac:dyDescent="0.25">
      <c r="K3316"/>
      <c r="L3316"/>
      <c r="M3316" s="7"/>
      <c r="W3316"/>
    </row>
    <row r="3317" spans="11:23" x14ac:dyDescent="0.25">
      <c r="K3317"/>
      <c r="L3317"/>
      <c r="M3317" s="7"/>
      <c r="W3317"/>
    </row>
    <row r="3318" spans="11:23" x14ac:dyDescent="0.25">
      <c r="K3318"/>
      <c r="L3318"/>
      <c r="M3318" s="7"/>
      <c r="W3318"/>
    </row>
    <row r="3319" spans="11:23" x14ac:dyDescent="0.25">
      <c r="K3319"/>
      <c r="L3319"/>
      <c r="M3319" s="7"/>
      <c r="W3319"/>
    </row>
    <row r="3320" spans="11:23" x14ac:dyDescent="0.25">
      <c r="K3320"/>
      <c r="L3320"/>
      <c r="M3320" s="7"/>
      <c r="W3320"/>
    </row>
    <row r="3321" spans="11:23" x14ac:dyDescent="0.25">
      <c r="K3321"/>
      <c r="L3321"/>
      <c r="M3321" s="7"/>
      <c r="W3321"/>
    </row>
    <row r="3322" spans="11:23" x14ac:dyDescent="0.25">
      <c r="K3322"/>
      <c r="L3322"/>
      <c r="M3322" s="7"/>
      <c r="W3322"/>
    </row>
    <row r="3323" spans="11:23" x14ac:dyDescent="0.25">
      <c r="K3323"/>
      <c r="L3323"/>
      <c r="M3323" s="7"/>
      <c r="W3323"/>
    </row>
    <row r="3324" spans="11:23" x14ac:dyDescent="0.25">
      <c r="K3324"/>
      <c r="L3324"/>
      <c r="M3324" s="7"/>
      <c r="W3324"/>
    </row>
    <row r="3325" spans="11:23" x14ac:dyDescent="0.25">
      <c r="K3325"/>
      <c r="L3325"/>
      <c r="M3325" s="7"/>
      <c r="W3325"/>
    </row>
    <row r="3326" spans="11:23" x14ac:dyDescent="0.25">
      <c r="K3326"/>
      <c r="L3326"/>
      <c r="M3326" s="7"/>
      <c r="W3326"/>
    </row>
    <row r="3327" spans="11:23" x14ac:dyDescent="0.25">
      <c r="K3327"/>
      <c r="L3327"/>
      <c r="M3327" s="7"/>
      <c r="W3327"/>
    </row>
    <row r="3328" spans="11:23" x14ac:dyDescent="0.25">
      <c r="K3328"/>
      <c r="L3328"/>
      <c r="M3328" s="7"/>
      <c r="W3328"/>
    </row>
    <row r="3329" spans="11:23" x14ac:dyDescent="0.25">
      <c r="K3329"/>
      <c r="L3329"/>
      <c r="M3329" s="7"/>
      <c r="W3329"/>
    </row>
    <row r="3330" spans="11:23" x14ac:dyDescent="0.25">
      <c r="K3330"/>
      <c r="L3330"/>
      <c r="M3330" s="7"/>
      <c r="W3330"/>
    </row>
    <row r="3331" spans="11:23" x14ac:dyDescent="0.25">
      <c r="K3331"/>
      <c r="L3331"/>
      <c r="M3331" s="7"/>
      <c r="W3331"/>
    </row>
    <row r="3332" spans="11:23" x14ac:dyDescent="0.25">
      <c r="K3332"/>
      <c r="L3332"/>
      <c r="M3332" s="7"/>
      <c r="W3332"/>
    </row>
    <row r="3333" spans="11:23" x14ac:dyDescent="0.25">
      <c r="K3333"/>
      <c r="L3333"/>
      <c r="M3333" s="7"/>
      <c r="W3333"/>
    </row>
    <row r="3334" spans="11:23" x14ac:dyDescent="0.25">
      <c r="K3334"/>
      <c r="L3334"/>
      <c r="M3334" s="7"/>
      <c r="W3334"/>
    </row>
    <row r="3335" spans="11:23" x14ac:dyDescent="0.25">
      <c r="K3335"/>
      <c r="L3335"/>
      <c r="M3335" s="7"/>
      <c r="W3335"/>
    </row>
    <row r="3336" spans="11:23" x14ac:dyDescent="0.25">
      <c r="K3336"/>
      <c r="L3336"/>
      <c r="M3336" s="7"/>
      <c r="W3336"/>
    </row>
    <row r="3337" spans="11:23" x14ac:dyDescent="0.25">
      <c r="K3337"/>
      <c r="L3337"/>
      <c r="M3337" s="7"/>
      <c r="W3337"/>
    </row>
    <row r="3338" spans="11:23" x14ac:dyDescent="0.25">
      <c r="K3338"/>
      <c r="L3338"/>
      <c r="M3338" s="7"/>
      <c r="W3338"/>
    </row>
    <row r="3339" spans="11:23" x14ac:dyDescent="0.25">
      <c r="K3339"/>
      <c r="L3339"/>
      <c r="M3339" s="7"/>
      <c r="W3339"/>
    </row>
    <row r="3340" spans="11:23" x14ac:dyDescent="0.25">
      <c r="K3340"/>
      <c r="L3340"/>
      <c r="M3340" s="7"/>
      <c r="W3340"/>
    </row>
    <row r="3341" spans="11:23" x14ac:dyDescent="0.25">
      <c r="K3341"/>
      <c r="L3341"/>
      <c r="M3341" s="7"/>
      <c r="W3341"/>
    </row>
    <row r="3342" spans="11:23" x14ac:dyDescent="0.25">
      <c r="K3342"/>
      <c r="L3342"/>
      <c r="M3342" s="7"/>
      <c r="W3342"/>
    </row>
    <row r="3343" spans="11:23" x14ac:dyDescent="0.25">
      <c r="K3343"/>
      <c r="L3343"/>
      <c r="M3343" s="7"/>
      <c r="W3343"/>
    </row>
    <row r="3344" spans="11:23" x14ac:dyDescent="0.25">
      <c r="K3344"/>
      <c r="L3344"/>
      <c r="M3344" s="7"/>
      <c r="W3344"/>
    </row>
    <row r="3345" spans="11:23" x14ac:dyDescent="0.25">
      <c r="K3345"/>
      <c r="L3345"/>
      <c r="M3345" s="7"/>
      <c r="W3345"/>
    </row>
    <row r="3346" spans="11:23" x14ac:dyDescent="0.25">
      <c r="K3346"/>
      <c r="L3346"/>
      <c r="M3346" s="7"/>
      <c r="W3346"/>
    </row>
    <row r="3347" spans="11:23" x14ac:dyDescent="0.25">
      <c r="K3347"/>
      <c r="L3347"/>
      <c r="M3347" s="7"/>
      <c r="W3347"/>
    </row>
    <row r="3348" spans="11:23" x14ac:dyDescent="0.25">
      <c r="K3348"/>
      <c r="L3348"/>
      <c r="M3348" s="7"/>
      <c r="W3348"/>
    </row>
    <row r="3349" spans="11:23" x14ac:dyDescent="0.25">
      <c r="K3349"/>
      <c r="L3349"/>
      <c r="M3349" s="7"/>
      <c r="W3349"/>
    </row>
    <row r="3350" spans="11:23" x14ac:dyDescent="0.25">
      <c r="K3350"/>
      <c r="L3350"/>
      <c r="M3350" s="7"/>
      <c r="W3350"/>
    </row>
    <row r="3351" spans="11:23" x14ac:dyDescent="0.25">
      <c r="K3351"/>
      <c r="L3351"/>
      <c r="M3351" s="7"/>
      <c r="W3351"/>
    </row>
    <row r="3352" spans="11:23" x14ac:dyDescent="0.25">
      <c r="K3352"/>
      <c r="L3352"/>
      <c r="M3352" s="7"/>
      <c r="W3352"/>
    </row>
    <row r="3353" spans="11:23" x14ac:dyDescent="0.25">
      <c r="K3353"/>
      <c r="L3353"/>
      <c r="M3353" s="7"/>
      <c r="W3353"/>
    </row>
    <row r="3354" spans="11:23" x14ac:dyDescent="0.25">
      <c r="K3354"/>
      <c r="L3354"/>
      <c r="M3354" s="7"/>
      <c r="W3354"/>
    </row>
    <row r="3355" spans="11:23" x14ac:dyDescent="0.25">
      <c r="K3355"/>
      <c r="L3355"/>
      <c r="M3355" s="7"/>
      <c r="W3355"/>
    </row>
    <row r="3356" spans="11:23" x14ac:dyDescent="0.25">
      <c r="K3356"/>
      <c r="L3356"/>
      <c r="M3356" s="7"/>
      <c r="W3356"/>
    </row>
    <row r="3357" spans="11:23" x14ac:dyDescent="0.25">
      <c r="K3357"/>
      <c r="L3357"/>
      <c r="M3357" s="7"/>
      <c r="W3357"/>
    </row>
    <row r="3358" spans="11:23" x14ac:dyDescent="0.25">
      <c r="K3358"/>
      <c r="L3358"/>
      <c r="M3358" s="7"/>
      <c r="W3358"/>
    </row>
    <row r="3359" spans="11:23" x14ac:dyDescent="0.25">
      <c r="K3359"/>
      <c r="L3359"/>
      <c r="M3359" s="7"/>
      <c r="W3359"/>
    </row>
    <row r="3360" spans="11:23" x14ac:dyDescent="0.25">
      <c r="K3360"/>
      <c r="L3360"/>
      <c r="M3360" s="7"/>
      <c r="W3360"/>
    </row>
    <row r="3361" spans="11:23" x14ac:dyDescent="0.25">
      <c r="K3361"/>
      <c r="L3361"/>
      <c r="M3361" s="7"/>
      <c r="W3361"/>
    </row>
    <row r="3362" spans="11:23" x14ac:dyDescent="0.25">
      <c r="K3362"/>
      <c r="L3362"/>
      <c r="M3362" s="7"/>
      <c r="W3362"/>
    </row>
    <row r="3363" spans="11:23" x14ac:dyDescent="0.25">
      <c r="K3363"/>
      <c r="L3363"/>
      <c r="M3363" s="7"/>
      <c r="W3363"/>
    </row>
    <row r="3364" spans="11:23" x14ac:dyDescent="0.25">
      <c r="K3364"/>
      <c r="L3364"/>
      <c r="M3364" s="7"/>
      <c r="W3364"/>
    </row>
    <row r="3365" spans="11:23" x14ac:dyDescent="0.25">
      <c r="K3365"/>
      <c r="L3365"/>
      <c r="M3365" s="7"/>
      <c r="W3365"/>
    </row>
    <row r="3366" spans="11:23" x14ac:dyDescent="0.25">
      <c r="K3366"/>
      <c r="L3366"/>
      <c r="M3366" s="7"/>
      <c r="W3366"/>
    </row>
    <row r="3367" spans="11:23" x14ac:dyDescent="0.25">
      <c r="K3367"/>
      <c r="L3367"/>
      <c r="M3367" s="7"/>
      <c r="W3367"/>
    </row>
    <row r="3368" spans="11:23" x14ac:dyDescent="0.25">
      <c r="K3368"/>
      <c r="L3368"/>
      <c r="M3368" s="7"/>
      <c r="W3368"/>
    </row>
    <row r="3369" spans="11:23" x14ac:dyDescent="0.25">
      <c r="K3369"/>
      <c r="L3369"/>
      <c r="M3369" s="7"/>
      <c r="W3369"/>
    </row>
    <row r="3370" spans="11:23" x14ac:dyDescent="0.25">
      <c r="K3370"/>
      <c r="L3370"/>
      <c r="M3370" s="7"/>
      <c r="W3370"/>
    </row>
    <row r="3371" spans="11:23" x14ac:dyDescent="0.25">
      <c r="K3371"/>
      <c r="L3371"/>
      <c r="M3371" s="7"/>
      <c r="W3371"/>
    </row>
    <row r="3372" spans="11:23" x14ac:dyDescent="0.25">
      <c r="K3372"/>
      <c r="L3372"/>
      <c r="M3372" s="7"/>
      <c r="W3372"/>
    </row>
    <row r="3373" spans="11:23" x14ac:dyDescent="0.25">
      <c r="K3373"/>
      <c r="L3373"/>
      <c r="M3373" s="7"/>
      <c r="W3373"/>
    </row>
    <row r="3374" spans="11:23" x14ac:dyDescent="0.25">
      <c r="K3374"/>
      <c r="L3374"/>
      <c r="M3374" s="7"/>
      <c r="W3374"/>
    </row>
    <row r="3375" spans="11:23" x14ac:dyDescent="0.25">
      <c r="K3375"/>
      <c r="L3375"/>
      <c r="M3375" s="7"/>
      <c r="W3375"/>
    </row>
    <row r="3376" spans="11:23" x14ac:dyDescent="0.25">
      <c r="K3376"/>
      <c r="L3376"/>
      <c r="M3376" s="7"/>
      <c r="W3376"/>
    </row>
    <row r="3377" spans="11:23" x14ac:dyDescent="0.25">
      <c r="K3377"/>
      <c r="L3377"/>
      <c r="M3377" s="7"/>
      <c r="W3377"/>
    </row>
    <row r="3378" spans="11:23" x14ac:dyDescent="0.25">
      <c r="K3378"/>
      <c r="L3378"/>
      <c r="M3378" s="7"/>
      <c r="W3378"/>
    </row>
    <row r="3379" spans="11:23" x14ac:dyDescent="0.25">
      <c r="K3379"/>
      <c r="L3379"/>
      <c r="M3379" s="7"/>
      <c r="W3379"/>
    </row>
    <row r="3380" spans="11:23" x14ac:dyDescent="0.25">
      <c r="K3380"/>
      <c r="L3380"/>
      <c r="M3380" s="7"/>
      <c r="W3380"/>
    </row>
    <row r="3381" spans="11:23" x14ac:dyDescent="0.25">
      <c r="K3381"/>
      <c r="L3381"/>
      <c r="M3381" s="7"/>
      <c r="W3381"/>
    </row>
    <row r="3382" spans="11:23" x14ac:dyDescent="0.25">
      <c r="K3382"/>
      <c r="L3382"/>
      <c r="M3382" s="7"/>
      <c r="W3382"/>
    </row>
    <row r="3383" spans="11:23" x14ac:dyDescent="0.25">
      <c r="K3383"/>
      <c r="L3383"/>
      <c r="M3383" s="7"/>
      <c r="W3383"/>
    </row>
    <row r="3384" spans="11:23" x14ac:dyDescent="0.25">
      <c r="K3384"/>
      <c r="L3384"/>
      <c r="M3384" s="7"/>
      <c r="W3384"/>
    </row>
    <row r="3385" spans="11:23" x14ac:dyDescent="0.25">
      <c r="K3385"/>
      <c r="L3385"/>
      <c r="M3385" s="7"/>
      <c r="W3385"/>
    </row>
    <row r="3386" spans="11:23" x14ac:dyDescent="0.25">
      <c r="K3386"/>
      <c r="L3386"/>
      <c r="M3386" s="7"/>
      <c r="W3386"/>
    </row>
    <row r="3387" spans="11:23" x14ac:dyDescent="0.25">
      <c r="K3387"/>
      <c r="L3387"/>
      <c r="M3387" s="7"/>
      <c r="W3387"/>
    </row>
    <row r="3388" spans="11:23" x14ac:dyDescent="0.25">
      <c r="K3388"/>
      <c r="L3388"/>
      <c r="M3388" s="7"/>
      <c r="W3388"/>
    </row>
    <row r="3389" spans="11:23" x14ac:dyDescent="0.25">
      <c r="K3389"/>
      <c r="L3389"/>
      <c r="M3389" s="7"/>
      <c r="W3389"/>
    </row>
    <row r="3390" spans="11:23" x14ac:dyDescent="0.25">
      <c r="K3390"/>
      <c r="L3390"/>
      <c r="M3390" s="7"/>
      <c r="W3390"/>
    </row>
    <row r="3391" spans="11:23" x14ac:dyDescent="0.25">
      <c r="K3391"/>
      <c r="L3391"/>
      <c r="M3391" s="7"/>
      <c r="W3391"/>
    </row>
    <row r="3392" spans="11:23" x14ac:dyDescent="0.25">
      <c r="K3392"/>
      <c r="L3392"/>
      <c r="M3392" s="7"/>
      <c r="W3392"/>
    </row>
    <row r="3393" spans="11:23" x14ac:dyDescent="0.25">
      <c r="K3393"/>
      <c r="L3393"/>
      <c r="M3393" s="7"/>
      <c r="W3393"/>
    </row>
    <row r="3394" spans="11:23" x14ac:dyDescent="0.25">
      <c r="K3394"/>
      <c r="L3394"/>
      <c r="M3394" s="7"/>
      <c r="W3394"/>
    </row>
    <row r="3395" spans="11:23" x14ac:dyDescent="0.25">
      <c r="K3395"/>
      <c r="L3395"/>
      <c r="M3395" s="7"/>
      <c r="W3395"/>
    </row>
    <row r="3396" spans="11:23" x14ac:dyDescent="0.25">
      <c r="K3396"/>
      <c r="L3396"/>
      <c r="M3396" s="7"/>
      <c r="W3396"/>
    </row>
    <row r="3397" spans="11:23" x14ac:dyDescent="0.25">
      <c r="K3397"/>
      <c r="L3397"/>
      <c r="M3397" s="7"/>
      <c r="W3397"/>
    </row>
    <row r="3398" spans="11:23" x14ac:dyDescent="0.25">
      <c r="K3398"/>
      <c r="L3398"/>
      <c r="M3398" s="7"/>
      <c r="W3398"/>
    </row>
    <row r="3399" spans="11:23" x14ac:dyDescent="0.25">
      <c r="K3399"/>
      <c r="L3399"/>
      <c r="M3399" s="7"/>
      <c r="W3399"/>
    </row>
    <row r="3400" spans="11:23" x14ac:dyDescent="0.25">
      <c r="K3400"/>
      <c r="L3400"/>
      <c r="M3400" s="7"/>
      <c r="W3400"/>
    </row>
    <row r="3401" spans="11:23" x14ac:dyDescent="0.25">
      <c r="K3401"/>
      <c r="L3401"/>
      <c r="M3401" s="7"/>
      <c r="W3401"/>
    </row>
    <row r="3402" spans="11:23" x14ac:dyDescent="0.25">
      <c r="K3402"/>
      <c r="L3402"/>
      <c r="M3402" s="7"/>
      <c r="W3402"/>
    </row>
    <row r="3403" spans="11:23" x14ac:dyDescent="0.25">
      <c r="K3403"/>
      <c r="L3403"/>
      <c r="M3403" s="7"/>
      <c r="W3403"/>
    </row>
    <row r="3404" spans="11:23" x14ac:dyDescent="0.25">
      <c r="K3404"/>
      <c r="L3404"/>
      <c r="M3404" s="7"/>
      <c r="W3404"/>
    </row>
    <row r="3405" spans="11:23" x14ac:dyDescent="0.25">
      <c r="K3405"/>
      <c r="L3405"/>
      <c r="M3405" s="7"/>
      <c r="W3405"/>
    </row>
    <row r="3406" spans="11:23" x14ac:dyDescent="0.25">
      <c r="K3406"/>
      <c r="L3406"/>
      <c r="M3406" s="7"/>
      <c r="W3406"/>
    </row>
    <row r="3407" spans="11:23" x14ac:dyDescent="0.25">
      <c r="K3407"/>
      <c r="L3407"/>
      <c r="M3407" s="7"/>
      <c r="W3407"/>
    </row>
    <row r="3408" spans="11:23" x14ac:dyDescent="0.25">
      <c r="K3408"/>
      <c r="L3408"/>
      <c r="M3408" s="7"/>
      <c r="W3408"/>
    </row>
    <row r="3409" spans="11:23" x14ac:dyDescent="0.25">
      <c r="K3409"/>
      <c r="L3409"/>
      <c r="M3409" s="7"/>
      <c r="W3409"/>
    </row>
    <row r="3410" spans="11:23" x14ac:dyDescent="0.25">
      <c r="K3410"/>
      <c r="L3410"/>
      <c r="M3410" s="7"/>
      <c r="W3410"/>
    </row>
    <row r="3411" spans="11:23" x14ac:dyDescent="0.25">
      <c r="K3411"/>
      <c r="L3411"/>
      <c r="M3411" s="7"/>
      <c r="W3411"/>
    </row>
    <row r="3412" spans="11:23" x14ac:dyDescent="0.25">
      <c r="K3412"/>
      <c r="L3412"/>
      <c r="M3412" s="7"/>
      <c r="W3412"/>
    </row>
    <row r="3413" spans="11:23" x14ac:dyDescent="0.25">
      <c r="K3413"/>
      <c r="L3413"/>
      <c r="M3413" s="7"/>
      <c r="W3413"/>
    </row>
    <row r="3414" spans="11:23" x14ac:dyDescent="0.25">
      <c r="K3414"/>
      <c r="L3414"/>
      <c r="M3414" s="7"/>
      <c r="W3414"/>
    </row>
    <row r="3415" spans="11:23" x14ac:dyDescent="0.25">
      <c r="K3415"/>
      <c r="L3415"/>
      <c r="M3415" s="7"/>
      <c r="W3415"/>
    </row>
    <row r="3416" spans="11:23" x14ac:dyDescent="0.25">
      <c r="K3416"/>
      <c r="L3416"/>
      <c r="M3416" s="7"/>
      <c r="W3416"/>
    </row>
    <row r="3417" spans="11:23" x14ac:dyDescent="0.25">
      <c r="K3417"/>
      <c r="L3417"/>
      <c r="M3417" s="7"/>
      <c r="W3417"/>
    </row>
    <row r="3418" spans="11:23" x14ac:dyDescent="0.25">
      <c r="K3418"/>
      <c r="L3418"/>
      <c r="M3418" s="7"/>
      <c r="W3418"/>
    </row>
    <row r="3419" spans="11:23" x14ac:dyDescent="0.25">
      <c r="K3419"/>
      <c r="L3419"/>
      <c r="M3419" s="7"/>
      <c r="W3419"/>
    </row>
    <row r="3420" spans="11:23" x14ac:dyDescent="0.25">
      <c r="K3420"/>
      <c r="L3420"/>
      <c r="M3420" s="7"/>
      <c r="W3420"/>
    </row>
    <row r="3421" spans="11:23" x14ac:dyDescent="0.25">
      <c r="K3421"/>
      <c r="L3421"/>
      <c r="M3421" s="7"/>
      <c r="W3421"/>
    </row>
    <row r="3422" spans="11:23" x14ac:dyDescent="0.25">
      <c r="K3422"/>
      <c r="L3422"/>
      <c r="M3422" s="7"/>
      <c r="W3422"/>
    </row>
    <row r="3423" spans="11:23" x14ac:dyDescent="0.25">
      <c r="K3423"/>
      <c r="L3423"/>
      <c r="M3423" s="7"/>
      <c r="W3423"/>
    </row>
    <row r="3424" spans="11:23" x14ac:dyDescent="0.25">
      <c r="K3424"/>
      <c r="L3424"/>
      <c r="M3424" s="7"/>
      <c r="W3424"/>
    </row>
    <row r="3425" spans="11:23" x14ac:dyDescent="0.25">
      <c r="K3425"/>
      <c r="L3425"/>
      <c r="M3425" s="7"/>
      <c r="W3425"/>
    </row>
    <row r="3426" spans="11:23" x14ac:dyDescent="0.25">
      <c r="K3426"/>
      <c r="L3426"/>
      <c r="M3426" s="7"/>
      <c r="W3426"/>
    </row>
    <row r="3427" spans="11:23" x14ac:dyDescent="0.25">
      <c r="K3427"/>
      <c r="L3427"/>
      <c r="M3427" s="7"/>
      <c r="W3427"/>
    </row>
    <row r="3428" spans="11:23" x14ac:dyDescent="0.25">
      <c r="K3428"/>
      <c r="L3428"/>
      <c r="M3428" s="7"/>
      <c r="W3428"/>
    </row>
    <row r="3429" spans="11:23" x14ac:dyDescent="0.25">
      <c r="K3429"/>
      <c r="L3429"/>
      <c r="M3429" s="7"/>
      <c r="W3429"/>
    </row>
    <row r="3430" spans="11:23" x14ac:dyDescent="0.25">
      <c r="K3430"/>
      <c r="L3430"/>
      <c r="M3430" s="7"/>
      <c r="W3430"/>
    </row>
    <row r="3431" spans="11:23" x14ac:dyDescent="0.25">
      <c r="K3431"/>
      <c r="L3431"/>
      <c r="M3431" s="7"/>
      <c r="W3431"/>
    </row>
    <row r="3432" spans="11:23" x14ac:dyDescent="0.25">
      <c r="K3432"/>
      <c r="L3432"/>
      <c r="M3432" s="7"/>
      <c r="W3432"/>
    </row>
    <row r="3433" spans="11:23" x14ac:dyDescent="0.25">
      <c r="K3433"/>
      <c r="L3433"/>
      <c r="M3433" s="7"/>
      <c r="W3433"/>
    </row>
    <row r="3434" spans="11:23" x14ac:dyDescent="0.25">
      <c r="K3434"/>
      <c r="L3434"/>
      <c r="M3434" s="7"/>
      <c r="W3434"/>
    </row>
    <row r="3435" spans="11:23" x14ac:dyDescent="0.25">
      <c r="K3435"/>
      <c r="L3435"/>
      <c r="M3435" s="7"/>
      <c r="W3435"/>
    </row>
    <row r="3436" spans="11:23" x14ac:dyDescent="0.25">
      <c r="K3436"/>
      <c r="L3436"/>
      <c r="M3436" s="7"/>
      <c r="W3436"/>
    </row>
    <row r="3437" spans="11:23" x14ac:dyDescent="0.25">
      <c r="K3437"/>
      <c r="L3437"/>
      <c r="M3437" s="7"/>
      <c r="W3437"/>
    </row>
    <row r="3438" spans="11:23" x14ac:dyDescent="0.25">
      <c r="K3438"/>
      <c r="L3438"/>
      <c r="M3438" s="7"/>
      <c r="W3438"/>
    </row>
    <row r="3439" spans="11:23" x14ac:dyDescent="0.25">
      <c r="K3439"/>
      <c r="L3439"/>
      <c r="M3439" s="7"/>
      <c r="W3439"/>
    </row>
    <row r="3440" spans="11:23" x14ac:dyDescent="0.25">
      <c r="K3440"/>
      <c r="L3440"/>
      <c r="M3440" s="7"/>
      <c r="W3440"/>
    </row>
    <row r="3441" spans="11:23" x14ac:dyDescent="0.25">
      <c r="K3441"/>
      <c r="L3441"/>
      <c r="M3441" s="7"/>
      <c r="W3441"/>
    </row>
    <row r="3442" spans="11:23" x14ac:dyDescent="0.25">
      <c r="K3442"/>
      <c r="L3442"/>
      <c r="M3442" s="7"/>
      <c r="W3442"/>
    </row>
    <row r="3443" spans="11:23" x14ac:dyDescent="0.25">
      <c r="K3443"/>
      <c r="L3443"/>
      <c r="M3443" s="7"/>
      <c r="W3443"/>
    </row>
    <row r="3444" spans="11:23" x14ac:dyDescent="0.25">
      <c r="K3444"/>
      <c r="L3444"/>
      <c r="M3444" s="7"/>
      <c r="W3444"/>
    </row>
    <row r="3445" spans="11:23" x14ac:dyDescent="0.25">
      <c r="K3445"/>
      <c r="L3445"/>
      <c r="M3445" s="7"/>
      <c r="W3445"/>
    </row>
    <row r="3446" spans="11:23" x14ac:dyDescent="0.25">
      <c r="K3446"/>
      <c r="L3446"/>
      <c r="M3446" s="7"/>
      <c r="W3446"/>
    </row>
    <row r="3447" spans="11:23" x14ac:dyDescent="0.25">
      <c r="K3447"/>
      <c r="L3447"/>
      <c r="M3447" s="7"/>
      <c r="W3447"/>
    </row>
    <row r="3448" spans="11:23" x14ac:dyDescent="0.25">
      <c r="K3448"/>
      <c r="L3448"/>
      <c r="M3448" s="7"/>
      <c r="W3448"/>
    </row>
    <row r="3449" spans="11:23" x14ac:dyDescent="0.25">
      <c r="K3449"/>
      <c r="L3449"/>
      <c r="M3449" s="7"/>
      <c r="W3449"/>
    </row>
    <row r="3450" spans="11:23" x14ac:dyDescent="0.25">
      <c r="K3450"/>
      <c r="L3450"/>
      <c r="M3450" s="7"/>
      <c r="W3450"/>
    </row>
    <row r="3451" spans="11:23" x14ac:dyDescent="0.25">
      <c r="K3451"/>
      <c r="L3451"/>
      <c r="M3451" s="7"/>
      <c r="W3451"/>
    </row>
    <row r="3452" spans="11:23" x14ac:dyDescent="0.25">
      <c r="K3452"/>
      <c r="L3452"/>
      <c r="M3452" s="7"/>
      <c r="W3452"/>
    </row>
    <row r="3453" spans="11:23" x14ac:dyDescent="0.25">
      <c r="K3453"/>
      <c r="L3453"/>
      <c r="M3453" s="7"/>
      <c r="W3453"/>
    </row>
    <row r="3454" spans="11:23" x14ac:dyDescent="0.25">
      <c r="K3454"/>
      <c r="L3454"/>
      <c r="M3454" s="7"/>
      <c r="W3454"/>
    </row>
    <row r="3455" spans="11:23" x14ac:dyDescent="0.25">
      <c r="K3455"/>
      <c r="L3455"/>
      <c r="M3455" s="7"/>
      <c r="W3455"/>
    </row>
    <row r="3456" spans="11:23" x14ac:dyDescent="0.25">
      <c r="K3456"/>
      <c r="L3456"/>
      <c r="M3456" s="7"/>
      <c r="W3456"/>
    </row>
    <row r="3457" spans="11:23" x14ac:dyDescent="0.25">
      <c r="K3457"/>
      <c r="L3457"/>
      <c r="M3457" s="7"/>
      <c r="W3457"/>
    </row>
    <row r="3458" spans="11:23" x14ac:dyDescent="0.25">
      <c r="K3458"/>
      <c r="L3458"/>
      <c r="M3458" s="7"/>
      <c r="W3458"/>
    </row>
    <row r="3459" spans="11:23" x14ac:dyDescent="0.25">
      <c r="K3459"/>
      <c r="L3459"/>
      <c r="M3459" s="7"/>
      <c r="W3459"/>
    </row>
    <row r="3460" spans="11:23" x14ac:dyDescent="0.25">
      <c r="K3460"/>
      <c r="L3460"/>
      <c r="M3460" s="7"/>
      <c r="W3460"/>
    </row>
    <row r="3461" spans="11:23" x14ac:dyDescent="0.25">
      <c r="K3461"/>
      <c r="L3461"/>
      <c r="M3461" s="7"/>
      <c r="W3461"/>
    </row>
    <row r="3462" spans="11:23" x14ac:dyDescent="0.25">
      <c r="K3462"/>
      <c r="L3462"/>
      <c r="M3462" s="7"/>
      <c r="W3462"/>
    </row>
    <row r="3463" spans="11:23" x14ac:dyDescent="0.25">
      <c r="K3463"/>
      <c r="L3463"/>
      <c r="M3463" s="7"/>
      <c r="W3463"/>
    </row>
    <row r="3464" spans="11:23" x14ac:dyDescent="0.25">
      <c r="K3464"/>
      <c r="L3464"/>
      <c r="M3464" s="7"/>
      <c r="W3464"/>
    </row>
    <row r="3465" spans="11:23" x14ac:dyDescent="0.25">
      <c r="K3465"/>
      <c r="L3465"/>
      <c r="M3465" s="7"/>
      <c r="W3465"/>
    </row>
    <row r="3466" spans="11:23" x14ac:dyDescent="0.25">
      <c r="K3466"/>
      <c r="L3466"/>
      <c r="M3466" s="7"/>
      <c r="W3466"/>
    </row>
    <row r="3467" spans="11:23" x14ac:dyDescent="0.25">
      <c r="K3467"/>
      <c r="L3467"/>
      <c r="M3467" s="7"/>
      <c r="W3467"/>
    </row>
    <row r="3468" spans="11:23" x14ac:dyDescent="0.25">
      <c r="K3468"/>
      <c r="L3468"/>
      <c r="M3468" s="7"/>
      <c r="W3468"/>
    </row>
    <row r="3469" spans="11:23" x14ac:dyDescent="0.25">
      <c r="K3469"/>
      <c r="L3469"/>
      <c r="M3469" s="7"/>
      <c r="W3469"/>
    </row>
    <row r="3470" spans="11:23" x14ac:dyDescent="0.25">
      <c r="K3470"/>
      <c r="L3470"/>
      <c r="M3470" s="7"/>
      <c r="W3470"/>
    </row>
    <row r="3471" spans="11:23" x14ac:dyDescent="0.25">
      <c r="K3471"/>
      <c r="L3471"/>
      <c r="M3471" s="7"/>
      <c r="W3471"/>
    </row>
    <row r="3472" spans="11:23" x14ac:dyDescent="0.25">
      <c r="K3472"/>
      <c r="L3472"/>
      <c r="M3472" s="7"/>
      <c r="W3472"/>
    </row>
    <row r="3473" spans="11:23" x14ac:dyDescent="0.25">
      <c r="K3473"/>
      <c r="L3473"/>
      <c r="M3473" s="7"/>
      <c r="W3473"/>
    </row>
    <row r="3474" spans="11:23" x14ac:dyDescent="0.25">
      <c r="K3474"/>
      <c r="L3474"/>
      <c r="M3474" s="7"/>
      <c r="W3474"/>
    </row>
    <row r="3475" spans="11:23" x14ac:dyDescent="0.25">
      <c r="K3475"/>
      <c r="L3475"/>
      <c r="M3475" s="7"/>
      <c r="W3475"/>
    </row>
    <row r="3476" spans="11:23" x14ac:dyDescent="0.25">
      <c r="K3476"/>
      <c r="L3476"/>
      <c r="M3476" s="7"/>
      <c r="W3476"/>
    </row>
    <row r="3477" spans="11:23" x14ac:dyDescent="0.25">
      <c r="K3477"/>
      <c r="L3477"/>
      <c r="M3477" s="7"/>
      <c r="W3477"/>
    </row>
    <row r="3478" spans="11:23" x14ac:dyDescent="0.25">
      <c r="K3478"/>
      <c r="L3478"/>
      <c r="M3478" s="7"/>
      <c r="W3478"/>
    </row>
    <row r="3479" spans="11:23" x14ac:dyDescent="0.25">
      <c r="K3479"/>
      <c r="L3479"/>
      <c r="M3479" s="7"/>
      <c r="W3479"/>
    </row>
    <row r="3480" spans="11:23" x14ac:dyDescent="0.25">
      <c r="K3480"/>
      <c r="L3480"/>
      <c r="M3480" s="7"/>
      <c r="W3480"/>
    </row>
    <row r="3481" spans="11:23" x14ac:dyDescent="0.25">
      <c r="K3481"/>
      <c r="L3481"/>
      <c r="M3481" s="7"/>
      <c r="W3481"/>
    </row>
    <row r="3482" spans="11:23" x14ac:dyDescent="0.25">
      <c r="K3482"/>
      <c r="L3482"/>
      <c r="M3482" s="7"/>
      <c r="W3482"/>
    </row>
    <row r="3483" spans="11:23" x14ac:dyDescent="0.25">
      <c r="K3483"/>
      <c r="L3483"/>
      <c r="M3483" s="7"/>
      <c r="W3483"/>
    </row>
    <row r="3484" spans="11:23" x14ac:dyDescent="0.25">
      <c r="K3484"/>
      <c r="L3484"/>
      <c r="M3484" s="7"/>
      <c r="W3484"/>
    </row>
    <row r="3485" spans="11:23" x14ac:dyDescent="0.25">
      <c r="K3485"/>
      <c r="L3485"/>
      <c r="M3485" s="7"/>
      <c r="W3485"/>
    </row>
    <row r="3486" spans="11:23" x14ac:dyDescent="0.25">
      <c r="K3486"/>
      <c r="L3486"/>
      <c r="M3486" s="7"/>
      <c r="W3486"/>
    </row>
    <row r="3487" spans="11:23" x14ac:dyDescent="0.25">
      <c r="K3487"/>
      <c r="L3487"/>
      <c r="M3487" s="7"/>
      <c r="W3487"/>
    </row>
    <row r="3488" spans="11:23" x14ac:dyDescent="0.25">
      <c r="K3488"/>
      <c r="L3488"/>
      <c r="M3488" s="7"/>
      <c r="W3488"/>
    </row>
    <row r="3489" spans="11:23" x14ac:dyDescent="0.25">
      <c r="K3489"/>
      <c r="L3489"/>
      <c r="M3489" s="7"/>
      <c r="W3489"/>
    </row>
    <row r="3490" spans="11:23" x14ac:dyDescent="0.25">
      <c r="K3490"/>
      <c r="L3490"/>
      <c r="M3490" s="7"/>
      <c r="W3490"/>
    </row>
    <row r="3491" spans="11:23" x14ac:dyDescent="0.25">
      <c r="K3491"/>
      <c r="L3491"/>
      <c r="M3491" s="7"/>
      <c r="W3491"/>
    </row>
    <row r="3492" spans="11:23" x14ac:dyDescent="0.25">
      <c r="K3492"/>
      <c r="L3492"/>
      <c r="M3492" s="7"/>
      <c r="W3492"/>
    </row>
    <row r="3493" spans="11:23" x14ac:dyDescent="0.25">
      <c r="K3493"/>
      <c r="L3493"/>
      <c r="M3493" s="7"/>
      <c r="W3493"/>
    </row>
    <row r="3494" spans="11:23" x14ac:dyDescent="0.25">
      <c r="K3494"/>
      <c r="L3494"/>
      <c r="M3494" s="7"/>
      <c r="W3494"/>
    </row>
    <row r="3495" spans="11:23" x14ac:dyDescent="0.25">
      <c r="K3495"/>
      <c r="L3495"/>
      <c r="M3495" s="7"/>
      <c r="W3495"/>
    </row>
    <row r="3496" spans="11:23" x14ac:dyDescent="0.25">
      <c r="K3496"/>
      <c r="L3496"/>
      <c r="M3496" s="7"/>
      <c r="W3496"/>
    </row>
    <row r="3497" spans="11:23" x14ac:dyDescent="0.25">
      <c r="K3497"/>
      <c r="L3497"/>
      <c r="M3497" s="7"/>
      <c r="W3497"/>
    </row>
    <row r="3498" spans="11:23" x14ac:dyDescent="0.25">
      <c r="K3498"/>
      <c r="L3498"/>
      <c r="M3498" s="7"/>
      <c r="W3498"/>
    </row>
    <row r="3499" spans="11:23" x14ac:dyDescent="0.25">
      <c r="K3499"/>
      <c r="L3499"/>
      <c r="M3499" s="7"/>
      <c r="W3499"/>
    </row>
    <row r="3500" spans="11:23" x14ac:dyDescent="0.25">
      <c r="K3500"/>
      <c r="L3500"/>
      <c r="M3500" s="7"/>
      <c r="W3500"/>
    </row>
    <row r="3501" spans="11:23" x14ac:dyDescent="0.25">
      <c r="K3501"/>
      <c r="L3501"/>
      <c r="M3501" s="7"/>
      <c r="W3501"/>
    </row>
    <row r="3502" spans="11:23" x14ac:dyDescent="0.25">
      <c r="K3502"/>
      <c r="L3502"/>
      <c r="M3502" s="7"/>
      <c r="W3502"/>
    </row>
    <row r="3503" spans="11:23" x14ac:dyDescent="0.25">
      <c r="K3503"/>
      <c r="L3503"/>
      <c r="M3503" s="7"/>
      <c r="W3503"/>
    </row>
    <row r="3504" spans="11:23" x14ac:dyDescent="0.25">
      <c r="K3504"/>
      <c r="L3504"/>
      <c r="M3504" s="7"/>
      <c r="W3504"/>
    </row>
    <row r="3505" spans="11:23" x14ac:dyDescent="0.25">
      <c r="K3505"/>
      <c r="L3505"/>
      <c r="M3505" s="7"/>
      <c r="W3505"/>
    </row>
    <row r="3506" spans="11:23" x14ac:dyDescent="0.25">
      <c r="K3506"/>
      <c r="L3506"/>
      <c r="M3506" s="7"/>
      <c r="W3506"/>
    </row>
    <row r="3507" spans="11:23" x14ac:dyDescent="0.25">
      <c r="K3507"/>
      <c r="L3507"/>
      <c r="M3507" s="7"/>
      <c r="W3507"/>
    </row>
    <row r="3508" spans="11:23" x14ac:dyDescent="0.25">
      <c r="K3508"/>
      <c r="L3508"/>
      <c r="M3508" s="7"/>
      <c r="W3508"/>
    </row>
    <row r="3509" spans="11:23" x14ac:dyDescent="0.25">
      <c r="K3509"/>
      <c r="L3509"/>
      <c r="M3509" s="7"/>
      <c r="W3509"/>
    </row>
    <row r="3510" spans="11:23" x14ac:dyDescent="0.25">
      <c r="K3510"/>
      <c r="L3510"/>
      <c r="M3510" s="7"/>
      <c r="W3510"/>
    </row>
    <row r="3511" spans="11:23" x14ac:dyDescent="0.25">
      <c r="K3511"/>
      <c r="L3511"/>
      <c r="M3511" s="7"/>
      <c r="W3511"/>
    </row>
    <row r="3512" spans="11:23" x14ac:dyDescent="0.25">
      <c r="K3512"/>
      <c r="L3512"/>
      <c r="M3512" s="7"/>
      <c r="W3512"/>
    </row>
    <row r="3513" spans="11:23" x14ac:dyDescent="0.25">
      <c r="K3513"/>
      <c r="L3513"/>
      <c r="M3513" s="7"/>
      <c r="W3513"/>
    </row>
    <row r="3514" spans="11:23" x14ac:dyDescent="0.25">
      <c r="K3514"/>
      <c r="L3514"/>
      <c r="M3514" s="7"/>
      <c r="W3514"/>
    </row>
    <row r="3515" spans="11:23" x14ac:dyDescent="0.25">
      <c r="K3515"/>
      <c r="L3515"/>
      <c r="M3515" s="7"/>
      <c r="W3515"/>
    </row>
    <row r="3516" spans="11:23" x14ac:dyDescent="0.25">
      <c r="K3516"/>
      <c r="L3516"/>
      <c r="M3516" s="7"/>
      <c r="W3516"/>
    </row>
    <row r="3517" spans="11:23" x14ac:dyDescent="0.25">
      <c r="K3517"/>
      <c r="L3517"/>
      <c r="M3517" s="7"/>
      <c r="W3517"/>
    </row>
    <row r="3518" spans="11:23" x14ac:dyDescent="0.25">
      <c r="K3518"/>
      <c r="L3518"/>
      <c r="M3518" s="7"/>
      <c r="W3518"/>
    </row>
    <row r="3519" spans="11:23" x14ac:dyDescent="0.25">
      <c r="K3519"/>
      <c r="L3519"/>
      <c r="M3519" s="7"/>
      <c r="W3519"/>
    </row>
    <row r="3520" spans="11:23" x14ac:dyDescent="0.25">
      <c r="K3520"/>
      <c r="L3520"/>
      <c r="M3520" s="7"/>
      <c r="W3520"/>
    </row>
    <row r="3521" spans="11:23" x14ac:dyDescent="0.25">
      <c r="K3521"/>
      <c r="L3521"/>
      <c r="M3521" s="7"/>
      <c r="W3521"/>
    </row>
    <row r="3522" spans="11:23" x14ac:dyDescent="0.25">
      <c r="K3522"/>
      <c r="L3522"/>
      <c r="M3522" s="7"/>
      <c r="W3522"/>
    </row>
    <row r="3523" spans="11:23" x14ac:dyDescent="0.25">
      <c r="K3523"/>
      <c r="L3523"/>
      <c r="M3523" s="7"/>
      <c r="W3523"/>
    </row>
    <row r="3524" spans="11:23" x14ac:dyDescent="0.25">
      <c r="K3524"/>
      <c r="L3524"/>
      <c r="M3524" s="7"/>
      <c r="W3524"/>
    </row>
    <row r="3525" spans="11:23" x14ac:dyDescent="0.25">
      <c r="K3525"/>
      <c r="L3525"/>
      <c r="M3525" s="7"/>
      <c r="W3525"/>
    </row>
    <row r="3526" spans="11:23" x14ac:dyDescent="0.25">
      <c r="K3526"/>
      <c r="L3526"/>
      <c r="M3526" s="7"/>
      <c r="W3526"/>
    </row>
    <row r="3527" spans="11:23" x14ac:dyDescent="0.25">
      <c r="K3527"/>
      <c r="L3527"/>
      <c r="M3527" s="7"/>
      <c r="W3527"/>
    </row>
    <row r="3528" spans="11:23" x14ac:dyDescent="0.25">
      <c r="K3528"/>
      <c r="L3528"/>
      <c r="M3528" s="7"/>
      <c r="W3528"/>
    </row>
    <row r="3529" spans="11:23" x14ac:dyDescent="0.25">
      <c r="K3529"/>
      <c r="L3529"/>
      <c r="M3529" s="7"/>
      <c r="W3529"/>
    </row>
    <row r="3530" spans="11:23" x14ac:dyDescent="0.25">
      <c r="K3530"/>
      <c r="L3530"/>
      <c r="M3530" s="7"/>
      <c r="W3530"/>
    </row>
    <row r="3531" spans="11:23" x14ac:dyDescent="0.25">
      <c r="K3531"/>
      <c r="L3531"/>
      <c r="M3531" s="7"/>
      <c r="W3531"/>
    </row>
    <row r="3532" spans="11:23" x14ac:dyDescent="0.25">
      <c r="K3532"/>
      <c r="L3532"/>
      <c r="M3532" s="7"/>
      <c r="W3532"/>
    </row>
    <row r="3533" spans="11:23" x14ac:dyDescent="0.25">
      <c r="K3533"/>
      <c r="L3533"/>
      <c r="M3533" s="7"/>
      <c r="W3533"/>
    </row>
    <row r="3534" spans="11:23" x14ac:dyDescent="0.25">
      <c r="K3534"/>
      <c r="L3534"/>
      <c r="M3534" s="7"/>
      <c r="W3534"/>
    </row>
    <row r="3535" spans="11:23" x14ac:dyDescent="0.25">
      <c r="K3535"/>
      <c r="L3535"/>
      <c r="M3535" s="7"/>
      <c r="W3535"/>
    </row>
    <row r="3536" spans="11:23" x14ac:dyDescent="0.25">
      <c r="K3536"/>
      <c r="L3536"/>
      <c r="M3536" s="7"/>
      <c r="W3536"/>
    </row>
    <row r="3537" spans="11:23" x14ac:dyDescent="0.25">
      <c r="K3537"/>
      <c r="L3537"/>
      <c r="M3537" s="7"/>
      <c r="W3537"/>
    </row>
    <row r="3538" spans="11:23" x14ac:dyDescent="0.25">
      <c r="K3538"/>
      <c r="L3538"/>
      <c r="M3538" s="7"/>
      <c r="W3538"/>
    </row>
    <row r="3539" spans="11:23" x14ac:dyDescent="0.25">
      <c r="K3539"/>
      <c r="L3539"/>
      <c r="M3539" s="7"/>
      <c r="W3539"/>
    </row>
    <row r="3540" spans="11:23" x14ac:dyDescent="0.25">
      <c r="K3540"/>
      <c r="L3540"/>
      <c r="M3540" s="7"/>
      <c r="W3540"/>
    </row>
    <row r="3541" spans="11:23" x14ac:dyDescent="0.25">
      <c r="K3541"/>
      <c r="L3541"/>
      <c r="M3541" s="7"/>
      <c r="W3541"/>
    </row>
    <row r="3542" spans="11:23" x14ac:dyDescent="0.25">
      <c r="K3542"/>
      <c r="L3542"/>
      <c r="M3542" s="7"/>
      <c r="W3542"/>
    </row>
    <row r="3543" spans="11:23" x14ac:dyDescent="0.25">
      <c r="K3543"/>
      <c r="L3543"/>
      <c r="M3543" s="7"/>
      <c r="W3543"/>
    </row>
    <row r="3544" spans="11:23" x14ac:dyDescent="0.25">
      <c r="K3544"/>
      <c r="L3544"/>
      <c r="M3544" s="7"/>
      <c r="W3544"/>
    </row>
    <row r="3545" spans="11:23" x14ac:dyDescent="0.25">
      <c r="K3545"/>
      <c r="L3545"/>
      <c r="M3545" s="7"/>
      <c r="W3545"/>
    </row>
    <row r="3546" spans="11:23" x14ac:dyDescent="0.25">
      <c r="K3546"/>
      <c r="L3546"/>
      <c r="M3546" s="7"/>
      <c r="W3546"/>
    </row>
    <row r="3547" spans="11:23" x14ac:dyDescent="0.25">
      <c r="K3547"/>
      <c r="L3547"/>
      <c r="M3547" s="7"/>
      <c r="W3547"/>
    </row>
    <row r="3548" spans="11:23" x14ac:dyDescent="0.25">
      <c r="K3548"/>
      <c r="L3548"/>
      <c r="M3548" s="7"/>
      <c r="W3548"/>
    </row>
    <row r="3549" spans="11:23" x14ac:dyDescent="0.25">
      <c r="K3549"/>
      <c r="L3549"/>
      <c r="M3549" s="7"/>
      <c r="W3549"/>
    </row>
    <row r="3550" spans="11:23" x14ac:dyDescent="0.25">
      <c r="K3550"/>
      <c r="L3550"/>
      <c r="M3550" s="7"/>
      <c r="W3550"/>
    </row>
    <row r="3551" spans="11:23" x14ac:dyDescent="0.25">
      <c r="K3551"/>
      <c r="L3551"/>
      <c r="M3551" s="7"/>
      <c r="W3551"/>
    </row>
    <row r="3552" spans="11:23" x14ac:dyDescent="0.25">
      <c r="K3552"/>
      <c r="L3552"/>
      <c r="M3552" s="7"/>
      <c r="W3552"/>
    </row>
    <row r="3553" spans="11:23" x14ac:dyDescent="0.25">
      <c r="K3553"/>
      <c r="L3553"/>
      <c r="M3553" s="7"/>
      <c r="W3553"/>
    </row>
    <row r="3554" spans="11:23" x14ac:dyDescent="0.25">
      <c r="K3554"/>
      <c r="L3554"/>
      <c r="M3554" s="7"/>
      <c r="W3554"/>
    </row>
    <row r="3555" spans="11:23" x14ac:dyDescent="0.25">
      <c r="K3555"/>
      <c r="L3555"/>
      <c r="M3555" s="7"/>
      <c r="W3555"/>
    </row>
    <row r="3556" spans="11:23" x14ac:dyDescent="0.25">
      <c r="K3556"/>
      <c r="L3556"/>
      <c r="M3556" s="7"/>
      <c r="W3556"/>
    </row>
    <row r="3557" spans="11:23" x14ac:dyDescent="0.25">
      <c r="K3557"/>
      <c r="L3557"/>
      <c r="M3557" s="7"/>
      <c r="W3557"/>
    </row>
    <row r="3558" spans="11:23" x14ac:dyDescent="0.25">
      <c r="K3558"/>
      <c r="L3558"/>
      <c r="M3558" s="7"/>
      <c r="W3558"/>
    </row>
    <row r="3559" spans="11:23" x14ac:dyDescent="0.25">
      <c r="K3559"/>
      <c r="L3559"/>
      <c r="M3559" s="7"/>
      <c r="W3559"/>
    </row>
    <row r="3560" spans="11:23" x14ac:dyDescent="0.25">
      <c r="K3560"/>
      <c r="L3560"/>
      <c r="M3560" s="7"/>
      <c r="W3560"/>
    </row>
    <row r="3561" spans="11:23" x14ac:dyDescent="0.25">
      <c r="K3561"/>
      <c r="L3561"/>
      <c r="M3561" s="7"/>
      <c r="W3561"/>
    </row>
    <row r="3562" spans="11:23" x14ac:dyDescent="0.25">
      <c r="K3562"/>
      <c r="L3562"/>
      <c r="M3562" s="7"/>
      <c r="W3562"/>
    </row>
    <row r="3563" spans="11:23" x14ac:dyDescent="0.25">
      <c r="K3563"/>
      <c r="L3563"/>
      <c r="M3563" s="7"/>
      <c r="W3563"/>
    </row>
    <row r="3564" spans="11:23" x14ac:dyDescent="0.25">
      <c r="K3564"/>
      <c r="L3564"/>
      <c r="M3564" s="7"/>
      <c r="W3564"/>
    </row>
    <row r="3565" spans="11:23" x14ac:dyDescent="0.25">
      <c r="K3565"/>
      <c r="L3565"/>
      <c r="M3565" s="7"/>
      <c r="W3565"/>
    </row>
    <row r="3566" spans="11:23" x14ac:dyDescent="0.25">
      <c r="K3566"/>
      <c r="L3566"/>
      <c r="M3566" s="7"/>
      <c r="W3566"/>
    </row>
    <row r="3567" spans="11:23" x14ac:dyDescent="0.25">
      <c r="K3567"/>
      <c r="L3567"/>
      <c r="M3567" s="7"/>
      <c r="W3567"/>
    </row>
    <row r="3568" spans="11:23" x14ac:dyDescent="0.25">
      <c r="K3568"/>
      <c r="L3568"/>
      <c r="M3568" s="7"/>
      <c r="W3568"/>
    </row>
    <row r="3569" spans="11:23" x14ac:dyDescent="0.25">
      <c r="K3569"/>
      <c r="L3569"/>
      <c r="M3569" s="7"/>
      <c r="W3569"/>
    </row>
    <row r="3570" spans="11:23" x14ac:dyDescent="0.25">
      <c r="K3570"/>
      <c r="L3570"/>
      <c r="M3570" s="7"/>
      <c r="W3570"/>
    </row>
    <row r="3571" spans="11:23" x14ac:dyDescent="0.25">
      <c r="K3571"/>
      <c r="L3571"/>
      <c r="M3571" s="7"/>
      <c r="W3571"/>
    </row>
    <row r="3572" spans="11:23" x14ac:dyDescent="0.25">
      <c r="K3572"/>
      <c r="L3572"/>
      <c r="M3572" s="7"/>
      <c r="W3572"/>
    </row>
    <row r="3573" spans="11:23" x14ac:dyDescent="0.25">
      <c r="K3573"/>
      <c r="L3573"/>
      <c r="M3573" s="7"/>
      <c r="W3573"/>
    </row>
    <row r="3574" spans="11:23" x14ac:dyDescent="0.25">
      <c r="K3574"/>
      <c r="L3574"/>
      <c r="M3574" s="7"/>
      <c r="W3574"/>
    </row>
    <row r="3575" spans="11:23" x14ac:dyDescent="0.25">
      <c r="K3575"/>
      <c r="L3575"/>
      <c r="M3575" s="7"/>
      <c r="W3575"/>
    </row>
    <row r="3576" spans="11:23" x14ac:dyDescent="0.25">
      <c r="K3576"/>
      <c r="L3576"/>
      <c r="M3576" s="7"/>
      <c r="W3576"/>
    </row>
    <row r="3577" spans="11:23" x14ac:dyDescent="0.25">
      <c r="K3577"/>
      <c r="L3577"/>
      <c r="M3577" s="7"/>
      <c r="W3577"/>
    </row>
    <row r="3578" spans="11:23" x14ac:dyDescent="0.25">
      <c r="K3578"/>
      <c r="L3578"/>
      <c r="M3578" s="7"/>
      <c r="W3578"/>
    </row>
    <row r="3579" spans="11:23" x14ac:dyDescent="0.25">
      <c r="K3579"/>
      <c r="L3579"/>
      <c r="M3579" s="7"/>
      <c r="W3579"/>
    </row>
    <row r="3580" spans="11:23" x14ac:dyDescent="0.25">
      <c r="K3580"/>
      <c r="L3580"/>
      <c r="M3580" s="7"/>
      <c r="W3580"/>
    </row>
    <row r="3581" spans="11:23" x14ac:dyDescent="0.25">
      <c r="K3581"/>
      <c r="L3581"/>
      <c r="M3581" s="7"/>
      <c r="W3581"/>
    </row>
    <row r="3582" spans="11:23" x14ac:dyDescent="0.25">
      <c r="K3582"/>
      <c r="L3582"/>
      <c r="M3582" s="7"/>
      <c r="W3582"/>
    </row>
    <row r="3583" spans="11:23" x14ac:dyDescent="0.25">
      <c r="K3583"/>
      <c r="L3583"/>
      <c r="M3583" s="7"/>
      <c r="W3583"/>
    </row>
    <row r="3584" spans="11:23" x14ac:dyDescent="0.25">
      <c r="K3584"/>
      <c r="L3584"/>
      <c r="M3584" s="7"/>
      <c r="W3584"/>
    </row>
    <row r="3585" spans="11:23" x14ac:dyDescent="0.25">
      <c r="K3585"/>
      <c r="L3585"/>
      <c r="M3585" s="7"/>
      <c r="W3585"/>
    </row>
    <row r="3586" spans="11:23" x14ac:dyDescent="0.25">
      <c r="K3586"/>
      <c r="L3586"/>
      <c r="M3586" s="7"/>
      <c r="W3586"/>
    </row>
    <row r="3587" spans="11:23" x14ac:dyDescent="0.25">
      <c r="K3587"/>
      <c r="L3587"/>
      <c r="M3587" s="7"/>
      <c r="W3587"/>
    </row>
    <row r="3588" spans="11:23" x14ac:dyDescent="0.25">
      <c r="K3588"/>
      <c r="L3588"/>
      <c r="M3588" s="7"/>
      <c r="W3588"/>
    </row>
    <row r="3589" spans="11:23" x14ac:dyDescent="0.25">
      <c r="K3589"/>
      <c r="L3589"/>
      <c r="M3589" s="7"/>
      <c r="W3589"/>
    </row>
    <row r="3590" spans="11:23" x14ac:dyDescent="0.25">
      <c r="K3590"/>
      <c r="L3590"/>
      <c r="M3590" s="7"/>
      <c r="W3590"/>
    </row>
    <row r="3591" spans="11:23" x14ac:dyDescent="0.25">
      <c r="K3591"/>
      <c r="L3591"/>
      <c r="M3591" s="7"/>
      <c r="W3591"/>
    </row>
    <row r="3592" spans="11:23" x14ac:dyDescent="0.25">
      <c r="K3592"/>
      <c r="L3592"/>
      <c r="M3592" s="7"/>
      <c r="W3592"/>
    </row>
    <row r="3593" spans="11:23" x14ac:dyDescent="0.25">
      <c r="K3593"/>
      <c r="L3593"/>
      <c r="M3593" s="7"/>
      <c r="W3593"/>
    </row>
    <row r="3594" spans="11:23" x14ac:dyDescent="0.25">
      <c r="K3594"/>
      <c r="L3594"/>
      <c r="M3594" s="7"/>
      <c r="W3594"/>
    </row>
    <row r="3595" spans="11:23" x14ac:dyDescent="0.25">
      <c r="K3595"/>
      <c r="L3595"/>
      <c r="M3595" s="7"/>
      <c r="W3595"/>
    </row>
    <row r="3596" spans="11:23" x14ac:dyDescent="0.25">
      <c r="K3596"/>
      <c r="L3596"/>
      <c r="M3596" s="7"/>
      <c r="W3596"/>
    </row>
    <row r="3597" spans="11:23" x14ac:dyDescent="0.25">
      <c r="K3597"/>
      <c r="L3597"/>
      <c r="M3597" s="7"/>
      <c r="W3597"/>
    </row>
    <row r="3598" spans="11:23" x14ac:dyDescent="0.25">
      <c r="K3598"/>
      <c r="L3598"/>
      <c r="M3598" s="7"/>
      <c r="W3598"/>
    </row>
    <row r="3599" spans="11:23" x14ac:dyDescent="0.25">
      <c r="K3599"/>
      <c r="L3599"/>
      <c r="M3599" s="7"/>
      <c r="W3599"/>
    </row>
    <row r="3600" spans="11:23" x14ac:dyDescent="0.25">
      <c r="K3600"/>
      <c r="L3600"/>
      <c r="M3600" s="7"/>
      <c r="W3600"/>
    </row>
    <row r="3601" spans="11:23" x14ac:dyDescent="0.25">
      <c r="K3601"/>
      <c r="L3601"/>
      <c r="M3601" s="7"/>
      <c r="W3601"/>
    </row>
    <row r="3602" spans="11:23" x14ac:dyDescent="0.25">
      <c r="K3602"/>
      <c r="L3602"/>
      <c r="M3602" s="7"/>
      <c r="W3602"/>
    </row>
    <row r="3603" spans="11:23" x14ac:dyDescent="0.25">
      <c r="K3603"/>
      <c r="L3603"/>
      <c r="M3603" s="7"/>
      <c r="W3603"/>
    </row>
    <row r="3604" spans="11:23" x14ac:dyDescent="0.25">
      <c r="K3604"/>
      <c r="L3604"/>
      <c r="M3604" s="7"/>
      <c r="W3604"/>
    </row>
    <row r="3605" spans="11:23" x14ac:dyDescent="0.25">
      <c r="K3605"/>
      <c r="L3605"/>
      <c r="M3605" s="7"/>
      <c r="W3605"/>
    </row>
    <row r="3606" spans="11:23" x14ac:dyDescent="0.25">
      <c r="K3606"/>
      <c r="L3606"/>
      <c r="M3606" s="7"/>
      <c r="W3606"/>
    </row>
    <row r="3607" spans="11:23" x14ac:dyDescent="0.25">
      <c r="K3607"/>
      <c r="L3607"/>
      <c r="M3607" s="7"/>
      <c r="W3607"/>
    </row>
    <row r="3608" spans="11:23" x14ac:dyDescent="0.25">
      <c r="K3608"/>
      <c r="L3608"/>
      <c r="M3608" s="7"/>
      <c r="W3608"/>
    </row>
    <row r="3609" spans="11:23" x14ac:dyDescent="0.25">
      <c r="K3609"/>
      <c r="L3609"/>
      <c r="M3609" s="7"/>
      <c r="W3609"/>
    </row>
    <row r="3610" spans="11:23" x14ac:dyDescent="0.25">
      <c r="K3610"/>
      <c r="L3610"/>
      <c r="M3610" s="7"/>
      <c r="W3610"/>
    </row>
    <row r="3611" spans="11:23" x14ac:dyDescent="0.25">
      <c r="K3611"/>
      <c r="L3611"/>
      <c r="M3611" s="7"/>
      <c r="W3611"/>
    </row>
    <row r="3612" spans="11:23" x14ac:dyDescent="0.25">
      <c r="K3612"/>
      <c r="L3612"/>
      <c r="M3612" s="7"/>
      <c r="W3612"/>
    </row>
    <row r="3613" spans="11:23" x14ac:dyDescent="0.25">
      <c r="K3613"/>
      <c r="L3613"/>
      <c r="M3613" s="7"/>
      <c r="W3613"/>
    </row>
    <row r="3614" spans="11:23" x14ac:dyDescent="0.25">
      <c r="K3614"/>
      <c r="L3614"/>
      <c r="M3614" s="7"/>
      <c r="W3614"/>
    </row>
    <row r="3615" spans="11:23" x14ac:dyDescent="0.25">
      <c r="K3615"/>
      <c r="L3615"/>
      <c r="M3615" s="7"/>
      <c r="W3615"/>
    </row>
    <row r="3616" spans="11:23" x14ac:dyDescent="0.25">
      <c r="K3616"/>
      <c r="L3616"/>
      <c r="M3616" s="7"/>
      <c r="W3616"/>
    </row>
    <row r="3617" spans="11:23" x14ac:dyDescent="0.25">
      <c r="K3617"/>
      <c r="L3617"/>
      <c r="M3617" s="7"/>
      <c r="W3617"/>
    </row>
    <row r="3618" spans="11:23" x14ac:dyDescent="0.25">
      <c r="K3618"/>
      <c r="L3618"/>
      <c r="M3618" s="7"/>
      <c r="W3618"/>
    </row>
    <row r="3619" spans="11:23" x14ac:dyDescent="0.25">
      <c r="K3619"/>
      <c r="L3619"/>
      <c r="M3619" s="7"/>
      <c r="W3619"/>
    </row>
    <row r="3620" spans="11:23" x14ac:dyDescent="0.25">
      <c r="K3620"/>
      <c r="L3620"/>
      <c r="M3620" s="7"/>
      <c r="W3620"/>
    </row>
    <row r="3621" spans="11:23" x14ac:dyDescent="0.25">
      <c r="K3621"/>
      <c r="L3621"/>
      <c r="M3621" s="7"/>
      <c r="W3621"/>
    </row>
    <row r="3622" spans="11:23" x14ac:dyDescent="0.25">
      <c r="K3622"/>
      <c r="L3622"/>
      <c r="M3622" s="7"/>
      <c r="W3622"/>
    </row>
    <row r="3623" spans="11:23" x14ac:dyDescent="0.25">
      <c r="K3623"/>
      <c r="L3623"/>
      <c r="M3623" s="7"/>
      <c r="W3623"/>
    </row>
    <row r="3624" spans="11:23" x14ac:dyDescent="0.25">
      <c r="K3624"/>
      <c r="L3624"/>
      <c r="M3624" s="7"/>
      <c r="W3624"/>
    </row>
    <row r="3625" spans="11:23" x14ac:dyDescent="0.25">
      <c r="K3625"/>
      <c r="L3625"/>
      <c r="M3625" s="7"/>
      <c r="W3625"/>
    </row>
    <row r="3626" spans="11:23" x14ac:dyDescent="0.25">
      <c r="K3626"/>
      <c r="L3626"/>
      <c r="M3626" s="7"/>
      <c r="W3626"/>
    </row>
    <row r="3627" spans="11:23" x14ac:dyDescent="0.25">
      <c r="K3627"/>
      <c r="L3627"/>
      <c r="M3627" s="7"/>
      <c r="W3627"/>
    </row>
    <row r="3628" spans="11:23" x14ac:dyDescent="0.25">
      <c r="K3628"/>
      <c r="L3628"/>
      <c r="M3628" s="7"/>
      <c r="W3628"/>
    </row>
    <row r="3629" spans="11:23" x14ac:dyDescent="0.25">
      <c r="K3629"/>
      <c r="L3629"/>
      <c r="M3629" s="7"/>
      <c r="W3629"/>
    </row>
    <row r="3630" spans="11:23" x14ac:dyDescent="0.25">
      <c r="K3630"/>
      <c r="L3630"/>
      <c r="M3630" s="7"/>
      <c r="W3630"/>
    </row>
    <row r="3631" spans="11:23" x14ac:dyDescent="0.25">
      <c r="K3631"/>
      <c r="L3631"/>
      <c r="M3631" s="7"/>
      <c r="W3631"/>
    </row>
    <row r="3632" spans="11:23" x14ac:dyDescent="0.25">
      <c r="K3632"/>
      <c r="L3632"/>
      <c r="M3632" s="7"/>
      <c r="W3632"/>
    </row>
    <row r="3633" spans="11:23" x14ac:dyDescent="0.25">
      <c r="K3633"/>
      <c r="L3633"/>
      <c r="M3633" s="7"/>
      <c r="W3633"/>
    </row>
    <row r="3634" spans="11:23" x14ac:dyDescent="0.25">
      <c r="K3634"/>
      <c r="L3634"/>
      <c r="M3634" s="7"/>
      <c r="W3634"/>
    </row>
    <row r="3635" spans="11:23" x14ac:dyDescent="0.25">
      <c r="K3635"/>
      <c r="L3635"/>
      <c r="M3635" s="7"/>
      <c r="W3635"/>
    </row>
    <row r="3636" spans="11:23" x14ac:dyDescent="0.25">
      <c r="K3636"/>
      <c r="L3636"/>
      <c r="M3636" s="7"/>
      <c r="W3636"/>
    </row>
    <row r="3637" spans="11:23" x14ac:dyDescent="0.25">
      <c r="K3637"/>
      <c r="L3637"/>
      <c r="M3637" s="7"/>
      <c r="W3637"/>
    </row>
    <row r="3638" spans="11:23" x14ac:dyDescent="0.25">
      <c r="K3638"/>
      <c r="L3638"/>
      <c r="M3638" s="7"/>
      <c r="W3638"/>
    </row>
    <row r="3639" spans="11:23" x14ac:dyDescent="0.25">
      <c r="K3639"/>
      <c r="L3639"/>
      <c r="M3639" s="7"/>
      <c r="W3639"/>
    </row>
    <row r="3640" spans="11:23" x14ac:dyDescent="0.25">
      <c r="K3640"/>
      <c r="L3640"/>
      <c r="M3640" s="7"/>
      <c r="W3640"/>
    </row>
    <row r="3641" spans="11:23" x14ac:dyDescent="0.25">
      <c r="K3641"/>
      <c r="L3641"/>
      <c r="M3641" s="7"/>
      <c r="W3641"/>
    </row>
    <row r="3642" spans="11:23" x14ac:dyDescent="0.25">
      <c r="K3642"/>
      <c r="L3642"/>
      <c r="M3642" s="7"/>
      <c r="W3642"/>
    </row>
    <row r="3643" spans="11:23" x14ac:dyDescent="0.25">
      <c r="K3643"/>
      <c r="L3643"/>
      <c r="M3643" s="7"/>
      <c r="W3643"/>
    </row>
    <row r="3644" spans="11:23" x14ac:dyDescent="0.25">
      <c r="K3644"/>
      <c r="L3644"/>
      <c r="M3644" s="7"/>
      <c r="W3644"/>
    </row>
    <row r="3645" spans="11:23" x14ac:dyDescent="0.25">
      <c r="K3645"/>
      <c r="L3645"/>
      <c r="M3645" s="7"/>
      <c r="W3645"/>
    </row>
    <row r="3646" spans="11:23" x14ac:dyDescent="0.25">
      <c r="K3646"/>
      <c r="L3646"/>
      <c r="M3646" s="7"/>
      <c r="W3646"/>
    </row>
    <row r="3647" spans="11:23" x14ac:dyDescent="0.25">
      <c r="K3647"/>
      <c r="L3647"/>
      <c r="M3647" s="7"/>
      <c r="W3647"/>
    </row>
    <row r="3648" spans="11:23" x14ac:dyDescent="0.25">
      <c r="K3648"/>
      <c r="L3648"/>
      <c r="M3648" s="7"/>
      <c r="W3648"/>
    </row>
    <row r="3649" spans="11:23" x14ac:dyDescent="0.25">
      <c r="K3649"/>
      <c r="L3649"/>
      <c r="M3649" s="7"/>
      <c r="W3649"/>
    </row>
    <row r="3650" spans="11:23" x14ac:dyDescent="0.25">
      <c r="K3650"/>
      <c r="L3650"/>
      <c r="M3650" s="7"/>
      <c r="W3650"/>
    </row>
    <row r="3651" spans="11:23" x14ac:dyDescent="0.25">
      <c r="K3651"/>
      <c r="L3651"/>
      <c r="M3651" s="7"/>
      <c r="W3651"/>
    </row>
    <row r="3652" spans="11:23" x14ac:dyDescent="0.25">
      <c r="K3652"/>
      <c r="L3652"/>
      <c r="M3652" s="7"/>
      <c r="W3652"/>
    </row>
    <row r="3653" spans="11:23" x14ac:dyDescent="0.25">
      <c r="K3653"/>
      <c r="L3653"/>
      <c r="M3653" s="7"/>
      <c r="W3653"/>
    </row>
    <row r="3654" spans="11:23" x14ac:dyDescent="0.25">
      <c r="K3654"/>
      <c r="L3654"/>
      <c r="M3654" s="7"/>
      <c r="W3654"/>
    </row>
    <row r="3655" spans="11:23" x14ac:dyDescent="0.25">
      <c r="K3655"/>
      <c r="L3655"/>
      <c r="M3655" s="7"/>
      <c r="W3655"/>
    </row>
    <row r="3656" spans="11:23" x14ac:dyDescent="0.25">
      <c r="K3656"/>
      <c r="L3656"/>
      <c r="M3656" s="7"/>
      <c r="W3656"/>
    </row>
    <row r="3657" spans="11:23" x14ac:dyDescent="0.25">
      <c r="K3657"/>
      <c r="L3657"/>
      <c r="M3657" s="7"/>
      <c r="W3657"/>
    </row>
    <row r="3658" spans="11:23" x14ac:dyDescent="0.25">
      <c r="K3658"/>
      <c r="L3658"/>
      <c r="M3658" s="7"/>
      <c r="W3658"/>
    </row>
    <row r="3659" spans="11:23" x14ac:dyDescent="0.25">
      <c r="K3659"/>
      <c r="L3659"/>
      <c r="M3659" s="7"/>
      <c r="W3659"/>
    </row>
    <row r="3660" spans="11:23" x14ac:dyDescent="0.25">
      <c r="K3660"/>
      <c r="L3660"/>
      <c r="M3660" s="7"/>
      <c r="W3660"/>
    </row>
    <row r="3661" spans="11:23" x14ac:dyDescent="0.25">
      <c r="K3661"/>
      <c r="L3661"/>
      <c r="M3661" s="7"/>
      <c r="W3661"/>
    </row>
    <row r="3662" spans="11:23" x14ac:dyDescent="0.25">
      <c r="K3662"/>
      <c r="L3662"/>
      <c r="M3662" s="7"/>
      <c r="W3662"/>
    </row>
    <row r="3663" spans="11:23" x14ac:dyDescent="0.25">
      <c r="K3663"/>
      <c r="L3663"/>
      <c r="M3663" s="7"/>
      <c r="W3663"/>
    </row>
    <row r="3664" spans="11:23" x14ac:dyDescent="0.25">
      <c r="K3664"/>
      <c r="L3664"/>
      <c r="M3664" s="7"/>
      <c r="W3664"/>
    </row>
    <row r="3665" spans="11:23" x14ac:dyDescent="0.25">
      <c r="K3665"/>
      <c r="L3665"/>
      <c r="M3665" s="7"/>
      <c r="W3665"/>
    </row>
    <row r="3666" spans="11:23" x14ac:dyDescent="0.25">
      <c r="K3666"/>
      <c r="L3666"/>
      <c r="M3666" s="7"/>
      <c r="W3666"/>
    </row>
    <row r="3667" spans="11:23" x14ac:dyDescent="0.25">
      <c r="K3667"/>
      <c r="L3667"/>
      <c r="M3667" s="7"/>
      <c r="W3667"/>
    </row>
    <row r="3668" spans="11:23" x14ac:dyDescent="0.25">
      <c r="K3668"/>
      <c r="L3668"/>
      <c r="M3668" s="7"/>
      <c r="W3668"/>
    </row>
    <row r="3669" spans="11:23" x14ac:dyDescent="0.25">
      <c r="K3669"/>
      <c r="L3669"/>
      <c r="M3669" s="7"/>
      <c r="W3669"/>
    </row>
    <row r="3670" spans="11:23" x14ac:dyDescent="0.25">
      <c r="K3670"/>
      <c r="L3670"/>
      <c r="M3670" s="7"/>
      <c r="W3670"/>
    </row>
    <row r="3671" spans="11:23" x14ac:dyDescent="0.25">
      <c r="K3671"/>
      <c r="L3671"/>
      <c r="M3671" s="7"/>
      <c r="W3671"/>
    </row>
    <row r="3672" spans="11:23" x14ac:dyDescent="0.25">
      <c r="K3672"/>
      <c r="L3672"/>
      <c r="M3672" s="7"/>
      <c r="W3672"/>
    </row>
    <row r="3673" spans="11:23" x14ac:dyDescent="0.25">
      <c r="K3673"/>
      <c r="L3673"/>
      <c r="M3673" s="7"/>
      <c r="W3673"/>
    </row>
    <row r="3674" spans="11:23" x14ac:dyDescent="0.25">
      <c r="K3674"/>
      <c r="L3674"/>
      <c r="M3674" s="7"/>
      <c r="W3674"/>
    </row>
    <row r="3675" spans="11:23" x14ac:dyDescent="0.25">
      <c r="K3675"/>
      <c r="L3675"/>
      <c r="M3675" s="7"/>
      <c r="W3675"/>
    </row>
    <row r="3676" spans="11:23" x14ac:dyDescent="0.25">
      <c r="K3676"/>
      <c r="L3676"/>
      <c r="M3676" s="7"/>
      <c r="W3676"/>
    </row>
    <row r="3677" spans="11:23" x14ac:dyDescent="0.25">
      <c r="K3677"/>
      <c r="L3677"/>
      <c r="M3677" s="7"/>
      <c r="W3677"/>
    </row>
    <row r="3678" spans="11:23" x14ac:dyDescent="0.25">
      <c r="K3678"/>
      <c r="L3678"/>
      <c r="M3678" s="7"/>
      <c r="W3678"/>
    </row>
    <row r="3679" spans="11:23" x14ac:dyDescent="0.25">
      <c r="K3679"/>
      <c r="L3679"/>
      <c r="M3679" s="7"/>
      <c r="W3679"/>
    </row>
    <row r="3680" spans="11:23" x14ac:dyDescent="0.25">
      <c r="K3680"/>
      <c r="L3680"/>
      <c r="M3680" s="7"/>
      <c r="W3680"/>
    </row>
    <row r="3681" spans="11:23" x14ac:dyDescent="0.25">
      <c r="K3681"/>
      <c r="L3681"/>
      <c r="M3681" s="7"/>
      <c r="W3681"/>
    </row>
    <row r="3682" spans="11:23" x14ac:dyDescent="0.25">
      <c r="K3682"/>
      <c r="L3682"/>
      <c r="M3682" s="7"/>
      <c r="W3682"/>
    </row>
    <row r="3683" spans="11:23" x14ac:dyDescent="0.25">
      <c r="K3683"/>
      <c r="L3683"/>
      <c r="M3683" s="7"/>
      <c r="W3683"/>
    </row>
    <row r="3684" spans="11:23" x14ac:dyDescent="0.25">
      <c r="K3684"/>
      <c r="L3684"/>
      <c r="M3684" s="7"/>
      <c r="W3684"/>
    </row>
    <row r="3685" spans="11:23" x14ac:dyDescent="0.25">
      <c r="K3685"/>
      <c r="L3685"/>
      <c r="M3685" s="7"/>
      <c r="W3685"/>
    </row>
    <row r="3686" spans="11:23" x14ac:dyDescent="0.25">
      <c r="K3686"/>
      <c r="L3686"/>
      <c r="M3686" s="7"/>
      <c r="W3686"/>
    </row>
    <row r="3687" spans="11:23" x14ac:dyDescent="0.25">
      <c r="K3687"/>
      <c r="L3687"/>
      <c r="M3687" s="7"/>
      <c r="W3687"/>
    </row>
    <row r="3688" spans="11:23" x14ac:dyDescent="0.25">
      <c r="K3688"/>
      <c r="L3688"/>
      <c r="M3688" s="7"/>
      <c r="W3688"/>
    </row>
    <row r="3689" spans="11:23" x14ac:dyDescent="0.25">
      <c r="K3689"/>
      <c r="L3689"/>
      <c r="M3689" s="7"/>
      <c r="W3689"/>
    </row>
    <row r="3690" spans="11:23" x14ac:dyDescent="0.25">
      <c r="K3690"/>
      <c r="L3690"/>
      <c r="M3690" s="7"/>
      <c r="W3690"/>
    </row>
    <row r="3691" spans="11:23" x14ac:dyDescent="0.25">
      <c r="K3691"/>
      <c r="L3691"/>
      <c r="M3691" s="7"/>
      <c r="W3691"/>
    </row>
    <row r="3692" spans="11:23" x14ac:dyDescent="0.25">
      <c r="K3692"/>
      <c r="L3692"/>
      <c r="M3692" s="7"/>
      <c r="W3692"/>
    </row>
    <row r="3693" spans="11:23" x14ac:dyDescent="0.25">
      <c r="K3693"/>
      <c r="L3693"/>
      <c r="M3693" s="7"/>
      <c r="W3693"/>
    </row>
    <row r="3694" spans="11:23" x14ac:dyDescent="0.25">
      <c r="K3694"/>
      <c r="L3694"/>
      <c r="M3694" s="7"/>
      <c r="W3694"/>
    </row>
    <row r="3695" spans="11:23" x14ac:dyDescent="0.25">
      <c r="K3695"/>
      <c r="L3695"/>
      <c r="M3695" s="7"/>
      <c r="W3695"/>
    </row>
    <row r="3696" spans="11:23" x14ac:dyDescent="0.25">
      <c r="K3696"/>
      <c r="L3696"/>
      <c r="M3696" s="7"/>
      <c r="W3696"/>
    </row>
    <row r="3697" spans="11:23" x14ac:dyDescent="0.25">
      <c r="K3697"/>
      <c r="L3697"/>
      <c r="M3697" s="7"/>
      <c r="W3697"/>
    </row>
    <row r="3698" spans="11:23" x14ac:dyDescent="0.25">
      <c r="K3698"/>
      <c r="L3698"/>
      <c r="M3698" s="7"/>
      <c r="W3698"/>
    </row>
    <row r="3699" spans="11:23" x14ac:dyDescent="0.25">
      <c r="K3699"/>
      <c r="L3699"/>
      <c r="M3699" s="7"/>
      <c r="W3699"/>
    </row>
    <row r="3700" spans="11:23" x14ac:dyDescent="0.25">
      <c r="K3700"/>
      <c r="L3700"/>
      <c r="M3700" s="7"/>
      <c r="W3700"/>
    </row>
    <row r="3701" spans="11:23" x14ac:dyDescent="0.25">
      <c r="K3701"/>
      <c r="L3701"/>
      <c r="M3701" s="7"/>
      <c r="W3701"/>
    </row>
    <row r="3702" spans="11:23" x14ac:dyDescent="0.25">
      <c r="K3702"/>
      <c r="L3702"/>
      <c r="M3702" s="7"/>
      <c r="W3702"/>
    </row>
    <row r="3703" spans="11:23" x14ac:dyDescent="0.25">
      <c r="K3703"/>
      <c r="L3703"/>
      <c r="M3703" s="7"/>
      <c r="W3703"/>
    </row>
    <row r="3704" spans="11:23" x14ac:dyDescent="0.25">
      <c r="K3704"/>
      <c r="L3704"/>
      <c r="M3704" s="7"/>
      <c r="W3704"/>
    </row>
    <row r="3705" spans="11:23" x14ac:dyDescent="0.25">
      <c r="K3705"/>
      <c r="L3705"/>
      <c r="M3705" s="7"/>
      <c r="W3705"/>
    </row>
    <row r="3706" spans="11:23" x14ac:dyDescent="0.25">
      <c r="K3706"/>
      <c r="L3706"/>
      <c r="M3706" s="7"/>
      <c r="W3706"/>
    </row>
    <row r="3707" spans="11:23" x14ac:dyDescent="0.25">
      <c r="K3707"/>
      <c r="L3707"/>
      <c r="M3707" s="7"/>
      <c r="W3707"/>
    </row>
    <row r="3708" spans="11:23" x14ac:dyDescent="0.25">
      <c r="K3708"/>
      <c r="L3708"/>
      <c r="M3708" s="7"/>
      <c r="W3708"/>
    </row>
    <row r="3709" spans="11:23" x14ac:dyDescent="0.25">
      <c r="K3709"/>
      <c r="L3709"/>
      <c r="M3709" s="7"/>
      <c r="W3709"/>
    </row>
    <row r="3710" spans="11:23" x14ac:dyDescent="0.25">
      <c r="K3710"/>
      <c r="L3710"/>
      <c r="M3710" s="7"/>
      <c r="W3710"/>
    </row>
    <row r="3711" spans="11:23" x14ac:dyDescent="0.25">
      <c r="K3711"/>
      <c r="L3711"/>
      <c r="M3711" s="7"/>
      <c r="W3711"/>
    </row>
    <row r="3712" spans="11:23" x14ac:dyDescent="0.25">
      <c r="K3712"/>
      <c r="L3712"/>
      <c r="M3712" s="7"/>
      <c r="W3712"/>
    </row>
    <row r="3713" spans="11:23" x14ac:dyDescent="0.25">
      <c r="K3713"/>
      <c r="L3713"/>
      <c r="M3713" s="7"/>
      <c r="W3713"/>
    </row>
    <row r="3714" spans="11:23" x14ac:dyDescent="0.25">
      <c r="K3714"/>
      <c r="L3714"/>
      <c r="M3714" s="7"/>
      <c r="W3714"/>
    </row>
    <row r="3715" spans="11:23" x14ac:dyDescent="0.25">
      <c r="K3715"/>
      <c r="L3715"/>
      <c r="M3715" s="7"/>
      <c r="W3715"/>
    </row>
    <row r="3716" spans="11:23" x14ac:dyDescent="0.25">
      <c r="K3716"/>
      <c r="L3716"/>
      <c r="M3716" s="7"/>
      <c r="W3716"/>
    </row>
    <row r="3717" spans="11:23" x14ac:dyDescent="0.25">
      <c r="K3717"/>
      <c r="L3717"/>
      <c r="M3717" s="7"/>
      <c r="W3717"/>
    </row>
    <row r="3718" spans="11:23" x14ac:dyDescent="0.25">
      <c r="K3718"/>
      <c r="L3718"/>
      <c r="M3718" s="7"/>
      <c r="W3718"/>
    </row>
    <row r="3719" spans="11:23" x14ac:dyDescent="0.25">
      <c r="K3719"/>
      <c r="L3719"/>
      <c r="M3719" s="7"/>
      <c r="W3719"/>
    </row>
    <row r="3720" spans="11:23" x14ac:dyDescent="0.25">
      <c r="K3720"/>
      <c r="L3720"/>
      <c r="M3720" s="7"/>
      <c r="W3720"/>
    </row>
    <row r="3721" spans="11:23" x14ac:dyDescent="0.25">
      <c r="K3721"/>
      <c r="L3721"/>
      <c r="M3721" s="7"/>
      <c r="W3721"/>
    </row>
    <row r="3722" spans="11:23" x14ac:dyDescent="0.25">
      <c r="K3722"/>
      <c r="L3722"/>
      <c r="M3722" s="7"/>
      <c r="W3722"/>
    </row>
    <row r="3723" spans="11:23" x14ac:dyDescent="0.25">
      <c r="K3723"/>
      <c r="L3723"/>
      <c r="M3723" s="7"/>
      <c r="W3723"/>
    </row>
    <row r="3724" spans="11:23" x14ac:dyDescent="0.25">
      <c r="K3724"/>
      <c r="L3724"/>
      <c r="M3724" s="7"/>
      <c r="W3724"/>
    </row>
    <row r="3725" spans="11:23" x14ac:dyDescent="0.25">
      <c r="K3725"/>
      <c r="L3725"/>
      <c r="M3725" s="7"/>
      <c r="W3725"/>
    </row>
    <row r="3726" spans="11:23" x14ac:dyDescent="0.25">
      <c r="K3726"/>
      <c r="L3726"/>
      <c r="M3726" s="7"/>
      <c r="W3726"/>
    </row>
    <row r="3727" spans="11:23" x14ac:dyDescent="0.25">
      <c r="K3727"/>
      <c r="L3727"/>
      <c r="M3727" s="7"/>
      <c r="W3727"/>
    </row>
    <row r="3728" spans="11:23" x14ac:dyDescent="0.25">
      <c r="K3728"/>
      <c r="L3728"/>
      <c r="M3728" s="7"/>
      <c r="W3728"/>
    </row>
    <row r="3729" spans="11:23" x14ac:dyDescent="0.25">
      <c r="K3729"/>
      <c r="L3729"/>
      <c r="M3729" s="7"/>
      <c r="W3729"/>
    </row>
    <row r="3730" spans="11:23" x14ac:dyDescent="0.25">
      <c r="K3730"/>
      <c r="L3730"/>
      <c r="M3730" s="7"/>
      <c r="W3730"/>
    </row>
    <row r="3731" spans="11:23" x14ac:dyDescent="0.25">
      <c r="K3731"/>
      <c r="L3731"/>
      <c r="M3731" s="7"/>
      <c r="W3731"/>
    </row>
    <row r="3732" spans="11:23" x14ac:dyDescent="0.25">
      <c r="K3732"/>
      <c r="L3732"/>
      <c r="M3732" s="7"/>
      <c r="W3732"/>
    </row>
    <row r="3733" spans="11:23" x14ac:dyDescent="0.25">
      <c r="K3733"/>
      <c r="L3733"/>
      <c r="M3733" s="7"/>
      <c r="W3733"/>
    </row>
    <row r="3734" spans="11:23" x14ac:dyDescent="0.25">
      <c r="K3734"/>
      <c r="L3734"/>
      <c r="M3734" s="7"/>
      <c r="W3734"/>
    </row>
    <row r="3735" spans="11:23" x14ac:dyDescent="0.25">
      <c r="K3735"/>
      <c r="L3735"/>
      <c r="M3735" s="7"/>
      <c r="W3735"/>
    </row>
    <row r="3736" spans="11:23" x14ac:dyDescent="0.25">
      <c r="K3736"/>
      <c r="L3736"/>
      <c r="M3736" s="7"/>
      <c r="W3736"/>
    </row>
    <row r="3737" spans="11:23" x14ac:dyDescent="0.25">
      <c r="K3737"/>
      <c r="L3737"/>
      <c r="M3737" s="7"/>
      <c r="W3737"/>
    </row>
    <row r="3738" spans="11:23" x14ac:dyDescent="0.25">
      <c r="K3738"/>
      <c r="L3738"/>
      <c r="M3738" s="7"/>
      <c r="W3738"/>
    </row>
    <row r="3739" spans="11:23" x14ac:dyDescent="0.25">
      <c r="K3739"/>
      <c r="L3739"/>
      <c r="M3739" s="7"/>
      <c r="W3739"/>
    </row>
    <row r="3740" spans="11:23" x14ac:dyDescent="0.25">
      <c r="K3740"/>
      <c r="L3740"/>
      <c r="M3740" s="7"/>
      <c r="W3740"/>
    </row>
    <row r="3741" spans="11:23" x14ac:dyDescent="0.25">
      <c r="K3741"/>
      <c r="L3741"/>
      <c r="M3741" s="7"/>
      <c r="W3741"/>
    </row>
    <row r="3742" spans="11:23" x14ac:dyDescent="0.25">
      <c r="K3742"/>
      <c r="L3742"/>
      <c r="M3742" s="7"/>
      <c r="W3742"/>
    </row>
    <row r="3743" spans="11:23" x14ac:dyDescent="0.25">
      <c r="K3743"/>
      <c r="L3743"/>
      <c r="M3743" s="7"/>
      <c r="W3743"/>
    </row>
    <row r="3744" spans="11:23" x14ac:dyDescent="0.25">
      <c r="K3744"/>
      <c r="L3744"/>
      <c r="M3744" s="7"/>
      <c r="W3744"/>
    </row>
    <row r="3745" spans="11:23" x14ac:dyDescent="0.25">
      <c r="K3745"/>
      <c r="L3745"/>
      <c r="M3745" s="7"/>
      <c r="W3745"/>
    </row>
    <row r="3746" spans="11:23" x14ac:dyDescent="0.25">
      <c r="K3746"/>
      <c r="L3746"/>
      <c r="M3746" s="7"/>
      <c r="W3746"/>
    </row>
    <row r="3747" spans="11:23" x14ac:dyDescent="0.25">
      <c r="K3747"/>
      <c r="L3747"/>
      <c r="M3747" s="7"/>
      <c r="W3747"/>
    </row>
    <row r="3748" spans="11:23" x14ac:dyDescent="0.25">
      <c r="K3748"/>
      <c r="L3748"/>
      <c r="M3748" s="7"/>
      <c r="W3748"/>
    </row>
    <row r="3749" spans="11:23" x14ac:dyDescent="0.25">
      <c r="K3749"/>
      <c r="L3749"/>
      <c r="M3749" s="7"/>
      <c r="W3749"/>
    </row>
    <row r="3750" spans="11:23" x14ac:dyDescent="0.25">
      <c r="K3750"/>
      <c r="L3750"/>
      <c r="M3750" s="7"/>
      <c r="W3750"/>
    </row>
    <row r="3751" spans="11:23" x14ac:dyDescent="0.25">
      <c r="K3751"/>
      <c r="L3751"/>
      <c r="M3751" s="7"/>
      <c r="W3751"/>
    </row>
    <row r="3752" spans="11:23" x14ac:dyDescent="0.25">
      <c r="K3752"/>
      <c r="L3752"/>
      <c r="M3752" s="7"/>
      <c r="W3752"/>
    </row>
    <row r="3753" spans="11:23" x14ac:dyDescent="0.25">
      <c r="K3753"/>
      <c r="L3753"/>
      <c r="M3753" s="7"/>
      <c r="W3753"/>
    </row>
    <row r="3754" spans="11:23" x14ac:dyDescent="0.25">
      <c r="K3754"/>
      <c r="L3754"/>
      <c r="M3754" s="7"/>
      <c r="W3754"/>
    </row>
    <row r="3755" spans="11:23" x14ac:dyDescent="0.25">
      <c r="K3755"/>
      <c r="L3755"/>
      <c r="M3755" s="7"/>
      <c r="W3755"/>
    </row>
    <row r="3756" spans="11:23" x14ac:dyDescent="0.25">
      <c r="K3756"/>
      <c r="L3756"/>
      <c r="M3756" s="7"/>
      <c r="W3756"/>
    </row>
    <row r="3757" spans="11:23" x14ac:dyDescent="0.25">
      <c r="K3757"/>
      <c r="L3757"/>
      <c r="M3757" s="7"/>
      <c r="W3757"/>
    </row>
    <row r="3758" spans="11:23" x14ac:dyDescent="0.25">
      <c r="K3758"/>
      <c r="L3758"/>
      <c r="M3758" s="7"/>
      <c r="W3758"/>
    </row>
    <row r="3759" spans="11:23" x14ac:dyDescent="0.25">
      <c r="K3759"/>
      <c r="L3759"/>
      <c r="M3759" s="7"/>
      <c r="W3759"/>
    </row>
    <row r="3760" spans="11:23" x14ac:dyDescent="0.25">
      <c r="K3760"/>
      <c r="L3760"/>
      <c r="M3760" s="7"/>
      <c r="W3760"/>
    </row>
    <row r="3761" spans="11:23" x14ac:dyDescent="0.25">
      <c r="K3761"/>
      <c r="L3761"/>
      <c r="M3761" s="7"/>
      <c r="W3761"/>
    </row>
    <row r="3762" spans="11:23" x14ac:dyDescent="0.25">
      <c r="K3762"/>
      <c r="L3762"/>
      <c r="M3762" s="7"/>
      <c r="W3762"/>
    </row>
    <row r="3763" spans="11:23" x14ac:dyDescent="0.25">
      <c r="K3763"/>
      <c r="L3763"/>
      <c r="M3763" s="7"/>
      <c r="W3763"/>
    </row>
    <row r="3764" spans="11:23" x14ac:dyDescent="0.25">
      <c r="K3764"/>
      <c r="L3764"/>
      <c r="M3764" s="7"/>
      <c r="W3764"/>
    </row>
    <row r="3765" spans="11:23" x14ac:dyDescent="0.25">
      <c r="K3765"/>
      <c r="L3765"/>
      <c r="M3765" s="7"/>
      <c r="W3765"/>
    </row>
    <row r="3766" spans="11:23" x14ac:dyDescent="0.25">
      <c r="K3766"/>
      <c r="L3766"/>
      <c r="M3766" s="7"/>
      <c r="W3766"/>
    </row>
    <row r="3767" spans="11:23" x14ac:dyDescent="0.25">
      <c r="K3767"/>
      <c r="L3767"/>
      <c r="M3767" s="7"/>
      <c r="W3767"/>
    </row>
    <row r="3768" spans="11:23" x14ac:dyDescent="0.25">
      <c r="K3768"/>
      <c r="L3768"/>
      <c r="M3768" s="7"/>
      <c r="W3768"/>
    </row>
    <row r="3769" spans="11:23" x14ac:dyDescent="0.25">
      <c r="K3769"/>
      <c r="L3769"/>
      <c r="M3769" s="7"/>
      <c r="W3769"/>
    </row>
    <row r="3770" spans="11:23" x14ac:dyDescent="0.25">
      <c r="K3770"/>
      <c r="L3770"/>
      <c r="M3770" s="7"/>
      <c r="W3770"/>
    </row>
    <row r="3771" spans="11:23" x14ac:dyDescent="0.25">
      <c r="K3771"/>
      <c r="L3771"/>
      <c r="M3771" s="7"/>
      <c r="W3771"/>
    </row>
    <row r="3772" spans="11:23" x14ac:dyDescent="0.25">
      <c r="K3772"/>
      <c r="L3772"/>
      <c r="M3772" s="7"/>
      <c r="W3772"/>
    </row>
    <row r="3773" spans="11:23" x14ac:dyDescent="0.25">
      <c r="K3773"/>
      <c r="L3773"/>
      <c r="M3773" s="7"/>
      <c r="W3773"/>
    </row>
    <row r="3774" spans="11:23" x14ac:dyDescent="0.25">
      <c r="K3774"/>
      <c r="L3774"/>
      <c r="M3774" s="7"/>
      <c r="W3774"/>
    </row>
    <row r="3775" spans="11:23" x14ac:dyDescent="0.25">
      <c r="K3775"/>
      <c r="L3775"/>
      <c r="M3775" s="7"/>
      <c r="W3775"/>
    </row>
    <row r="3776" spans="11:23" x14ac:dyDescent="0.25">
      <c r="K3776"/>
      <c r="L3776"/>
      <c r="M3776" s="7"/>
      <c r="W3776"/>
    </row>
    <row r="3777" spans="11:23" x14ac:dyDescent="0.25">
      <c r="K3777"/>
      <c r="L3777"/>
      <c r="M3777" s="7"/>
      <c r="W3777"/>
    </row>
    <row r="3778" spans="11:23" x14ac:dyDescent="0.25">
      <c r="K3778"/>
      <c r="L3778"/>
      <c r="M3778" s="7"/>
      <c r="W3778"/>
    </row>
    <row r="3779" spans="11:23" x14ac:dyDescent="0.25">
      <c r="K3779"/>
      <c r="L3779"/>
      <c r="M3779" s="7"/>
      <c r="W3779"/>
    </row>
    <row r="3780" spans="11:23" x14ac:dyDescent="0.25">
      <c r="K3780"/>
      <c r="L3780"/>
      <c r="M3780" s="7"/>
      <c r="W3780"/>
    </row>
    <row r="3781" spans="11:23" x14ac:dyDescent="0.25">
      <c r="K3781"/>
      <c r="L3781"/>
      <c r="M3781" s="7"/>
      <c r="W3781"/>
    </row>
    <row r="3782" spans="11:23" x14ac:dyDescent="0.25">
      <c r="K3782"/>
      <c r="L3782"/>
      <c r="M3782" s="7"/>
      <c r="W3782"/>
    </row>
    <row r="3783" spans="11:23" x14ac:dyDescent="0.25">
      <c r="K3783"/>
      <c r="L3783"/>
      <c r="M3783" s="7"/>
      <c r="W3783"/>
    </row>
    <row r="3784" spans="11:23" x14ac:dyDescent="0.25">
      <c r="K3784"/>
      <c r="L3784"/>
      <c r="M3784" s="7"/>
      <c r="W3784"/>
    </row>
    <row r="3785" spans="11:23" x14ac:dyDescent="0.25">
      <c r="K3785"/>
      <c r="L3785"/>
      <c r="M3785" s="7"/>
      <c r="W3785"/>
    </row>
    <row r="3786" spans="11:23" x14ac:dyDescent="0.25">
      <c r="K3786"/>
      <c r="L3786"/>
      <c r="M3786" s="7"/>
      <c r="W3786"/>
    </row>
    <row r="3787" spans="11:23" x14ac:dyDescent="0.25">
      <c r="K3787"/>
      <c r="L3787"/>
      <c r="M3787" s="7"/>
      <c r="W3787"/>
    </row>
    <row r="3788" spans="11:23" x14ac:dyDescent="0.25">
      <c r="K3788"/>
      <c r="L3788"/>
      <c r="M3788" s="7"/>
      <c r="W3788"/>
    </row>
    <row r="3789" spans="11:23" x14ac:dyDescent="0.25">
      <c r="K3789"/>
      <c r="L3789"/>
      <c r="M3789" s="7"/>
      <c r="W3789"/>
    </row>
    <row r="3790" spans="11:23" x14ac:dyDescent="0.25">
      <c r="K3790"/>
      <c r="L3790"/>
      <c r="M3790" s="7"/>
      <c r="W3790"/>
    </row>
    <row r="3791" spans="11:23" x14ac:dyDescent="0.25">
      <c r="K3791"/>
      <c r="L3791"/>
      <c r="M3791" s="7"/>
      <c r="W3791"/>
    </row>
    <row r="3792" spans="11:23" x14ac:dyDescent="0.25">
      <c r="K3792"/>
      <c r="L3792"/>
      <c r="M3792" s="7"/>
      <c r="W3792"/>
    </row>
    <row r="3793" spans="11:23" x14ac:dyDescent="0.25">
      <c r="K3793"/>
      <c r="L3793"/>
      <c r="M3793" s="7"/>
      <c r="W3793"/>
    </row>
    <row r="3794" spans="11:23" x14ac:dyDescent="0.25">
      <c r="K3794"/>
      <c r="L3794"/>
      <c r="M3794" s="7"/>
      <c r="W3794"/>
    </row>
    <row r="3795" spans="11:23" x14ac:dyDescent="0.25">
      <c r="K3795"/>
      <c r="L3795"/>
      <c r="M3795" s="7"/>
      <c r="W3795"/>
    </row>
    <row r="3796" spans="11:23" x14ac:dyDescent="0.25">
      <c r="K3796"/>
      <c r="L3796"/>
      <c r="M3796" s="7"/>
      <c r="W3796"/>
    </row>
    <row r="3797" spans="11:23" x14ac:dyDescent="0.25">
      <c r="K3797"/>
      <c r="L3797"/>
      <c r="M3797" s="7"/>
      <c r="W3797"/>
    </row>
    <row r="3798" spans="11:23" x14ac:dyDescent="0.25">
      <c r="K3798"/>
      <c r="L3798"/>
      <c r="M3798" s="7"/>
      <c r="W3798"/>
    </row>
    <row r="3799" spans="11:23" x14ac:dyDescent="0.25">
      <c r="K3799"/>
      <c r="L3799"/>
      <c r="M3799" s="7"/>
      <c r="W3799"/>
    </row>
    <row r="3800" spans="11:23" x14ac:dyDescent="0.25">
      <c r="K3800"/>
      <c r="L3800"/>
      <c r="M3800" s="7"/>
      <c r="W3800"/>
    </row>
    <row r="3801" spans="11:23" x14ac:dyDescent="0.25">
      <c r="K3801"/>
      <c r="L3801"/>
      <c r="M3801" s="7"/>
      <c r="W3801"/>
    </row>
    <row r="3802" spans="11:23" x14ac:dyDescent="0.25">
      <c r="K3802"/>
      <c r="L3802"/>
      <c r="M3802" s="7"/>
      <c r="W3802"/>
    </row>
    <row r="3803" spans="11:23" x14ac:dyDescent="0.25">
      <c r="K3803"/>
      <c r="L3803"/>
      <c r="M3803" s="7"/>
      <c r="W3803"/>
    </row>
    <row r="3804" spans="11:23" x14ac:dyDescent="0.25">
      <c r="K3804"/>
      <c r="L3804"/>
      <c r="M3804" s="7"/>
      <c r="W3804"/>
    </row>
    <row r="3805" spans="11:23" x14ac:dyDescent="0.25">
      <c r="K3805"/>
      <c r="L3805"/>
      <c r="M3805" s="7"/>
      <c r="W3805"/>
    </row>
    <row r="3806" spans="11:23" x14ac:dyDescent="0.25">
      <c r="K3806"/>
      <c r="L3806"/>
      <c r="M3806" s="7"/>
      <c r="W3806"/>
    </row>
    <row r="3807" spans="11:23" x14ac:dyDescent="0.25">
      <c r="K3807"/>
      <c r="L3807"/>
      <c r="M3807" s="7"/>
      <c r="W3807"/>
    </row>
    <row r="3808" spans="11:23" x14ac:dyDescent="0.25">
      <c r="K3808"/>
      <c r="L3808"/>
      <c r="M3808" s="7"/>
      <c r="W3808"/>
    </row>
    <row r="3809" spans="11:23" x14ac:dyDescent="0.25">
      <c r="K3809"/>
      <c r="L3809"/>
      <c r="M3809" s="7"/>
      <c r="W3809"/>
    </row>
    <row r="3810" spans="11:23" x14ac:dyDescent="0.25">
      <c r="K3810"/>
      <c r="L3810"/>
      <c r="M3810" s="7"/>
      <c r="W3810"/>
    </row>
    <row r="3811" spans="11:23" x14ac:dyDescent="0.25">
      <c r="K3811"/>
      <c r="L3811"/>
      <c r="M3811" s="7"/>
      <c r="W3811"/>
    </row>
    <row r="3812" spans="11:23" x14ac:dyDescent="0.25">
      <c r="K3812"/>
      <c r="L3812"/>
      <c r="M3812" s="7"/>
      <c r="W3812"/>
    </row>
    <row r="3813" spans="11:23" x14ac:dyDescent="0.25">
      <c r="K3813"/>
      <c r="L3813"/>
      <c r="M3813" s="7"/>
      <c r="W3813"/>
    </row>
    <row r="3814" spans="11:23" x14ac:dyDescent="0.25">
      <c r="K3814"/>
      <c r="L3814"/>
      <c r="M3814" s="7"/>
      <c r="W3814"/>
    </row>
    <row r="3815" spans="11:23" x14ac:dyDescent="0.25">
      <c r="K3815"/>
      <c r="L3815"/>
      <c r="M3815" s="7"/>
      <c r="W3815"/>
    </row>
    <row r="3816" spans="11:23" x14ac:dyDescent="0.25">
      <c r="K3816"/>
      <c r="L3816"/>
      <c r="M3816" s="7"/>
      <c r="W3816"/>
    </row>
    <row r="3817" spans="11:23" x14ac:dyDescent="0.25">
      <c r="K3817"/>
      <c r="L3817"/>
      <c r="M3817" s="7"/>
      <c r="W3817"/>
    </row>
    <row r="3818" spans="11:23" x14ac:dyDescent="0.25">
      <c r="K3818"/>
      <c r="L3818"/>
      <c r="M3818" s="7"/>
      <c r="W3818"/>
    </row>
    <row r="3819" spans="11:23" x14ac:dyDescent="0.25">
      <c r="K3819"/>
      <c r="L3819"/>
      <c r="M3819" s="7"/>
      <c r="W3819"/>
    </row>
    <row r="3820" spans="11:23" x14ac:dyDescent="0.25">
      <c r="K3820"/>
      <c r="L3820"/>
      <c r="M3820" s="7"/>
      <c r="W3820"/>
    </row>
    <row r="3821" spans="11:23" x14ac:dyDescent="0.25">
      <c r="K3821"/>
      <c r="L3821"/>
      <c r="M3821" s="7"/>
      <c r="W3821"/>
    </row>
    <row r="3822" spans="11:23" x14ac:dyDescent="0.25">
      <c r="K3822"/>
      <c r="L3822"/>
      <c r="M3822" s="7"/>
      <c r="W3822"/>
    </row>
    <row r="3823" spans="11:23" x14ac:dyDescent="0.25">
      <c r="K3823"/>
      <c r="L3823"/>
      <c r="M3823" s="7"/>
      <c r="W3823"/>
    </row>
    <row r="3824" spans="11:23" x14ac:dyDescent="0.25">
      <c r="K3824"/>
      <c r="L3824"/>
      <c r="M3824" s="7"/>
      <c r="W3824"/>
    </row>
    <row r="3825" spans="11:23" x14ac:dyDescent="0.25">
      <c r="K3825"/>
      <c r="L3825"/>
      <c r="M3825" s="7"/>
      <c r="W3825"/>
    </row>
    <row r="3826" spans="11:23" x14ac:dyDescent="0.25">
      <c r="K3826"/>
      <c r="L3826"/>
      <c r="M3826" s="7"/>
      <c r="W3826"/>
    </row>
    <row r="3827" spans="11:23" x14ac:dyDescent="0.25">
      <c r="K3827"/>
      <c r="L3827"/>
      <c r="M3827" s="7"/>
      <c r="W3827"/>
    </row>
    <row r="3828" spans="11:23" x14ac:dyDescent="0.25">
      <c r="K3828"/>
      <c r="L3828"/>
      <c r="M3828" s="7"/>
      <c r="W3828"/>
    </row>
    <row r="3829" spans="11:23" x14ac:dyDescent="0.25">
      <c r="K3829"/>
      <c r="L3829"/>
      <c r="M3829" s="7"/>
      <c r="W3829"/>
    </row>
    <row r="3830" spans="11:23" x14ac:dyDescent="0.25">
      <c r="K3830"/>
      <c r="L3830"/>
      <c r="M3830" s="7"/>
      <c r="W3830"/>
    </row>
    <row r="3831" spans="11:23" x14ac:dyDescent="0.25">
      <c r="K3831"/>
      <c r="L3831"/>
      <c r="M3831" s="7"/>
      <c r="W3831"/>
    </row>
    <row r="3832" spans="11:23" x14ac:dyDescent="0.25">
      <c r="K3832"/>
      <c r="L3832"/>
      <c r="M3832" s="7"/>
      <c r="W3832"/>
    </row>
    <row r="3833" spans="11:23" x14ac:dyDescent="0.25">
      <c r="K3833"/>
      <c r="L3833"/>
      <c r="M3833" s="7"/>
      <c r="W3833"/>
    </row>
    <row r="3834" spans="11:23" x14ac:dyDescent="0.25">
      <c r="K3834"/>
      <c r="L3834"/>
      <c r="M3834" s="7"/>
      <c r="W3834"/>
    </row>
    <row r="3835" spans="11:23" x14ac:dyDescent="0.25">
      <c r="K3835"/>
      <c r="L3835"/>
      <c r="M3835" s="7"/>
      <c r="W3835"/>
    </row>
    <row r="3836" spans="11:23" x14ac:dyDescent="0.25">
      <c r="K3836"/>
      <c r="L3836"/>
      <c r="M3836" s="7"/>
      <c r="W3836"/>
    </row>
    <row r="3837" spans="11:23" x14ac:dyDescent="0.25">
      <c r="K3837"/>
      <c r="L3837"/>
      <c r="M3837" s="7"/>
      <c r="W3837"/>
    </row>
    <row r="3838" spans="11:23" x14ac:dyDescent="0.25">
      <c r="K3838"/>
      <c r="L3838"/>
      <c r="M3838" s="7"/>
      <c r="W3838"/>
    </row>
    <row r="3839" spans="11:23" x14ac:dyDescent="0.25">
      <c r="K3839"/>
      <c r="L3839"/>
      <c r="M3839" s="7"/>
      <c r="W3839"/>
    </row>
    <row r="3840" spans="11:23" x14ac:dyDescent="0.25">
      <c r="K3840"/>
      <c r="L3840"/>
      <c r="M3840" s="7"/>
      <c r="W3840"/>
    </row>
    <row r="3841" spans="11:23" x14ac:dyDescent="0.25">
      <c r="K3841"/>
      <c r="L3841"/>
      <c r="M3841" s="7"/>
      <c r="W3841"/>
    </row>
    <row r="3842" spans="11:23" x14ac:dyDescent="0.25">
      <c r="K3842"/>
      <c r="L3842"/>
      <c r="M3842" s="7"/>
      <c r="W3842"/>
    </row>
    <row r="3843" spans="11:23" x14ac:dyDescent="0.25">
      <c r="K3843"/>
      <c r="L3843"/>
      <c r="M3843" s="7"/>
      <c r="W3843"/>
    </row>
    <row r="3844" spans="11:23" x14ac:dyDescent="0.25">
      <c r="K3844"/>
      <c r="L3844"/>
      <c r="M3844" s="7"/>
      <c r="W3844"/>
    </row>
    <row r="3845" spans="11:23" x14ac:dyDescent="0.25">
      <c r="K3845"/>
      <c r="L3845"/>
      <c r="M3845" s="7"/>
      <c r="W3845"/>
    </row>
    <row r="3846" spans="11:23" x14ac:dyDescent="0.25">
      <c r="K3846"/>
      <c r="L3846"/>
      <c r="M3846" s="7"/>
      <c r="W3846"/>
    </row>
    <row r="3847" spans="11:23" x14ac:dyDescent="0.25">
      <c r="K3847"/>
      <c r="L3847"/>
      <c r="M3847" s="7"/>
      <c r="W3847"/>
    </row>
    <row r="3848" spans="11:23" x14ac:dyDescent="0.25">
      <c r="K3848"/>
      <c r="L3848"/>
      <c r="M3848" s="7"/>
      <c r="W3848"/>
    </row>
    <row r="3849" spans="11:23" x14ac:dyDescent="0.25">
      <c r="K3849"/>
      <c r="L3849"/>
      <c r="M3849" s="7"/>
      <c r="W3849"/>
    </row>
    <row r="3850" spans="11:23" x14ac:dyDescent="0.25">
      <c r="K3850"/>
      <c r="L3850"/>
      <c r="M3850" s="7"/>
      <c r="W3850"/>
    </row>
    <row r="3851" spans="11:23" x14ac:dyDescent="0.25">
      <c r="K3851"/>
      <c r="L3851"/>
      <c r="M3851" s="7"/>
      <c r="W3851"/>
    </row>
    <row r="3852" spans="11:23" x14ac:dyDescent="0.25">
      <c r="K3852"/>
      <c r="L3852"/>
      <c r="M3852" s="7"/>
      <c r="W3852"/>
    </row>
    <row r="3853" spans="11:23" x14ac:dyDescent="0.25">
      <c r="K3853"/>
      <c r="L3853"/>
      <c r="M3853" s="7"/>
      <c r="W3853"/>
    </row>
    <row r="3854" spans="11:23" x14ac:dyDescent="0.25">
      <c r="K3854"/>
      <c r="L3854"/>
      <c r="M3854" s="7"/>
      <c r="W3854"/>
    </row>
    <row r="3855" spans="11:23" x14ac:dyDescent="0.25">
      <c r="K3855"/>
      <c r="L3855"/>
      <c r="M3855" s="7"/>
      <c r="W3855"/>
    </row>
    <row r="3856" spans="11:23" x14ac:dyDescent="0.25">
      <c r="K3856"/>
      <c r="L3856"/>
      <c r="M3856" s="7"/>
      <c r="W3856"/>
    </row>
    <row r="3857" spans="11:23" x14ac:dyDescent="0.25">
      <c r="K3857"/>
      <c r="L3857"/>
      <c r="M3857" s="7"/>
      <c r="W3857"/>
    </row>
    <row r="3858" spans="11:23" x14ac:dyDescent="0.25">
      <c r="K3858"/>
      <c r="L3858"/>
      <c r="M3858" s="7"/>
      <c r="W3858"/>
    </row>
    <row r="3859" spans="11:23" x14ac:dyDescent="0.25">
      <c r="K3859"/>
      <c r="L3859"/>
      <c r="M3859" s="7"/>
      <c r="W3859"/>
    </row>
    <row r="3860" spans="11:23" x14ac:dyDescent="0.25">
      <c r="K3860"/>
      <c r="L3860"/>
      <c r="M3860" s="7"/>
      <c r="W3860"/>
    </row>
    <row r="3861" spans="11:23" x14ac:dyDescent="0.25">
      <c r="K3861"/>
      <c r="L3861"/>
      <c r="M3861" s="7"/>
      <c r="W3861"/>
    </row>
    <row r="3862" spans="11:23" x14ac:dyDescent="0.25">
      <c r="K3862"/>
      <c r="L3862"/>
      <c r="M3862" s="7"/>
      <c r="W3862"/>
    </row>
    <row r="3863" spans="11:23" x14ac:dyDescent="0.25">
      <c r="K3863"/>
      <c r="L3863"/>
      <c r="M3863" s="7"/>
      <c r="W3863"/>
    </row>
    <row r="3864" spans="11:23" x14ac:dyDescent="0.25">
      <c r="K3864"/>
      <c r="L3864"/>
      <c r="M3864" s="7"/>
      <c r="W3864"/>
    </row>
    <row r="3865" spans="11:23" x14ac:dyDescent="0.25">
      <c r="K3865"/>
      <c r="L3865"/>
      <c r="M3865" s="7"/>
      <c r="W3865"/>
    </row>
    <row r="3866" spans="11:23" x14ac:dyDescent="0.25">
      <c r="K3866"/>
      <c r="L3866"/>
      <c r="M3866" s="7"/>
      <c r="W3866"/>
    </row>
    <row r="3867" spans="11:23" x14ac:dyDescent="0.25">
      <c r="K3867"/>
      <c r="L3867"/>
      <c r="M3867" s="7"/>
      <c r="W3867"/>
    </row>
    <row r="3868" spans="11:23" x14ac:dyDescent="0.25">
      <c r="K3868"/>
      <c r="L3868"/>
      <c r="M3868" s="7"/>
      <c r="W3868"/>
    </row>
    <row r="3869" spans="11:23" x14ac:dyDescent="0.25">
      <c r="K3869"/>
      <c r="L3869"/>
      <c r="M3869" s="7"/>
      <c r="W3869"/>
    </row>
    <row r="3870" spans="11:23" x14ac:dyDescent="0.25">
      <c r="K3870"/>
      <c r="L3870"/>
      <c r="M3870" s="7"/>
      <c r="W3870"/>
    </row>
    <row r="3871" spans="11:23" x14ac:dyDescent="0.25">
      <c r="K3871"/>
      <c r="L3871"/>
      <c r="M3871" s="7"/>
      <c r="W3871"/>
    </row>
    <row r="3872" spans="11:23" x14ac:dyDescent="0.25">
      <c r="K3872"/>
      <c r="L3872"/>
      <c r="M3872" s="7"/>
      <c r="W3872"/>
    </row>
    <row r="3873" spans="11:23" x14ac:dyDescent="0.25">
      <c r="K3873"/>
      <c r="L3873"/>
      <c r="M3873" s="7"/>
      <c r="W3873"/>
    </row>
    <row r="3874" spans="11:23" x14ac:dyDescent="0.25">
      <c r="K3874"/>
      <c r="L3874"/>
      <c r="M3874" s="7"/>
      <c r="W3874"/>
    </row>
    <row r="3875" spans="11:23" x14ac:dyDescent="0.25">
      <c r="K3875"/>
      <c r="L3875"/>
      <c r="M3875" s="7"/>
      <c r="W3875"/>
    </row>
    <row r="3876" spans="11:23" x14ac:dyDescent="0.25">
      <c r="K3876"/>
      <c r="L3876"/>
      <c r="M3876" s="7"/>
      <c r="W3876"/>
    </row>
    <row r="3877" spans="11:23" x14ac:dyDescent="0.25">
      <c r="K3877"/>
      <c r="L3877"/>
      <c r="M3877" s="7"/>
      <c r="W3877"/>
    </row>
    <row r="3878" spans="11:23" x14ac:dyDescent="0.25">
      <c r="K3878"/>
      <c r="L3878"/>
      <c r="M3878" s="7"/>
      <c r="W3878"/>
    </row>
    <row r="3879" spans="11:23" x14ac:dyDescent="0.25">
      <c r="K3879"/>
      <c r="L3879"/>
      <c r="M3879" s="7"/>
      <c r="W3879"/>
    </row>
    <row r="3880" spans="11:23" x14ac:dyDescent="0.25">
      <c r="K3880"/>
      <c r="L3880"/>
      <c r="M3880" s="7"/>
      <c r="W3880"/>
    </row>
    <row r="3881" spans="11:23" x14ac:dyDescent="0.25">
      <c r="K3881"/>
      <c r="L3881"/>
      <c r="M3881" s="7"/>
      <c r="W3881"/>
    </row>
    <row r="3882" spans="11:23" x14ac:dyDescent="0.25">
      <c r="K3882"/>
      <c r="L3882"/>
      <c r="M3882" s="7"/>
      <c r="W3882"/>
    </row>
    <row r="3883" spans="11:23" x14ac:dyDescent="0.25">
      <c r="K3883"/>
      <c r="L3883"/>
      <c r="M3883" s="7"/>
      <c r="W3883"/>
    </row>
    <row r="3884" spans="11:23" x14ac:dyDescent="0.25">
      <c r="K3884"/>
      <c r="L3884"/>
      <c r="M3884" s="7"/>
      <c r="W3884"/>
    </row>
    <row r="3885" spans="11:23" x14ac:dyDescent="0.25">
      <c r="K3885"/>
      <c r="L3885"/>
      <c r="M3885" s="7"/>
      <c r="W3885"/>
    </row>
    <row r="3886" spans="11:23" x14ac:dyDescent="0.25">
      <c r="K3886"/>
      <c r="L3886"/>
      <c r="M3886" s="7"/>
      <c r="W3886"/>
    </row>
    <row r="3887" spans="11:23" x14ac:dyDescent="0.25">
      <c r="K3887"/>
      <c r="L3887"/>
      <c r="M3887" s="7"/>
      <c r="W3887"/>
    </row>
    <row r="3888" spans="11:23" x14ac:dyDescent="0.25">
      <c r="K3888"/>
      <c r="L3888"/>
      <c r="M3888" s="7"/>
      <c r="W3888"/>
    </row>
    <row r="3889" spans="11:23" x14ac:dyDescent="0.25">
      <c r="K3889"/>
      <c r="L3889"/>
      <c r="M3889" s="7"/>
      <c r="W3889"/>
    </row>
    <row r="3890" spans="11:23" x14ac:dyDescent="0.25">
      <c r="K3890"/>
      <c r="L3890"/>
      <c r="M3890" s="7"/>
      <c r="W3890"/>
    </row>
    <row r="3891" spans="11:23" x14ac:dyDescent="0.25">
      <c r="K3891"/>
      <c r="L3891"/>
      <c r="M3891" s="7"/>
      <c r="W3891"/>
    </row>
    <row r="3892" spans="11:23" x14ac:dyDescent="0.25">
      <c r="K3892"/>
      <c r="L3892"/>
      <c r="M3892" s="7"/>
      <c r="W3892"/>
    </row>
    <row r="3893" spans="11:23" x14ac:dyDescent="0.25">
      <c r="K3893"/>
      <c r="L3893"/>
      <c r="M3893" s="7"/>
      <c r="W3893"/>
    </row>
    <row r="3894" spans="11:23" x14ac:dyDescent="0.25">
      <c r="K3894"/>
      <c r="L3894"/>
      <c r="M3894" s="7"/>
      <c r="W3894"/>
    </row>
    <row r="3895" spans="11:23" x14ac:dyDescent="0.25">
      <c r="K3895"/>
      <c r="L3895"/>
      <c r="M3895" s="7"/>
      <c r="W3895"/>
    </row>
    <row r="3896" spans="11:23" x14ac:dyDescent="0.25">
      <c r="K3896"/>
      <c r="L3896"/>
      <c r="M3896" s="7"/>
      <c r="W3896"/>
    </row>
    <row r="3897" spans="11:23" x14ac:dyDescent="0.25">
      <c r="K3897"/>
      <c r="L3897"/>
      <c r="M3897" s="7"/>
      <c r="W3897"/>
    </row>
    <row r="3898" spans="11:23" x14ac:dyDescent="0.25">
      <c r="K3898"/>
      <c r="L3898"/>
      <c r="M3898" s="7"/>
      <c r="W3898"/>
    </row>
    <row r="3899" spans="11:23" x14ac:dyDescent="0.25">
      <c r="K3899"/>
      <c r="L3899"/>
      <c r="M3899" s="7"/>
      <c r="W3899"/>
    </row>
    <row r="3900" spans="11:23" x14ac:dyDescent="0.25">
      <c r="K3900"/>
      <c r="L3900"/>
      <c r="M3900" s="7"/>
      <c r="W3900"/>
    </row>
    <row r="3901" spans="11:23" x14ac:dyDescent="0.25">
      <c r="K3901"/>
      <c r="L3901"/>
      <c r="M3901" s="7"/>
      <c r="W3901"/>
    </row>
    <row r="3902" spans="11:23" x14ac:dyDescent="0.25">
      <c r="K3902"/>
      <c r="L3902"/>
      <c r="M3902" s="7"/>
      <c r="W3902"/>
    </row>
    <row r="3903" spans="11:23" x14ac:dyDescent="0.25">
      <c r="K3903"/>
      <c r="L3903"/>
      <c r="M3903" s="7"/>
      <c r="W3903"/>
    </row>
    <row r="3904" spans="11:23" x14ac:dyDescent="0.25">
      <c r="K3904"/>
      <c r="L3904"/>
      <c r="M3904" s="7"/>
      <c r="W3904"/>
    </row>
    <row r="3905" spans="11:23" x14ac:dyDescent="0.25">
      <c r="K3905"/>
      <c r="L3905"/>
      <c r="M3905" s="7"/>
      <c r="W3905"/>
    </row>
    <row r="3906" spans="11:23" x14ac:dyDescent="0.25">
      <c r="K3906"/>
      <c r="L3906"/>
      <c r="M3906" s="7"/>
      <c r="W3906"/>
    </row>
    <row r="3907" spans="11:23" x14ac:dyDescent="0.25">
      <c r="K3907"/>
      <c r="L3907"/>
      <c r="M3907" s="7"/>
      <c r="W3907"/>
    </row>
    <row r="3908" spans="11:23" x14ac:dyDescent="0.25">
      <c r="K3908"/>
      <c r="L3908"/>
      <c r="M3908" s="7"/>
      <c r="W3908"/>
    </row>
    <row r="3909" spans="11:23" x14ac:dyDescent="0.25">
      <c r="K3909"/>
      <c r="L3909"/>
      <c r="M3909" s="7"/>
      <c r="W3909"/>
    </row>
    <row r="3910" spans="11:23" x14ac:dyDescent="0.25">
      <c r="K3910"/>
      <c r="L3910"/>
      <c r="M3910" s="7"/>
      <c r="W3910"/>
    </row>
    <row r="3911" spans="11:23" x14ac:dyDescent="0.25">
      <c r="K3911"/>
      <c r="L3911"/>
      <c r="M3911" s="7"/>
      <c r="W3911"/>
    </row>
    <row r="3912" spans="11:23" x14ac:dyDescent="0.25">
      <c r="K3912"/>
      <c r="L3912"/>
      <c r="M3912" s="7"/>
      <c r="W3912"/>
    </row>
    <row r="3913" spans="11:23" x14ac:dyDescent="0.25">
      <c r="K3913"/>
      <c r="L3913"/>
      <c r="M3913" s="7"/>
      <c r="W3913"/>
    </row>
    <row r="3914" spans="11:23" x14ac:dyDescent="0.25">
      <c r="K3914"/>
      <c r="L3914"/>
      <c r="M3914" s="7"/>
      <c r="W3914"/>
    </row>
    <row r="3915" spans="11:23" x14ac:dyDescent="0.25">
      <c r="K3915"/>
      <c r="L3915"/>
      <c r="M3915" s="7"/>
      <c r="W3915"/>
    </row>
    <row r="3916" spans="11:23" x14ac:dyDescent="0.25">
      <c r="K3916"/>
      <c r="L3916"/>
      <c r="M3916" s="7"/>
      <c r="W3916"/>
    </row>
    <row r="3917" spans="11:23" x14ac:dyDescent="0.25">
      <c r="K3917"/>
      <c r="L3917"/>
      <c r="M3917" s="7"/>
      <c r="W3917"/>
    </row>
    <row r="3918" spans="11:23" x14ac:dyDescent="0.25">
      <c r="K3918"/>
      <c r="L3918"/>
      <c r="M3918" s="7"/>
      <c r="W3918"/>
    </row>
    <row r="3919" spans="11:23" x14ac:dyDescent="0.25">
      <c r="K3919"/>
      <c r="L3919"/>
      <c r="M3919" s="7"/>
      <c r="W3919"/>
    </row>
    <row r="3920" spans="11:23" x14ac:dyDescent="0.25">
      <c r="K3920"/>
      <c r="L3920"/>
      <c r="M3920" s="7"/>
      <c r="W3920"/>
    </row>
    <row r="3921" spans="11:23" x14ac:dyDescent="0.25">
      <c r="K3921"/>
      <c r="L3921"/>
      <c r="M3921" s="7"/>
      <c r="W3921"/>
    </row>
    <row r="3922" spans="11:23" x14ac:dyDescent="0.25">
      <c r="K3922"/>
      <c r="L3922"/>
      <c r="M3922" s="7"/>
      <c r="W3922"/>
    </row>
    <row r="3923" spans="11:23" x14ac:dyDescent="0.25">
      <c r="K3923"/>
      <c r="L3923"/>
      <c r="M3923" s="7"/>
      <c r="W3923"/>
    </row>
    <row r="3924" spans="11:23" x14ac:dyDescent="0.25">
      <c r="K3924"/>
      <c r="L3924"/>
      <c r="M3924" s="7"/>
      <c r="W3924"/>
    </row>
    <row r="3925" spans="11:23" x14ac:dyDescent="0.25">
      <c r="K3925"/>
      <c r="L3925"/>
      <c r="M3925" s="7"/>
      <c r="W3925"/>
    </row>
    <row r="3926" spans="11:23" x14ac:dyDescent="0.25">
      <c r="K3926"/>
      <c r="L3926"/>
      <c r="M3926" s="7"/>
      <c r="W3926"/>
    </row>
    <row r="3927" spans="11:23" x14ac:dyDescent="0.25">
      <c r="K3927"/>
      <c r="L3927"/>
      <c r="M3927" s="7"/>
      <c r="W3927"/>
    </row>
    <row r="3928" spans="11:23" x14ac:dyDescent="0.25">
      <c r="K3928"/>
      <c r="L3928"/>
      <c r="M3928" s="7"/>
      <c r="W3928"/>
    </row>
    <row r="3929" spans="11:23" x14ac:dyDescent="0.25">
      <c r="K3929"/>
      <c r="L3929"/>
      <c r="M3929" s="7"/>
      <c r="W3929"/>
    </row>
    <row r="3930" spans="11:23" x14ac:dyDescent="0.25">
      <c r="K3930"/>
      <c r="L3930"/>
      <c r="M3930" s="7"/>
      <c r="W3930"/>
    </row>
    <row r="3931" spans="11:23" x14ac:dyDescent="0.25">
      <c r="K3931"/>
      <c r="L3931"/>
      <c r="M3931" s="7"/>
      <c r="W3931"/>
    </row>
    <row r="3932" spans="11:23" x14ac:dyDescent="0.25">
      <c r="K3932"/>
      <c r="L3932"/>
      <c r="M3932" s="7"/>
      <c r="W3932"/>
    </row>
    <row r="3933" spans="11:23" x14ac:dyDescent="0.25">
      <c r="K3933"/>
      <c r="L3933"/>
      <c r="M3933" s="7"/>
      <c r="W3933"/>
    </row>
    <row r="3934" spans="11:23" x14ac:dyDescent="0.25">
      <c r="K3934"/>
      <c r="L3934"/>
      <c r="M3934" s="7"/>
      <c r="W3934"/>
    </row>
    <row r="3935" spans="11:23" x14ac:dyDescent="0.25">
      <c r="K3935"/>
      <c r="L3935"/>
      <c r="M3935" s="7"/>
      <c r="W3935"/>
    </row>
    <row r="3936" spans="11:23" x14ac:dyDescent="0.25">
      <c r="K3936"/>
      <c r="L3936"/>
      <c r="M3936" s="7"/>
      <c r="W3936"/>
    </row>
    <row r="3937" spans="11:23" x14ac:dyDescent="0.25">
      <c r="K3937"/>
      <c r="L3937"/>
      <c r="M3937" s="7"/>
      <c r="W3937"/>
    </row>
    <row r="3938" spans="11:23" x14ac:dyDescent="0.25">
      <c r="K3938"/>
      <c r="L3938"/>
      <c r="M3938" s="7"/>
      <c r="W3938"/>
    </row>
    <row r="3939" spans="11:23" x14ac:dyDescent="0.25">
      <c r="K3939"/>
      <c r="L3939"/>
      <c r="M3939" s="7"/>
      <c r="W3939"/>
    </row>
    <row r="3940" spans="11:23" x14ac:dyDescent="0.25">
      <c r="K3940"/>
      <c r="L3940"/>
      <c r="M3940" s="7"/>
      <c r="W3940"/>
    </row>
    <row r="3941" spans="11:23" x14ac:dyDescent="0.25">
      <c r="K3941"/>
      <c r="L3941"/>
      <c r="M3941" s="7"/>
      <c r="W3941"/>
    </row>
    <row r="3942" spans="11:23" x14ac:dyDescent="0.25">
      <c r="K3942"/>
      <c r="L3942"/>
      <c r="M3942" s="7"/>
      <c r="W3942"/>
    </row>
    <row r="3943" spans="11:23" x14ac:dyDescent="0.25">
      <c r="K3943"/>
      <c r="L3943"/>
      <c r="M3943" s="7"/>
      <c r="W3943"/>
    </row>
    <row r="3944" spans="11:23" x14ac:dyDescent="0.25">
      <c r="K3944"/>
      <c r="L3944"/>
      <c r="M3944" s="7"/>
      <c r="W3944"/>
    </row>
    <row r="3945" spans="11:23" x14ac:dyDescent="0.25">
      <c r="K3945"/>
      <c r="L3945"/>
      <c r="M3945" s="7"/>
      <c r="W3945"/>
    </row>
    <row r="3946" spans="11:23" x14ac:dyDescent="0.25">
      <c r="K3946"/>
      <c r="L3946"/>
      <c r="M3946" s="7"/>
      <c r="W3946"/>
    </row>
    <row r="3947" spans="11:23" x14ac:dyDescent="0.25">
      <c r="K3947"/>
      <c r="L3947"/>
      <c r="M3947" s="7"/>
      <c r="W3947"/>
    </row>
    <row r="3948" spans="11:23" x14ac:dyDescent="0.25">
      <c r="K3948"/>
      <c r="L3948"/>
      <c r="M3948" s="7"/>
      <c r="W3948"/>
    </row>
    <row r="3949" spans="11:23" x14ac:dyDescent="0.25">
      <c r="K3949"/>
      <c r="L3949"/>
      <c r="M3949" s="7"/>
      <c r="W3949"/>
    </row>
    <row r="3950" spans="11:23" x14ac:dyDescent="0.25">
      <c r="K3950"/>
      <c r="L3950"/>
      <c r="M3950" s="7"/>
      <c r="W3950"/>
    </row>
    <row r="3951" spans="11:23" x14ac:dyDescent="0.25">
      <c r="K3951"/>
      <c r="L3951"/>
      <c r="M3951" s="7"/>
      <c r="W3951"/>
    </row>
    <row r="3952" spans="11:23" x14ac:dyDescent="0.25">
      <c r="K3952"/>
      <c r="L3952"/>
      <c r="M3952" s="7"/>
      <c r="W3952"/>
    </row>
    <row r="3953" spans="11:23" x14ac:dyDescent="0.25">
      <c r="K3953"/>
      <c r="L3953"/>
      <c r="M3953" s="7"/>
      <c r="W3953"/>
    </row>
    <row r="3954" spans="11:23" x14ac:dyDescent="0.25">
      <c r="K3954"/>
      <c r="L3954"/>
      <c r="M3954" s="7"/>
      <c r="W3954"/>
    </row>
    <row r="3955" spans="11:23" x14ac:dyDescent="0.25">
      <c r="K3955"/>
      <c r="L3955"/>
      <c r="M3955" s="7"/>
      <c r="W3955"/>
    </row>
    <row r="3956" spans="11:23" x14ac:dyDescent="0.25">
      <c r="K3956"/>
      <c r="L3956"/>
      <c r="M3956" s="7"/>
      <c r="W3956"/>
    </row>
    <row r="3957" spans="11:23" x14ac:dyDescent="0.25">
      <c r="K3957"/>
      <c r="L3957"/>
      <c r="M3957" s="7"/>
      <c r="W3957"/>
    </row>
    <row r="3958" spans="11:23" x14ac:dyDescent="0.25">
      <c r="K3958"/>
      <c r="L3958"/>
      <c r="M3958" s="7"/>
      <c r="W3958"/>
    </row>
    <row r="3959" spans="11:23" x14ac:dyDescent="0.25">
      <c r="K3959"/>
      <c r="L3959"/>
      <c r="M3959" s="7"/>
      <c r="W3959"/>
    </row>
    <row r="3960" spans="11:23" x14ac:dyDescent="0.25">
      <c r="K3960"/>
      <c r="L3960"/>
      <c r="M3960" s="7"/>
      <c r="W3960"/>
    </row>
    <row r="3961" spans="11:23" x14ac:dyDescent="0.25">
      <c r="K3961"/>
      <c r="L3961"/>
      <c r="M3961" s="7"/>
      <c r="W3961"/>
    </row>
    <row r="3962" spans="11:23" x14ac:dyDescent="0.25">
      <c r="K3962"/>
      <c r="L3962"/>
      <c r="M3962" s="7"/>
      <c r="W3962"/>
    </row>
    <row r="3963" spans="11:23" x14ac:dyDescent="0.25">
      <c r="K3963"/>
      <c r="L3963"/>
      <c r="M3963" s="7"/>
      <c r="W3963"/>
    </row>
    <row r="3964" spans="11:23" x14ac:dyDescent="0.25">
      <c r="K3964"/>
      <c r="L3964"/>
      <c r="M3964" s="7"/>
      <c r="W3964"/>
    </row>
    <row r="3965" spans="11:23" x14ac:dyDescent="0.25">
      <c r="K3965"/>
      <c r="L3965"/>
      <c r="M3965" s="7"/>
      <c r="W3965"/>
    </row>
    <row r="3966" spans="11:23" x14ac:dyDescent="0.25">
      <c r="K3966"/>
      <c r="L3966"/>
      <c r="M3966" s="7"/>
      <c r="W3966"/>
    </row>
    <row r="3967" spans="11:23" x14ac:dyDescent="0.25">
      <c r="K3967"/>
      <c r="L3967"/>
      <c r="M3967" s="7"/>
      <c r="W3967"/>
    </row>
    <row r="3968" spans="11:23" x14ac:dyDescent="0.25">
      <c r="K3968"/>
      <c r="L3968"/>
      <c r="M3968" s="7"/>
      <c r="W3968"/>
    </row>
    <row r="3969" spans="11:23" x14ac:dyDescent="0.25">
      <c r="K3969"/>
      <c r="L3969"/>
      <c r="M3969" s="7"/>
      <c r="W3969"/>
    </row>
    <row r="3970" spans="11:23" x14ac:dyDescent="0.25">
      <c r="K3970"/>
      <c r="L3970"/>
      <c r="M3970" s="7"/>
      <c r="W3970"/>
    </row>
    <row r="3971" spans="11:23" x14ac:dyDescent="0.25">
      <c r="K3971"/>
      <c r="L3971"/>
      <c r="M3971" s="7"/>
      <c r="W3971"/>
    </row>
    <row r="3972" spans="11:23" x14ac:dyDescent="0.25">
      <c r="K3972"/>
      <c r="L3972"/>
      <c r="M3972" s="7"/>
      <c r="W3972"/>
    </row>
    <row r="3973" spans="11:23" x14ac:dyDescent="0.25">
      <c r="K3973"/>
      <c r="L3973"/>
      <c r="M3973" s="7"/>
      <c r="W3973"/>
    </row>
    <row r="3974" spans="11:23" x14ac:dyDescent="0.25">
      <c r="K3974"/>
      <c r="L3974"/>
      <c r="M3974" s="7"/>
      <c r="W3974"/>
    </row>
    <row r="3975" spans="11:23" x14ac:dyDescent="0.25">
      <c r="K3975"/>
      <c r="L3975"/>
      <c r="M3975" s="7"/>
      <c r="W3975"/>
    </row>
    <row r="3976" spans="11:23" x14ac:dyDescent="0.25">
      <c r="K3976"/>
      <c r="L3976"/>
      <c r="M3976" s="7"/>
      <c r="W3976"/>
    </row>
    <row r="3977" spans="11:23" x14ac:dyDescent="0.25">
      <c r="K3977"/>
      <c r="L3977"/>
      <c r="M3977" s="7"/>
      <c r="W3977"/>
    </row>
    <row r="3978" spans="11:23" x14ac:dyDescent="0.25">
      <c r="K3978"/>
      <c r="L3978"/>
      <c r="M3978" s="7"/>
      <c r="W3978"/>
    </row>
    <row r="3979" spans="11:23" x14ac:dyDescent="0.25">
      <c r="K3979"/>
      <c r="L3979"/>
      <c r="M3979" s="7"/>
      <c r="W3979"/>
    </row>
    <row r="3980" spans="11:23" x14ac:dyDescent="0.25">
      <c r="K3980"/>
      <c r="L3980"/>
      <c r="M3980" s="7"/>
      <c r="W3980"/>
    </row>
    <row r="3981" spans="11:23" x14ac:dyDescent="0.25">
      <c r="K3981"/>
      <c r="L3981"/>
      <c r="M3981" s="7"/>
      <c r="W3981"/>
    </row>
    <row r="3982" spans="11:23" x14ac:dyDescent="0.25">
      <c r="K3982"/>
      <c r="L3982"/>
      <c r="M3982" s="7"/>
      <c r="W3982"/>
    </row>
    <row r="3983" spans="11:23" x14ac:dyDescent="0.25">
      <c r="K3983"/>
      <c r="L3983"/>
      <c r="M3983" s="7"/>
      <c r="W3983"/>
    </row>
    <row r="3984" spans="11:23" x14ac:dyDescent="0.25">
      <c r="K3984"/>
      <c r="L3984"/>
      <c r="M3984" s="7"/>
      <c r="W3984"/>
    </row>
    <row r="3985" spans="11:23" x14ac:dyDescent="0.25">
      <c r="K3985"/>
      <c r="L3985"/>
      <c r="M3985" s="7"/>
      <c r="W3985"/>
    </row>
    <row r="3986" spans="11:23" x14ac:dyDescent="0.25">
      <c r="K3986"/>
      <c r="L3986"/>
      <c r="M3986" s="7"/>
      <c r="W3986"/>
    </row>
    <row r="3987" spans="11:23" x14ac:dyDescent="0.25">
      <c r="K3987"/>
      <c r="L3987"/>
      <c r="M3987" s="7"/>
      <c r="W3987"/>
    </row>
    <row r="3988" spans="11:23" x14ac:dyDescent="0.25">
      <c r="K3988"/>
      <c r="L3988"/>
      <c r="M3988" s="7"/>
      <c r="W3988"/>
    </row>
    <row r="3989" spans="11:23" x14ac:dyDescent="0.25">
      <c r="K3989"/>
      <c r="L3989"/>
      <c r="M3989" s="7"/>
      <c r="W3989"/>
    </row>
    <row r="3990" spans="11:23" x14ac:dyDescent="0.25">
      <c r="K3990"/>
      <c r="L3990"/>
      <c r="M3990" s="7"/>
      <c r="W3990"/>
    </row>
    <row r="3991" spans="11:23" x14ac:dyDescent="0.25">
      <c r="K3991"/>
      <c r="L3991"/>
      <c r="M3991" s="7"/>
      <c r="W3991"/>
    </row>
    <row r="3992" spans="11:23" x14ac:dyDescent="0.25">
      <c r="K3992"/>
      <c r="L3992"/>
      <c r="M3992" s="7"/>
      <c r="W3992"/>
    </row>
    <row r="3993" spans="11:23" x14ac:dyDescent="0.25">
      <c r="K3993"/>
      <c r="L3993"/>
      <c r="M3993" s="7"/>
      <c r="W3993"/>
    </row>
    <row r="3994" spans="11:23" x14ac:dyDescent="0.25">
      <c r="K3994"/>
      <c r="L3994"/>
      <c r="M3994" s="7"/>
      <c r="W3994"/>
    </row>
    <row r="3995" spans="11:23" x14ac:dyDescent="0.25">
      <c r="K3995"/>
      <c r="L3995"/>
      <c r="M3995" s="7"/>
      <c r="W3995"/>
    </row>
    <row r="3996" spans="11:23" x14ac:dyDescent="0.25">
      <c r="K3996"/>
      <c r="L3996"/>
      <c r="M3996" s="7"/>
      <c r="W3996"/>
    </row>
    <row r="3997" spans="11:23" x14ac:dyDescent="0.25">
      <c r="K3997"/>
      <c r="L3997"/>
      <c r="M3997" s="7"/>
      <c r="W3997"/>
    </row>
    <row r="3998" spans="11:23" x14ac:dyDescent="0.25">
      <c r="K3998"/>
      <c r="L3998"/>
      <c r="M3998" s="7"/>
      <c r="W3998"/>
    </row>
    <row r="3999" spans="11:23" x14ac:dyDescent="0.25">
      <c r="K3999"/>
      <c r="L3999"/>
      <c r="M3999" s="7"/>
      <c r="W3999"/>
    </row>
    <row r="4000" spans="11:23" x14ac:dyDescent="0.25">
      <c r="K4000"/>
      <c r="L4000"/>
      <c r="M4000" s="7"/>
      <c r="W4000"/>
    </row>
    <row r="4001" spans="11:23" x14ac:dyDescent="0.25">
      <c r="K4001"/>
      <c r="L4001"/>
      <c r="M4001" s="7"/>
      <c r="W4001"/>
    </row>
    <row r="4002" spans="11:23" x14ac:dyDescent="0.25">
      <c r="K4002"/>
      <c r="L4002"/>
      <c r="M4002" s="7"/>
      <c r="W4002"/>
    </row>
    <row r="4003" spans="11:23" x14ac:dyDescent="0.25">
      <c r="K4003"/>
      <c r="L4003"/>
      <c r="M4003" s="7"/>
      <c r="W4003"/>
    </row>
    <row r="4004" spans="11:23" x14ac:dyDescent="0.25">
      <c r="K4004"/>
      <c r="L4004"/>
      <c r="M4004" s="7"/>
      <c r="W4004"/>
    </row>
    <row r="4005" spans="11:23" x14ac:dyDescent="0.25">
      <c r="K4005"/>
      <c r="L4005"/>
      <c r="M4005" s="7"/>
      <c r="W4005"/>
    </row>
    <row r="4006" spans="11:23" x14ac:dyDescent="0.25">
      <c r="K4006"/>
      <c r="L4006"/>
      <c r="M4006" s="7"/>
      <c r="W4006"/>
    </row>
    <row r="4007" spans="11:23" x14ac:dyDescent="0.25">
      <c r="K4007"/>
      <c r="L4007"/>
      <c r="M4007" s="7"/>
      <c r="W4007"/>
    </row>
    <row r="4008" spans="11:23" x14ac:dyDescent="0.25">
      <c r="K4008"/>
      <c r="L4008"/>
      <c r="M4008" s="7"/>
      <c r="W4008"/>
    </row>
    <row r="4009" spans="11:23" x14ac:dyDescent="0.25">
      <c r="K4009"/>
      <c r="L4009"/>
      <c r="M4009" s="7"/>
      <c r="W4009"/>
    </row>
    <row r="4010" spans="11:23" x14ac:dyDescent="0.25">
      <c r="K4010"/>
      <c r="L4010"/>
      <c r="M4010" s="7"/>
      <c r="W4010"/>
    </row>
    <row r="4011" spans="11:23" x14ac:dyDescent="0.25">
      <c r="K4011"/>
      <c r="L4011"/>
      <c r="M4011" s="7"/>
      <c r="W4011"/>
    </row>
    <row r="4012" spans="11:23" x14ac:dyDescent="0.25">
      <c r="K4012"/>
      <c r="L4012"/>
      <c r="M4012" s="7"/>
      <c r="W4012"/>
    </row>
    <row r="4013" spans="11:23" x14ac:dyDescent="0.25">
      <c r="K4013"/>
      <c r="L4013"/>
      <c r="M4013" s="7"/>
      <c r="W4013"/>
    </row>
    <row r="4014" spans="11:23" x14ac:dyDescent="0.25">
      <c r="K4014"/>
      <c r="L4014"/>
      <c r="M4014" s="7"/>
      <c r="W4014"/>
    </row>
    <row r="4015" spans="11:23" x14ac:dyDescent="0.25">
      <c r="K4015"/>
      <c r="L4015"/>
      <c r="M4015" s="7"/>
      <c r="W4015"/>
    </row>
    <row r="4016" spans="11:23" x14ac:dyDescent="0.25">
      <c r="K4016"/>
      <c r="L4016"/>
      <c r="M4016" s="7"/>
      <c r="W4016"/>
    </row>
    <row r="4017" spans="11:23" x14ac:dyDescent="0.25">
      <c r="K4017"/>
      <c r="L4017"/>
      <c r="M4017" s="7"/>
      <c r="W4017"/>
    </row>
    <row r="4018" spans="11:23" x14ac:dyDescent="0.25">
      <c r="K4018"/>
      <c r="L4018"/>
      <c r="M4018" s="7"/>
      <c r="W4018"/>
    </row>
    <row r="4019" spans="11:23" x14ac:dyDescent="0.25">
      <c r="K4019"/>
      <c r="L4019"/>
      <c r="M4019" s="7"/>
      <c r="W4019"/>
    </row>
    <row r="4020" spans="11:23" x14ac:dyDescent="0.25">
      <c r="K4020"/>
      <c r="L4020"/>
      <c r="M4020" s="7"/>
      <c r="W4020"/>
    </row>
    <row r="4021" spans="11:23" x14ac:dyDescent="0.25">
      <c r="K4021"/>
      <c r="L4021"/>
      <c r="M4021" s="7"/>
      <c r="W4021"/>
    </row>
    <row r="4022" spans="11:23" x14ac:dyDescent="0.25">
      <c r="K4022"/>
      <c r="L4022"/>
      <c r="M4022" s="7"/>
      <c r="W4022"/>
    </row>
    <row r="4023" spans="11:23" x14ac:dyDescent="0.25">
      <c r="K4023"/>
      <c r="L4023"/>
      <c r="M4023" s="7"/>
      <c r="W4023"/>
    </row>
    <row r="4024" spans="11:23" x14ac:dyDescent="0.25">
      <c r="K4024"/>
      <c r="L4024"/>
      <c r="M4024" s="7"/>
      <c r="W4024"/>
    </row>
    <row r="4025" spans="11:23" x14ac:dyDescent="0.25">
      <c r="K4025"/>
      <c r="L4025"/>
      <c r="M4025" s="7"/>
      <c r="W4025"/>
    </row>
    <row r="4026" spans="11:23" x14ac:dyDescent="0.25">
      <c r="K4026"/>
      <c r="L4026"/>
      <c r="M4026" s="7"/>
      <c r="W4026"/>
    </row>
    <row r="4027" spans="11:23" x14ac:dyDescent="0.25">
      <c r="K4027"/>
      <c r="L4027"/>
      <c r="M4027" s="7"/>
      <c r="W4027"/>
    </row>
    <row r="4028" spans="11:23" x14ac:dyDescent="0.25">
      <c r="K4028"/>
      <c r="L4028"/>
      <c r="M4028" s="7"/>
      <c r="W4028"/>
    </row>
    <row r="4029" spans="11:23" x14ac:dyDescent="0.25">
      <c r="K4029"/>
      <c r="L4029"/>
      <c r="M4029" s="7"/>
      <c r="W4029"/>
    </row>
    <row r="4030" spans="11:23" x14ac:dyDescent="0.25">
      <c r="K4030"/>
      <c r="L4030"/>
      <c r="M4030" s="7"/>
      <c r="W4030"/>
    </row>
    <row r="4031" spans="11:23" x14ac:dyDescent="0.25">
      <c r="K4031"/>
      <c r="L4031"/>
      <c r="M4031" s="7"/>
      <c r="W4031"/>
    </row>
    <row r="4032" spans="11:23" x14ac:dyDescent="0.25">
      <c r="K4032"/>
      <c r="L4032"/>
      <c r="M4032" s="7"/>
      <c r="W4032"/>
    </row>
    <row r="4033" spans="11:23" x14ac:dyDescent="0.25">
      <c r="K4033"/>
      <c r="L4033"/>
      <c r="M4033" s="7"/>
      <c r="W4033"/>
    </row>
    <row r="4034" spans="11:23" x14ac:dyDescent="0.25">
      <c r="K4034"/>
      <c r="L4034"/>
      <c r="M4034" s="7"/>
      <c r="W4034"/>
    </row>
    <row r="4035" spans="11:23" x14ac:dyDescent="0.25">
      <c r="K4035"/>
      <c r="L4035"/>
      <c r="M4035" s="7"/>
      <c r="W4035"/>
    </row>
    <row r="4036" spans="11:23" x14ac:dyDescent="0.25">
      <c r="K4036"/>
      <c r="L4036"/>
      <c r="M4036" s="7"/>
      <c r="W4036"/>
    </row>
    <row r="4037" spans="11:23" x14ac:dyDescent="0.25">
      <c r="K4037"/>
      <c r="L4037"/>
      <c r="M4037" s="7"/>
      <c r="W4037"/>
    </row>
    <row r="4038" spans="11:23" x14ac:dyDescent="0.25">
      <c r="K4038"/>
      <c r="L4038"/>
      <c r="M4038" s="7"/>
      <c r="W4038"/>
    </row>
    <row r="4039" spans="11:23" x14ac:dyDescent="0.25">
      <c r="K4039"/>
      <c r="L4039"/>
      <c r="M4039" s="7"/>
      <c r="W4039"/>
    </row>
    <row r="4040" spans="11:23" x14ac:dyDescent="0.25">
      <c r="K4040"/>
      <c r="L4040"/>
      <c r="M4040" s="7"/>
      <c r="W4040"/>
    </row>
    <row r="4041" spans="11:23" x14ac:dyDescent="0.25">
      <c r="K4041"/>
      <c r="L4041"/>
      <c r="M4041" s="7"/>
      <c r="W4041"/>
    </row>
    <row r="4042" spans="11:23" x14ac:dyDescent="0.25">
      <c r="K4042"/>
      <c r="L4042"/>
      <c r="M4042" s="7"/>
      <c r="W4042"/>
    </row>
    <row r="4043" spans="11:23" x14ac:dyDescent="0.25">
      <c r="K4043"/>
      <c r="L4043"/>
      <c r="M4043" s="7"/>
      <c r="W4043"/>
    </row>
    <row r="4044" spans="11:23" x14ac:dyDescent="0.25">
      <c r="K4044"/>
      <c r="L4044"/>
      <c r="M4044" s="7"/>
      <c r="W4044"/>
    </row>
    <row r="4045" spans="11:23" x14ac:dyDescent="0.25">
      <c r="K4045"/>
      <c r="L4045"/>
      <c r="M4045" s="7"/>
      <c r="W4045"/>
    </row>
    <row r="4046" spans="11:23" x14ac:dyDescent="0.25">
      <c r="K4046"/>
      <c r="L4046"/>
      <c r="M4046" s="7"/>
      <c r="W4046"/>
    </row>
    <row r="4047" spans="11:23" x14ac:dyDescent="0.25">
      <c r="K4047"/>
      <c r="L4047"/>
      <c r="M4047" s="7"/>
      <c r="W4047"/>
    </row>
    <row r="4048" spans="11:23" x14ac:dyDescent="0.25">
      <c r="K4048"/>
      <c r="L4048"/>
      <c r="M4048" s="7"/>
      <c r="W4048"/>
    </row>
    <row r="4049" spans="11:23" x14ac:dyDescent="0.25">
      <c r="K4049"/>
      <c r="L4049"/>
      <c r="M4049" s="7"/>
      <c r="W4049"/>
    </row>
    <row r="4050" spans="11:23" x14ac:dyDescent="0.25">
      <c r="K4050"/>
      <c r="L4050"/>
      <c r="M4050" s="7"/>
      <c r="W4050"/>
    </row>
    <row r="4051" spans="11:23" x14ac:dyDescent="0.25">
      <c r="K4051"/>
      <c r="L4051"/>
      <c r="M4051" s="7"/>
      <c r="W4051"/>
    </row>
    <row r="4052" spans="11:23" x14ac:dyDescent="0.25">
      <c r="K4052"/>
      <c r="L4052"/>
      <c r="M4052" s="7"/>
      <c r="W4052"/>
    </row>
    <row r="4053" spans="11:23" x14ac:dyDescent="0.25">
      <c r="K4053"/>
      <c r="L4053"/>
      <c r="M4053" s="7"/>
      <c r="W4053"/>
    </row>
    <row r="4054" spans="11:23" x14ac:dyDescent="0.25">
      <c r="K4054"/>
      <c r="L4054"/>
      <c r="M4054" s="7"/>
      <c r="W4054"/>
    </row>
    <row r="4055" spans="11:23" x14ac:dyDescent="0.25">
      <c r="K4055"/>
      <c r="L4055"/>
      <c r="M4055" s="7"/>
      <c r="W4055"/>
    </row>
    <row r="4056" spans="11:23" x14ac:dyDescent="0.25">
      <c r="K4056"/>
      <c r="L4056"/>
      <c r="M4056" s="7"/>
      <c r="W4056"/>
    </row>
    <row r="4057" spans="11:23" x14ac:dyDescent="0.25">
      <c r="K4057"/>
      <c r="L4057"/>
      <c r="M4057" s="7"/>
      <c r="W4057"/>
    </row>
    <row r="4058" spans="11:23" x14ac:dyDescent="0.25">
      <c r="K4058"/>
      <c r="L4058"/>
      <c r="M4058" s="7"/>
      <c r="W4058"/>
    </row>
    <row r="4059" spans="11:23" x14ac:dyDescent="0.25">
      <c r="K4059"/>
      <c r="L4059"/>
      <c r="M4059" s="7"/>
      <c r="W4059"/>
    </row>
    <row r="4060" spans="11:23" x14ac:dyDescent="0.25">
      <c r="K4060"/>
      <c r="L4060"/>
      <c r="M4060" s="7"/>
      <c r="W4060"/>
    </row>
    <row r="4061" spans="11:23" x14ac:dyDescent="0.25">
      <c r="K4061"/>
      <c r="L4061"/>
      <c r="M4061" s="7"/>
      <c r="W4061"/>
    </row>
    <row r="4062" spans="11:23" x14ac:dyDescent="0.25">
      <c r="K4062"/>
      <c r="L4062"/>
      <c r="M4062" s="7"/>
      <c r="W4062"/>
    </row>
    <row r="4063" spans="11:23" x14ac:dyDescent="0.25">
      <c r="K4063"/>
      <c r="L4063"/>
      <c r="M4063" s="7"/>
      <c r="W4063"/>
    </row>
    <row r="4064" spans="11:23" x14ac:dyDescent="0.25">
      <c r="K4064"/>
      <c r="L4064"/>
      <c r="M4064" s="7"/>
      <c r="W4064"/>
    </row>
    <row r="4065" spans="11:23" x14ac:dyDescent="0.25">
      <c r="K4065"/>
      <c r="L4065"/>
      <c r="M4065" s="7"/>
      <c r="W4065"/>
    </row>
    <row r="4066" spans="11:23" x14ac:dyDescent="0.25">
      <c r="K4066"/>
      <c r="L4066"/>
      <c r="M4066" s="7"/>
      <c r="W4066"/>
    </row>
    <row r="4067" spans="11:23" x14ac:dyDescent="0.25">
      <c r="K4067"/>
      <c r="L4067"/>
      <c r="M4067" s="7"/>
      <c r="W4067"/>
    </row>
    <row r="4068" spans="11:23" x14ac:dyDescent="0.25">
      <c r="K4068"/>
      <c r="L4068"/>
      <c r="M4068" s="7"/>
      <c r="W4068"/>
    </row>
    <row r="4069" spans="11:23" x14ac:dyDescent="0.25">
      <c r="K4069"/>
      <c r="L4069"/>
      <c r="M4069" s="7"/>
      <c r="W4069"/>
    </row>
    <row r="4070" spans="11:23" x14ac:dyDescent="0.25">
      <c r="K4070"/>
      <c r="L4070"/>
      <c r="M4070" s="7"/>
      <c r="W4070"/>
    </row>
    <row r="4071" spans="11:23" x14ac:dyDescent="0.25">
      <c r="K4071"/>
      <c r="L4071"/>
      <c r="M4071" s="7"/>
      <c r="W4071"/>
    </row>
    <row r="4072" spans="11:23" x14ac:dyDescent="0.25">
      <c r="K4072"/>
      <c r="L4072"/>
      <c r="M4072" s="7"/>
      <c r="W4072"/>
    </row>
    <row r="4073" spans="11:23" x14ac:dyDescent="0.25">
      <c r="K4073"/>
      <c r="L4073"/>
      <c r="M4073" s="7"/>
      <c r="W4073"/>
    </row>
    <row r="4074" spans="11:23" x14ac:dyDescent="0.25">
      <c r="K4074"/>
      <c r="L4074"/>
      <c r="M4074" s="7"/>
      <c r="W4074"/>
    </row>
    <row r="4075" spans="11:23" x14ac:dyDescent="0.25">
      <c r="K4075"/>
      <c r="L4075"/>
      <c r="M4075" s="7"/>
      <c r="W4075"/>
    </row>
    <row r="4076" spans="11:23" x14ac:dyDescent="0.25">
      <c r="K4076"/>
      <c r="L4076"/>
      <c r="M4076" s="7"/>
      <c r="W4076"/>
    </row>
    <row r="4077" spans="11:23" x14ac:dyDescent="0.25">
      <c r="K4077"/>
      <c r="L4077"/>
      <c r="M4077" s="7"/>
      <c r="W4077"/>
    </row>
    <row r="4078" spans="11:23" x14ac:dyDescent="0.25">
      <c r="K4078"/>
      <c r="L4078"/>
      <c r="M4078" s="7"/>
      <c r="W4078"/>
    </row>
    <row r="4079" spans="11:23" x14ac:dyDescent="0.25">
      <c r="K4079"/>
      <c r="L4079"/>
      <c r="M4079" s="7"/>
      <c r="W4079"/>
    </row>
    <row r="4080" spans="11:23" x14ac:dyDescent="0.25">
      <c r="K4080"/>
      <c r="L4080"/>
      <c r="M4080" s="7"/>
      <c r="W4080"/>
    </row>
    <row r="4081" spans="11:23" x14ac:dyDescent="0.25">
      <c r="K4081"/>
      <c r="L4081"/>
      <c r="M4081" s="7"/>
      <c r="W4081"/>
    </row>
    <row r="4082" spans="11:23" x14ac:dyDescent="0.25">
      <c r="K4082"/>
      <c r="L4082"/>
      <c r="M4082" s="7"/>
      <c r="W4082"/>
    </row>
    <row r="4083" spans="11:23" x14ac:dyDescent="0.25">
      <c r="K4083"/>
      <c r="L4083"/>
      <c r="M4083" s="7"/>
      <c r="W4083"/>
    </row>
    <row r="4084" spans="11:23" x14ac:dyDescent="0.25">
      <c r="K4084"/>
      <c r="L4084"/>
      <c r="M4084" s="7"/>
      <c r="W4084"/>
    </row>
    <row r="4085" spans="11:23" x14ac:dyDescent="0.25">
      <c r="K4085"/>
      <c r="L4085"/>
      <c r="M4085" s="7"/>
      <c r="W4085"/>
    </row>
    <row r="4086" spans="11:23" x14ac:dyDescent="0.25">
      <c r="K4086"/>
      <c r="L4086"/>
      <c r="M4086" s="7"/>
      <c r="W4086"/>
    </row>
    <row r="4087" spans="11:23" x14ac:dyDescent="0.25">
      <c r="K4087"/>
      <c r="L4087"/>
      <c r="M4087" s="7"/>
      <c r="W4087"/>
    </row>
    <row r="4088" spans="11:23" x14ac:dyDescent="0.25">
      <c r="K4088"/>
      <c r="L4088"/>
      <c r="M4088" s="7"/>
      <c r="W4088"/>
    </row>
    <row r="4089" spans="11:23" x14ac:dyDescent="0.25">
      <c r="K4089"/>
      <c r="L4089"/>
      <c r="M4089" s="7"/>
      <c r="W4089"/>
    </row>
    <row r="4090" spans="11:23" x14ac:dyDescent="0.25">
      <c r="K4090"/>
      <c r="L4090"/>
      <c r="M4090" s="7"/>
      <c r="W4090"/>
    </row>
    <row r="4091" spans="11:23" x14ac:dyDescent="0.25">
      <c r="K4091"/>
      <c r="L4091"/>
      <c r="M4091" s="7"/>
      <c r="W4091"/>
    </row>
    <row r="4092" spans="11:23" x14ac:dyDescent="0.25">
      <c r="K4092"/>
      <c r="L4092"/>
      <c r="M4092" s="7"/>
      <c r="W4092"/>
    </row>
    <row r="4093" spans="11:23" x14ac:dyDescent="0.25">
      <c r="K4093"/>
      <c r="L4093"/>
      <c r="M4093" s="7"/>
      <c r="W4093"/>
    </row>
    <row r="4094" spans="11:23" x14ac:dyDescent="0.25">
      <c r="K4094"/>
      <c r="L4094"/>
      <c r="M4094" s="7"/>
      <c r="W4094"/>
    </row>
    <row r="4095" spans="11:23" x14ac:dyDescent="0.25">
      <c r="K4095"/>
      <c r="L4095"/>
      <c r="M4095" s="7"/>
      <c r="W4095"/>
    </row>
    <row r="4096" spans="11:23" x14ac:dyDescent="0.25">
      <c r="K4096"/>
      <c r="L4096"/>
      <c r="M4096" s="7"/>
      <c r="W4096"/>
    </row>
    <row r="4097" spans="11:23" x14ac:dyDescent="0.25">
      <c r="K4097"/>
      <c r="L4097"/>
      <c r="M4097" s="7"/>
      <c r="W4097"/>
    </row>
    <row r="4098" spans="11:23" x14ac:dyDescent="0.25">
      <c r="K4098"/>
      <c r="L4098"/>
      <c r="M4098" s="7"/>
      <c r="W4098"/>
    </row>
    <row r="4099" spans="11:23" x14ac:dyDescent="0.25">
      <c r="K4099"/>
      <c r="L4099"/>
      <c r="M4099" s="7"/>
      <c r="W4099"/>
    </row>
    <row r="4100" spans="11:23" x14ac:dyDescent="0.25">
      <c r="K4100"/>
      <c r="L4100"/>
      <c r="M4100" s="7"/>
      <c r="W4100"/>
    </row>
    <row r="4101" spans="11:23" x14ac:dyDescent="0.25">
      <c r="K4101"/>
      <c r="L4101"/>
      <c r="M4101" s="7"/>
      <c r="W4101"/>
    </row>
    <row r="4102" spans="11:23" x14ac:dyDescent="0.25">
      <c r="K4102"/>
      <c r="L4102"/>
      <c r="M4102" s="7"/>
      <c r="W4102"/>
    </row>
    <row r="4103" spans="11:23" x14ac:dyDescent="0.25">
      <c r="K4103"/>
      <c r="L4103"/>
      <c r="M4103" s="7"/>
      <c r="W4103"/>
    </row>
    <row r="4104" spans="11:23" x14ac:dyDescent="0.25">
      <c r="K4104"/>
      <c r="L4104"/>
      <c r="M4104" s="7"/>
      <c r="W4104"/>
    </row>
    <row r="4105" spans="11:23" x14ac:dyDescent="0.25">
      <c r="K4105"/>
      <c r="L4105"/>
      <c r="M4105" s="7"/>
      <c r="W4105"/>
    </row>
    <row r="4106" spans="11:23" x14ac:dyDescent="0.25">
      <c r="K4106"/>
      <c r="L4106"/>
      <c r="M4106" s="7"/>
      <c r="W4106"/>
    </row>
    <row r="4107" spans="11:23" x14ac:dyDescent="0.25">
      <c r="K4107"/>
      <c r="L4107"/>
      <c r="M4107" s="7"/>
      <c r="W4107"/>
    </row>
    <row r="4108" spans="11:23" x14ac:dyDescent="0.25">
      <c r="K4108"/>
      <c r="L4108"/>
      <c r="M4108" s="7"/>
      <c r="W4108"/>
    </row>
    <row r="4109" spans="11:23" x14ac:dyDescent="0.25">
      <c r="K4109"/>
      <c r="L4109"/>
      <c r="M4109" s="7"/>
      <c r="W4109"/>
    </row>
    <row r="4110" spans="11:23" x14ac:dyDescent="0.25">
      <c r="K4110"/>
      <c r="L4110"/>
      <c r="M4110" s="7"/>
      <c r="W4110"/>
    </row>
    <row r="4111" spans="11:23" x14ac:dyDescent="0.25">
      <c r="K4111"/>
      <c r="L4111"/>
      <c r="M4111" s="7"/>
      <c r="W4111"/>
    </row>
    <row r="4112" spans="11:23" x14ac:dyDescent="0.25">
      <c r="K4112"/>
      <c r="L4112"/>
      <c r="M4112" s="7"/>
      <c r="W4112"/>
    </row>
    <row r="4113" spans="11:23" x14ac:dyDescent="0.25">
      <c r="K4113"/>
      <c r="L4113"/>
      <c r="M4113" s="7"/>
      <c r="W4113"/>
    </row>
    <row r="4114" spans="11:23" x14ac:dyDescent="0.25">
      <c r="K4114"/>
      <c r="L4114"/>
      <c r="M4114" s="7"/>
      <c r="W4114"/>
    </row>
    <row r="4115" spans="11:23" x14ac:dyDescent="0.25">
      <c r="K4115"/>
      <c r="L4115"/>
      <c r="M4115" s="7"/>
      <c r="W4115"/>
    </row>
    <row r="4116" spans="11:23" x14ac:dyDescent="0.25">
      <c r="K4116"/>
      <c r="L4116"/>
      <c r="M4116" s="7"/>
      <c r="W4116"/>
    </row>
    <row r="4117" spans="11:23" x14ac:dyDescent="0.25">
      <c r="K4117"/>
      <c r="L4117"/>
      <c r="M4117" s="7"/>
      <c r="W4117"/>
    </row>
    <row r="4118" spans="11:23" x14ac:dyDescent="0.25">
      <c r="K4118"/>
      <c r="L4118"/>
      <c r="M4118" s="7"/>
      <c r="W4118"/>
    </row>
    <row r="4119" spans="11:23" x14ac:dyDescent="0.25">
      <c r="K4119"/>
      <c r="L4119"/>
      <c r="M4119" s="7"/>
      <c r="W4119"/>
    </row>
    <row r="4120" spans="11:23" x14ac:dyDescent="0.25">
      <c r="K4120"/>
      <c r="L4120"/>
      <c r="M4120" s="7"/>
      <c r="W4120"/>
    </row>
    <row r="4121" spans="11:23" x14ac:dyDescent="0.25">
      <c r="K4121"/>
      <c r="L4121"/>
      <c r="M4121" s="7"/>
      <c r="W4121"/>
    </row>
    <row r="4122" spans="11:23" x14ac:dyDescent="0.25">
      <c r="K4122"/>
      <c r="L4122"/>
      <c r="M4122" s="7"/>
      <c r="W4122"/>
    </row>
    <row r="4123" spans="11:23" x14ac:dyDescent="0.25">
      <c r="K4123"/>
      <c r="L4123"/>
      <c r="M4123" s="7"/>
      <c r="W4123"/>
    </row>
    <row r="4124" spans="11:23" x14ac:dyDescent="0.25">
      <c r="K4124"/>
      <c r="L4124"/>
      <c r="M4124" s="7"/>
      <c r="W4124"/>
    </row>
    <row r="4125" spans="11:23" x14ac:dyDescent="0.25">
      <c r="K4125"/>
      <c r="L4125"/>
      <c r="M4125" s="7"/>
      <c r="W4125"/>
    </row>
    <row r="4126" spans="11:23" x14ac:dyDescent="0.25">
      <c r="K4126"/>
      <c r="L4126"/>
      <c r="M4126" s="7"/>
      <c r="W4126"/>
    </row>
    <row r="4127" spans="11:23" x14ac:dyDescent="0.25">
      <c r="K4127"/>
      <c r="L4127"/>
      <c r="M4127" s="7"/>
      <c r="W4127"/>
    </row>
    <row r="4128" spans="11:23" x14ac:dyDescent="0.25">
      <c r="K4128"/>
      <c r="L4128"/>
      <c r="M4128" s="7"/>
      <c r="W4128"/>
    </row>
    <row r="4129" spans="11:23" x14ac:dyDescent="0.25">
      <c r="K4129"/>
      <c r="L4129"/>
      <c r="M4129" s="7"/>
      <c r="W4129"/>
    </row>
    <row r="4130" spans="11:23" x14ac:dyDescent="0.25">
      <c r="K4130"/>
      <c r="L4130"/>
      <c r="M4130" s="7"/>
      <c r="W4130"/>
    </row>
    <row r="4131" spans="11:23" x14ac:dyDescent="0.25">
      <c r="K4131"/>
      <c r="L4131"/>
      <c r="M4131" s="7"/>
      <c r="W4131"/>
    </row>
    <row r="4132" spans="11:23" x14ac:dyDescent="0.25">
      <c r="K4132"/>
      <c r="L4132"/>
      <c r="M4132" s="7"/>
      <c r="W4132"/>
    </row>
    <row r="4133" spans="11:23" x14ac:dyDescent="0.25">
      <c r="K4133"/>
      <c r="L4133"/>
      <c r="M4133" s="7"/>
      <c r="W4133"/>
    </row>
    <row r="4134" spans="11:23" x14ac:dyDescent="0.25">
      <c r="K4134"/>
      <c r="L4134"/>
      <c r="M4134" s="7"/>
      <c r="W4134"/>
    </row>
    <row r="4135" spans="11:23" x14ac:dyDescent="0.25">
      <c r="K4135"/>
      <c r="L4135"/>
      <c r="M4135" s="7"/>
      <c r="W4135"/>
    </row>
    <row r="4136" spans="11:23" x14ac:dyDescent="0.25">
      <c r="K4136"/>
      <c r="L4136"/>
      <c r="M4136" s="7"/>
      <c r="W4136"/>
    </row>
    <row r="4137" spans="11:23" x14ac:dyDescent="0.25">
      <c r="K4137"/>
      <c r="L4137"/>
      <c r="M4137" s="7"/>
      <c r="W4137"/>
    </row>
    <row r="4138" spans="11:23" x14ac:dyDescent="0.25">
      <c r="K4138"/>
      <c r="L4138"/>
      <c r="M4138" s="7"/>
      <c r="W4138"/>
    </row>
    <row r="4139" spans="11:23" x14ac:dyDescent="0.25">
      <c r="K4139"/>
      <c r="L4139"/>
      <c r="M4139" s="7"/>
      <c r="W4139"/>
    </row>
    <row r="4140" spans="11:23" x14ac:dyDescent="0.25">
      <c r="K4140"/>
      <c r="L4140"/>
      <c r="M4140" s="7"/>
      <c r="W4140"/>
    </row>
    <row r="4141" spans="11:23" x14ac:dyDescent="0.25">
      <c r="K4141"/>
      <c r="L4141"/>
      <c r="M4141" s="7"/>
      <c r="W4141"/>
    </row>
    <row r="4142" spans="11:23" x14ac:dyDescent="0.25">
      <c r="K4142"/>
      <c r="L4142"/>
      <c r="M4142" s="7"/>
      <c r="W4142"/>
    </row>
    <row r="4143" spans="11:23" x14ac:dyDescent="0.25">
      <c r="K4143"/>
      <c r="L4143"/>
      <c r="M4143" s="7"/>
      <c r="W4143"/>
    </row>
    <row r="4144" spans="11:23" x14ac:dyDescent="0.25">
      <c r="K4144"/>
      <c r="L4144"/>
      <c r="M4144" s="7"/>
      <c r="W4144"/>
    </row>
    <row r="4145" spans="11:23" x14ac:dyDescent="0.25">
      <c r="K4145"/>
      <c r="L4145"/>
      <c r="M4145" s="7"/>
      <c r="W4145"/>
    </row>
    <row r="4146" spans="11:23" x14ac:dyDescent="0.25">
      <c r="K4146"/>
      <c r="L4146"/>
      <c r="M4146" s="7"/>
      <c r="W4146"/>
    </row>
    <row r="4147" spans="11:23" x14ac:dyDescent="0.25">
      <c r="K4147"/>
      <c r="L4147"/>
      <c r="M4147" s="7"/>
      <c r="W4147"/>
    </row>
    <row r="4148" spans="11:23" x14ac:dyDescent="0.25">
      <c r="K4148"/>
      <c r="L4148"/>
      <c r="M4148" s="7"/>
      <c r="W4148"/>
    </row>
    <row r="4149" spans="11:23" x14ac:dyDescent="0.25">
      <c r="K4149"/>
      <c r="L4149"/>
      <c r="M4149" s="7"/>
      <c r="W4149"/>
    </row>
    <row r="4150" spans="11:23" x14ac:dyDescent="0.25">
      <c r="K4150"/>
      <c r="L4150"/>
      <c r="M4150" s="7"/>
      <c r="W4150"/>
    </row>
    <row r="4151" spans="11:23" x14ac:dyDescent="0.25">
      <c r="K4151"/>
      <c r="L4151"/>
      <c r="M4151" s="7"/>
      <c r="W4151"/>
    </row>
    <row r="4152" spans="11:23" x14ac:dyDescent="0.25">
      <c r="K4152"/>
      <c r="L4152"/>
      <c r="M4152" s="7"/>
      <c r="W4152"/>
    </row>
    <row r="4153" spans="11:23" x14ac:dyDescent="0.25">
      <c r="K4153"/>
      <c r="L4153"/>
      <c r="M4153" s="7"/>
      <c r="W4153"/>
    </row>
    <row r="4154" spans="11:23" x14ac:dyDescent="0.25">
      <c r="K4154"/>
      <c r="L4154"/>
      <c r="M4154" s="7"/>
      <c r="W4154"/>
    </row>
    <row r="4155" spans="11:23" x14ac:dyDescent="0.25">
      <c r="K4155"/>
      <c r="L4155"/>
      <c r="M4155" s="7"/>
      <c r="W4155"/>
    </row>
    <row r="4156" spans="11:23" x14ac:dyDescent="0.25">
      <c r="K4156"/>
      <c r="L4156"/>
      <c r="M4156" s="7"/>
      <c r="W4156"/>
    </row>
    <row r="4157" spans="11:23" x14ac:dyDescent="0.25">
      <c r="K4157"/>
      <c r="L4157"/>
      <c r="M4157" s="7"/>
      <c r="W4157"/>
    </row>
    <row r="4158" spans="11:23" x14ac:dyDescent="0.25">
      <c r="K4158"/>
      <c r="L4158"/>
      <c r="M4158" s="7"/>
      <c r="W4158"/>
    </row>
    <row r="4159" spans="11:23" x14ac:dyDescent="0.25">
      <c r="K4159"/>
      <c r="L4159"/>
      <c r="M4159" s="7"/>
      <c r="W4159"/>
    </row>
    <row r="4160" spans="11:23" x14ac:dyDescent="0.25">
      <c r="K4160"/>
      <c r="L4160"/>
      <c r="M4160" s="7"/>
      <c r="W4160"/>
    </row>
    <row r="4161" spans="11:23" x14ac:dyDescent="0.25">
      <c r="K4161"/>
      <c r="L4161"/>
      <c r="M4161" s="7"/>
      <c r="W4161"/>
    </row>
    <row r="4162" spans="11:23" x14ac:dyDescent="0.25">
      <c r="K4162"/>
      <c r="L4162"/>
      <c r="M4162" s="7"/>
      <c r="W4162"/>
    </row>
    <row r="4163" spans="11:23" x14ac:dyDescent="0.25">
      <c r="K4163"/>
      <c r="L4163"/>
      <c r="M4163" s="7"/>
      <c r="W4163"/>
    </row>
    <row r="4164" spans="11:23" x14ac:dyDescent="0.25">
      <c r="K4164"/>
      <c r="L4164"/>
      <c r="M4164" s="7"/>
      <c r="W4164"/>
    </row>
    <row r="4165" spans="11:23" x14ac:dyDescent="0.25">
      <c r="K4165"/>
      <c r="L4165"/>
      <c r="M4165" s="7"/>
      <c r="W4165"/>
    </row>
    <row r="4166" spans="11:23" x14ac:dyDescent="0.25">
      <c r="K4166"/>
      <c r="L4166"/>
      <c r="M4166" s="7"/>
      <c r="W4166"/>
    </row>
    <row r="4167" spans="11:23" x14ac:dyDescent="0.25">
      <c r="K4167"/>
      <c r="L4167"/>
      <c r="M4167" s="7"/>
      <c r="W4167"/>
    </row>
    <row r="4168" spans="11:23" x14ac:dyDescent="0.25">
      <c r="K4168"/>
      <c r="L4168"/>
      <c r="M4168" s="7"/>
      <c r="W4168"/>
    </row>
    <row r="4169" spans="11:23" x14ac:dyDescent="0.25">
      <c r="K4169"/>
      <c r="L4169"/>
      <c r="M4169" s="7"/>
      <c r="W4169"/>
    </row>
    <row r="4170" spans="11:23" x14ac:dyDescent="0.25">
      <c r="K4170"/>
      <c r="L4170"/>
      <c r="M4170" s="7"/>
      <c r="W4170"/>
    </row>
    <row r="4171" spans="11:23" x14ac:dyDescent="0.25">
      <c r="K4171"/>
      <c r="L4171"/>
      <c r="M4171" s="7"/>
      <c r="W4171"/>
    </row>
    <row r="4172" spans="11:23" x14ac:dyDescent="0.25">
      <c r="K4172"/>
      <c r="L4172"/>
      <c r="M4172" s="7"/>
      <c r="W4172"/>
    </row>
    <row r="4173" spans="11:23" x14ac:dyDescent="0.25">
      <c r="K4173"/>
      <c r="L4173"/>
      <c r="M4173" s="7"/>
      <c r="W4173"/>
    </row>
    <row r="4174" spans="11:23" x14ac:dyDescent="0.25">
      <c r="K4174"/>
      <c r="L4174"/>
      <c r="M4174" s="7"/>
      <c r="W4174"/>
    </row>
    <row r="4175" spans="11:23" x14ac:dyDescent="0.25">
      <c r="K4175"/>
      <c r="L4175"/>
      <c r="M4175" s="7"/>
      <c r="W4175"/>
    </row>
    <row r="4176" spans="11:23" x14ac:dyDescent="0.25">
      <c r="K4176"/>
      <c r="L4176"/>
      <c r="M4176" s="7"/>
      <c r="W4176"/>
    </row>
    <row r="4177" spans="11:23" x14ac:dyDescent="0.25">
      <c r="K4177"/>
      <c r="L4177"/>
      <c r="M4177" s="7"/>
      <c r="W4177"/>
    </row>
    <row r="4178" spans="11:23" x14ac:dyDescent="0.25">
      <c r="K4178"/>
      <c r="L4178"/>
      <c r="M4178" s="7"/>
      <c r="W4178"/>
    </row>
    <row r="4179" spans="11:23" x14ac:dyDescent="0.25">
      <c r="K4179"/>
      <c r="L4179"/>
      <c r="M4179" s="7"/>
      <c r="W4179"/>
    </row>
    <row r="4180" spans="11:23" x14ac:dyDescent="0.25">
      <c r="K4180"/>
      <c r="L4180"/>
      <c r="M4180" s="7"/>
      <c r="W4180"/>
    </row>
    <row r="4181" spans="11:23" x14ac:dyDescent="0.25">
      <c r="K4181"/>
      <c r="L4181"/>
      <c r="M4181" s="7"/>
      <c r="W4181"/>
    </row>
    <row r="4182" spans="11:23" x14ac:dyDescent="0.25">
      <c r="K4182"/>
      <c r="L4182"/>
      <c r="M4182" s="7"/>
      <c r="W4182"/>
    </row>
    <row r="4183" spans="11:23" x14ac:dyDescent="0.25">
      <c r="K4183"/>
      <c r="L4183"/>
      <c r="M4183" s="7"/>
      <c r="W4183"/>
    </row>
    <row r="4184" spans="11:23" x14ac:dyDescent="0.25">
      <c r="K4184"/>
      <c r="L4184"/>
      <c r="M4184" s="7"/>
      <c r="W4184"/>
    </row>
    <row r="4185" spans="11:23" x14ac:dyDescent="0.25">
      <c r="K4185"/>
      <c r="L4185"/>
      <c r="M4185" s="7"/>
      <c r="W4185"/>
    </row>
    <row r="4186" spans="11:23" x14ac:dyDescent="0.25">
      <c r="K4186"/>
      <c r="L4186"/>
      <c r="M4186" s="7"/>
      <c r="W4186"/>
    </row>
    <row r="4187" spans="11:23" x14ac:dyDescent="0.25">
      <c r="K4187"/>
      <c r="L4187"/>
      <c r="M4187" s="7"/>
      <c r="W4187"/>
    </row>
    <row r="4188" spans="11:23" x14ac:dyDescent="0.25">
      <c r="K4188"/>
      <c r="L4188"/>
      <c r="M4188" s="7"/>
      <c r="W4188"/>
    </row>
    <row r="4189" spans="11:23" x14ac:dyDescent="0.25">
      <c r="K4189"/>
      <c r="L4189"/>
      <c r="M4189" s="7"/>
      <c r="W4189"/>
    </row>
    <row r="4190" spans="11:23" x14ac:dyDescent="0.25">
      <c r="K4190"/>
      <c r="L4190"/>
      <c r="M4190" s="7"/>
      <c r="W4190"/>
    </row>
    <row r="4191" spans="11:23" x14ac:dyDescent="0.25">
      <c r="K4191"/>
      <c r="L4191"/>
      <c r="M4191" s="7"/>
      <c r="W4191"/>
    </row>
    <row r="4192" spans="11:23" x14ac:dyDescent="0.25">
      <c r="K4192"/>
      <c r="L4192"/>
      <c r="M4192" s="7"/>
      <c r="W4192"/>
    </row>
    <row r="4193" spans="11:23" x14ac:dyDescent="0.25">
      <c r="K4193"/>
      <c r="L4193"/>
      <c r="M4193" s="7"/>
      <c r="W4193"/>
    </row>
    <row r="4194" spans="11:23" x14ac:dyDescent="0.25">
      <c r="K4194"/>
      <c r="L4194"/>
      <c r="M4194" s="7"/>
      <c r="W4194"/>
    </row>
    <row r="4195" spans="11:23" x14ac:dyDescent="0.25">
      <c r="K4195"/>
      <c r="L4195"/>
      <c r="M4195" s="7"/>
      <c r="W4195"/>
    </row>
    <row r="4196" spans="11:23" x14ac:dyDescent="0.25">
      <c r="K4196"/>
      <c r="L4196"/>
      <c r="M4196" s="7"/>
      <c r="W4196"/>
    </row>
    <row r="4197" spans="11:23" x14ac:dyDescent="0.25">
      <c r="K4197"/>
      <c r="L4197"/>
      <c r="M4197" s="7"/>
      <c r="W4197"/>
    </row>
    <row r="4198" spans="11:23" x14ac:dyDescent="0.25">
      <c r="K4198"/>
      <c r="L4198"/>
      <c r="M4198" s="7"/>
      <c r="W4198"/>
    </row>
    <row r="4199" spans="11:23" x14ac:dyDescent="0.25">
      <c r="K4199"/>
      <c r="L4199"/>
      <c r="M4199" s="7"/>
      <c r="W4199"/>
    </row>
    <row r="4200" spans="11:23" x14ac:dyDescent="0.25">
      <c r="K4200"/>
      <c r="L4200"/>
      <c r="M4200" s="7"/>
      <c r="W4200"/>
    </row>
    <row r="4201" spans="11:23" x14ac:dyDescent="0.25">
      <c r="K4201"/>
      <c r="L4201"/>
      <c r="M4201" s="7"/>
      <c r="W4201"/>
    </row>
    <row r="4202" spans="11:23" x14ac:dyDescent="0.25">
      <c r="K4202"/>
      <c r="L4202"/>
      <c r="M4202" s="7"/>
      <c r="W4202"/>
    </row>
    <row r="4203" spans="11:23" x14ac:dyDescent="0.25">
      <c r="K4203"/>
      <c r="L4203"/>
      <c r="M4203" s="7"/>
      <c r="W4203"/>
    </row>
    <row r="4204" spans="11:23" x14ac:dyDescent="0.25">
      <c r="K4204"/>
      <c r="L4204"/>
      <c r="M4204" s="7"/>
      <c r="W4204"/>
    </row>
    <row r="4205" spans="11:23" x14ac:dyDescent="0.25">
      <c r="K4205"/>
      <c r="L4205"/>
      <c r="M4205" s="7"/>
      <c r="W4205"/>
    </row>
    <row r="4206" spans="11:23" x14ac:dyDescent="0.25">
      <c r="K4206"/>
      <c r="L4206"/>
      <c r="M4206" s="7"/>
      <c r="W4206"/>
    </row>
    <row r="4207" spans="11:23" x14ac:dyDescent="0.25">
      <c r="K4207"/>
      <c r="L4207"/>
      <c r="M4207" s="7"/>
      <c r="W4207"/>
    </row>
    <row r="4208" spans="11:23" x14ac:dyDescent="0.25">
      <c r="K4208"/>
      <c r="L4208"/>
      <c r="M4208" s="7"/>
      <c r="W4208"/>
    </row>
    <row r="4209" spans="11:23" x14ac:dyDescent="0.25">
      <c r="K4209"/>
      <c r="L4209"/>
      <c r="M4209" s="7"/>
      <c r="W4209"/>
    </row>
    <row r="4210" spans="11:23" x14ac:dyDescent="0.25">
      <c r="K4210"/>
      <c r="L4210"/>
      <c r="M4210" s="7"/>
      <c r="W4210"/>
    </row>
    <row r="4211" spans="11:23" x14ac:dyDescent="0.25">
      <c r="K4211"/>
      <c r="L4211"/>
      <c r="M4211" s="7"/>
      <c r="W4211"/>
    </row>
    <row r="4212" spans="11:23" x14ac:dyDescent="0.25">
      <c r="K4212"/>
      <c r="L4212"/>
      <c r="M4212" s="7"/>
      <c r="W4212"/>
    </row>
    <row r="4213" spans="11:23" x14ac:dyDescent="0.25">
      <c r="K4213"/>
      <c r="L4213"/>
      <c r="M4213" s="7"/>
      <c r="W4213"/>
    </row>
    <row r="4214" spans="11:23" x14ac:dyDescent="0.25">
      <c r="K4214"/>
      <c r="L4214"/>
      <c r="M4214" s="7"/>
      <c r="W4214"/>
    </row>
    <row r="4215" spans="11:23" x14ac:dyDescent="0.25">
      <c r="K4215"/>
      <c r="L4215"/>
      <c r="M4215" s="7"/>
      <c r="W4215"/>
    </row>
    <row r="4216" spans="11:23" x14ac:dyDescent="0.25">
      <c r="K4216"/>
      <c r="L4216"/>
      <c r="M4216" s="7"/>
      <c r="W4216"/>
    </row>
    <row r="4217" spans="11:23" x14ac:dyDescent="0.25">
      <c r="K4217"/>
      <c r="L4217"/>
      <c r="M4217" s="7"/>
      <c r="W4217"/>
    </row>
    <row r="4218" spans="11:23" x14ac:dyDescent="0.25">
      <c r="K4218"/>
      <c r="L4218"/>
      <c r="M4218" s="7"/>
      <c r="W4218"/>
    </row>
    <row r="4219" spans="11:23" x14ac:dyDescent="0.25">
      <c r="K4219"/>
      <c r="L4219"/>
      <c r="M4219" s="7"/>
      <c r="W4219"/>
    </row>
    <row r="4220" spans="11:23" x14ac:dyDescent="0.25">
      <c r="K4220"/>
      <c r="L4220"/>
      <c r="M4220" s="7"/>
      <c r="W4220"/>
    </row>
    <row r="4221" spans="11:23" x14ac:dyDescent="0.25">
      <c r="K4221"/>
      <c r="L4221"/>
      <c r="M4221" s="7"/>
      <c r="W4221"/>
    </row>
    <row r="4222" spans="11:23" x14ac:dyDescent="0.25">
      <c r="K4222"/>
      <c r="L4222"/>
      <c r="M4222" s="7"/>
      <c r="W4222"/>
    </row>
    <row r="4223" spans="11:23" x14ac:dyDescent="0.25">
      <c r="K4223"/>
      <c r="L4223"/>
      <c r="M4223" s="7"/>
      <c r="W4223"/>
    </row>
    <row r="4224" spans="11:23" x14ac:dyDescent="0.25">
      <c r="K4224"/>
      <c r="L4224"/>
      <c r="M4224" s="7"/>
      <c r="W4224"/>
    </row>
    <row r="4225" spans="11:23" x14ac:dyDescent="0.25">
      <c r="K4225"/>
      <c r="L4225"/>
      <c r="M4225" s="7"/>
      <c r="W4225"/>
    </row>
    <row r="4226" spans="11:23" x14ac:dyDescent="0.25">
      <c r="K4226"/>
      <c r="L4226"/>
      <c r="M4226" s="7"/>
      <c r="W4226"/>
    </row>
    <row r="4227" spans="11:23" x14ac:dyDescent="0.25">
      <c r="K4227"/>
      <c r="L4227"/>
      <c r="M4227" s="7"/>
      <c r="W4227"/>
    </row>
    <row r="4228" spans="11:23" x14ac:dyDescent="0.25">
      <c r="K4228"/>
      <c r="L4228"/>
      <c r="M4228" s="7"/>
      <c r="W4228"/>
    </row>
    <row r="4229" spans="11:23" x14ac:dyDescent="0.25">
      <c r="K4229"/>
      <c r="L4229"/>
      <c r="M4229" s="7"/>
      <c r="W4229"/>
    </row>
    <row r="4230" spans="11:23" x14ac:dyDescent="0.25">
      <c r="K4230"/>
      <c r="L4230"/>
      <c r="M4230" s="7"/>
      <c r="W4230"/>
    </row>
    <row r="4231" spans="11:23" x14ac:dyDescent="0.25">
      <c r="K4231"/>
      <c r="L4231"/>
      <c r="M4231" s="7"/>
      <c r="W4231"/>
    </row>
    <row r="4232" spans="11:23" x14ac:dyDescent="0.25">
      <c r="K4232"/>
      <c r="L4232"/>
      <c r="M4232" s="7"/>
      <c r="W4232"/>
    </row>
    <row r="4233" spans="11:23" x14ac:dyDescent="0.25">
      <c r="K4233"/>
      <c r="L4233"/>
      <c r="M4233" s="7"/>
      <c r="W4233"/>
    </row>
    <row r="4234" spans="11:23" x14ac:dyDescent="0.25">
      <c r="K4234"/>
      <c r="L4234"/>
      <c r="M4234" s="7"/>
      <c r="W4234"/>
    </row>
    <row r="4235" spans="11:23" x14ac:dyDescent="0.25">
      <c r="K4235"/>
      <c r="L4235"/>
      <c r="M4235" s="7"/>
      <c r="W4235"/>
    </row>
    <row r="4236" spans="11:23" x14ac:dyDescent="0.25">
      <c r="K4236"/>
      <c r="L4236"/>
      <c r="M4236" s="7"/>
      <c r="W4236"/>
    </row>
    <row r="4237" spans="11:23" x14ac:dyDescent="0.25">
      <c r="K4237"/>
      <c r="L4237"/>
      <c r="M4237" s="7"/>
      <c r="W4237"/>
    </row>
    <row r="4238" spans="11:23" x14ac:dyDescent="0.25">
      <c r="K4238"/>
      <c r="L4238"/>
      <c r="M4238" s="7"/>
      <c r="W4238"/>
    </row>
    <row r="4239" spans="11:23" x14ac:dyDescent="0.25">
      <c r="K4239"/>
      <c r="L4239"/>
      <c r="M4239" s="7"/>
      <c r="W4239"/>
    </row>
    <row r="4240" spans="11:23" x14ac:dyDescent="0.25">
      <c r="K4240"/>
      <c r="L4240"/>
      <c r="M4240" s="7"/>
      <c r="W4240"/>
    </row>
    <row r="4241" spans="11:23" x14ac:dyDescent="0.25">
      <c r="K4241"/>
      <c r="L4241"/>
      <c r="M4241" s="7"/>
      <c r="W4241"/>
    </row>
    <row r="4242" spans="11:23" x14ac:dyDescent="0.25">
      <c r="K4242"/>
      <c r="L4242"/>
      <c r="M4242" s="7"/>
      <c r="W4242"/>
    </row>
    <row r="4243" spans="11:23" x14ac:dyDescent="0.25">
      <c r="K4243"/>
      <c r="L4243"/>
      <c r="M4243" s="7"/>
      <c r="W4243"/>
    </row>
    <row r="4244" spans="11:23" x14ac:dyDescent="0.25">
      <c r="K4244"/>
      <c r="L4244"/>
      <c r="M4244" s="7"/>
      <c r="W4244"/>
    </row>
    <row r="4245" spans="11:23" x14ac:dyDescent="0.25">
      <c r="K4245"/>
      <c r="L4245"/>
      <c r="M4245" s="7"/>
      <c r="W4245"/>
    </row>
    <row r="4246" spans="11:23" x14ac:dyDescent="0.25">
      <c r="K4246"/>
      <c r="L4246"/>
      <c r="M4246" s="7"/>
      <c r="W4246"/>
    </row>
    <row r="4247" spans="11:23" x14ac:dyDescent="0.25">
      <c r="K4247"/>
      <c r="L4247"/>
      <c r="M4247" s="7"/>
      <c r="W4247"/>
    </row>
    <row r="4248" spans="11:23" x14ac:dyDescent="0.25">
      <c r="K4248"/>
      <c r="L4248"/>
      <c r="M4248" s="7"/>
      <c r="W4248"/>
    </row>
    <row r="4249" spans="11:23" x14ac:dyDescent="0.25">
      <c r="K4249"/>
      <c r="L4249"/>
      <c r="M4249" s="7"/>
      <c r="W4249"/>
    </row>
    <row r="4250" spans="11:23" x14ac:dyDescent="0.25">
      <c r="K4250"/>
      <c r="L4250"/>
      <c r="M4250" s="7"/>
      <c r="W4250"/>
    </row>
    <row r="4251" spans="11:23" x14ac:dyDescent="0.25">
      <c r="K4251"/>
      <c r="L4251"/>
      <c r="M4251" s="7"/>
      <c r="W4251"/>
    </row>
    <row r="4252" spans="11:23" x14ac:dyDescent="0.25">
      <c r="K4252"/>
      <c r="L4252"/>
      <c r="M4252" s="7"/>
      <c r="W4252"/>
    </row>
    <row r="4253" spans="11:23" x14ac:dyDescent="0.25">
      <c r="K4253"/>
      <c r="L4253"/>
      <c r="M4253" s="7"/>
      <c r="W4253"/>
    </row>
    <row r="4254" spans="11:23" x14ac:dyDescent="0.25">
      <c r="K4254"/>
      <c r="L4254"/>
      <c r="M4254" s="7"/>
      <c r="W4254"/>
    </row>
    <row r="4255" spans="11:23" x14ac:dyDescent="0.25">
      <c r="K4255"/>
      <c r="L4255"/>
      <c r="M4255" s="7"/>
      <c r="W4255"/>
    </row>
    <row r="4256" spans="11:23" x14ac:dyDescent="0.25">
      <c r="K4256"/>
      <c r="L4256"/>
      <c r="M4256" s="7"/>
      <c r="W4256"/>
    </row>
    <row r="4257" spans="11:23" x14ac:dyDescent="0.25">
      <c r="K4257"/>
      <c r="L4257"/>
      <c r="M4257" s="7"/>
      <c r="W4257"/>
    </row>
    <row r="4258" spans="11:23" x14ac:dyDescent="0.25">
      <c r="K4258"/>
      <c r="L4258"/>
      <c r="M4258" s="7"/>
      <c r="W4258"/>
    </row>
    <row r="4259" spans="11:23" x14ac:dyDescent="0.25">
      <c r="K4259"/>
      <c r="L4259"/>
      <c r="M4259" s="7"/>
      <c r="W4259"/>
    </row>
    <row r="4260" spans="11:23" x14ac:dyDescent="0.25">
      <c r="K4260"/>
      <c r="L4260"/>
      <c r="M4260" s="7"/>
      <c r="W4260"/>
    </row>
    <row r="4261" spans="11:23" x14ac:dyDescent="0.25">
      <c r="K4261"/>
      <c r="L4261"/>
      <c r="M4261" s="7"/>
      <c r="W4261"/>
    </row>
    <row r="4262" spans="11:23" x14ac:dyDescent="0.25">
      <c r="K4262"/>
      <c r="L4262"/>
      <c r="M4262" s="7"/>
      <c r="W4262"/>
    </row>
    <row r="4263" spans="11:23" x14ac:dyDescent="0.25">
      <c r="K4263"/>
      <c r="L4263"/>
      <c r="M4263" s="7"/>
      <c r="W4263"/>
    </row>
    <row r="4264" spans="11:23" x14ac:dyDescent="0.25">
      <c r="K4264"/>
      <c r="L4264"/>
      <c r="M4264" s="7"/>
      <c r="W4264"/>
    </row>
    <row r="4265" spans="11:23" x14ac:dyDescent="0.25">
      <c r="K4265"/>
      <c r="L4265"/>
      <c r="M4265" s="7"/>
      <c r="W4265"/>
    </row>
    <row r="4266" spans="11:23" x14ac:dyDescent="0.25">
      <c r="K4266"/>
      <c r="L4266"/>
      <c r="M4266" s="7"/>
      <c r="W4266"/>
    </row>
    <row r="4267" spans="11:23" x14ac:dyDescent="0.25">
      <c r="K4267"/>
      <c r="L4267"/>
      <c r="M4267" s="7"/>
      <c r="W4267"/>
    </row>
    <row r="4268" spans="11:23" x14ac:dyDescent="0.25">
      <c r="K4268"/>
      <c r="L4268"/>
      <c r="M4268" s="7"/>
      <c r="W4268"/>
    </row>
    <row r="4269" spans="11:23" x14ac:dyDescent="0.25">
      <c r="K4269"/>
      <c r="L4269"/>
      <c r="M4269" s="7"/>
      <c r="W4269"/>
    </row>
    <row r="4270" spans="11:23" x14ac:dyDescent="0.25">
      <c r="K4270"/>
      <c r="L4270"/>
      <c r="M4270" s="7"/>
      <c r="W4270"/>
    </row>
    <row r="4271" spans="11:23" x14ac:dyDescent="0.25">
      <c r="K4271"/>
      <c r="L4271"/>
      <c r="M4271" s="7"/>
      <c r="W4271"/>
    </row>
    <row r="4272" spans="11:23" x14ac:dyDescent="0.25">
      <c r="K4272"/>
      <c r="L4272"/>
      <c r="M4272" s="7"/>
      <c r="W4272"/>
    </row>
    <row r="4273" spans="11:23" x14ac:dyDescent="0.25">
      <c r="K4273"/>
      <c r="L4273"/>
      <c r="M4273" s="7"/>
      <c r="W4273"/>
    </row>
    <row r="4274" spans="11:23" x14ac:dyDescent="0.25">
      <c r="K4274"/>
      <c r="L4274"/>
      <c r="M4274" s="7"/>
      <c r="W4274"/>
    </row>
    <row r="4275" spans="11:23" x14ac:dyDescent="0.25">
      <c r="K4275"/>
      <c r="L4275"/>
      <c r="M4275" s="7"/>
      <c r="W4275"/>
    </row>
    <row r="4276" spans="11:23" x14ac:dyDescent="0.25">
      <c r="K4276"/>
      <c r="L4276"/>
      <c r="M4276" s="7"/>
      <c r="W4276"/>
    </row>
    <row r="4277" spans="11:23" x14ac:dyDescent="0.25">
      <c r="K4277"/>
      <c r="L4277"/>
      <c r="M4277" s="7"/>
      <c r="W4277"/>
    </row>
    <row r="4278" spans="11:23" x14ac:dyDescent="0.25">
      <c r="K4278"/>
      <c r="L4278"/>
      <c r="M4278" s="7"/>
      <c r="W4278"/>
    </row>
    <row r="4279" spans="11:23" x14ac:dyDescent="0.25">
      <c r="K4279"/>
      <c r="L4279"/>
      <c r="M4279" s="7"/>
      <c r="W4279"/>
    </row>
    <row r="4280" spans="11:23" x14ac:dyDescent="0.25">
      <c r="K4280"/>
      <c r="L4280"/>
      <c r="M4280" s="7"/>
      <c r="W4280"/>
    </row>
    <row r="4281" spans="11:23" x14ac:dyDescent="0.25">
      <c r="K4281"/>
      <c r="L4281"/>
      <c r="M4281" s="7"/>
      <c r="W4281"/>
    </row>
    <row r="4282" spans="11:23" x14ac:dyDescent="0.25">
      <c r="K4282"/>
      <c r="L4282"/>
      <c r="M4282" s="7"/>
      <c r="W4282"/>
    </row>
    <row r="4283" spans="11:23" x14ac:dyDescent="0.25">
      <c r="K4283"/>
      <c r="L4283"/>
      <c r="M4283" s="7"/>
      <c r="W4283"/>
    </row>
    <row r="4284" spans="11:23" x14ac:dyDescent="0.25">
      <c r="K4284"/>
      <c r="L4284"/>
      <c r="M4284" s="7"/>
      <c r="W4284"/>
    </row>
    <row r="4285" spans="11:23" x14ac:dyDescent="0.25">
      <c r="K4285"/>
      <c r="L4285"/>
      <c r="M4285" s="7"/>
      <c r="W4285"/>
    </row>
    <row r="4286" spans="11:23" x14ac:dyDescent="0.25">
      <c r="K4286"/>
      <c r="L4286"/>
      <c r="M4286" s="7"/>
      <c r="W4286"/>
    </row>
    <row r="4287" spans="11:23" x14ac:dyDescent="0.25">
      <c r="K4287"/>
      <c r="L4287"/>
      <c r="M4287" s="7"/>
      <c r="W4287"/>
    </row>
    <row r="4288" spans="11:23" x14ac:dyDescent="0.25">
      <c r="K4288"/>
      <c r="L4288"/>
      <c r="M4288" s="7"/>
      <c r="W4288"/>
    </row>
    <row r="4289" spans="11:23" x14ac:dyDescent="0.25">
      <c r="K4289"/>
      <c r="L4289"/>
      <c r="M4289" s="7"/>
      <c r="W4289"/>
    </row>
    <row r="4290" spans="11:23" x14ac:dyDescent="0.25">
      <c r="K4290"/>
      <c r="L4290"/>
      <c r="M4290" s="7"/>
      <c r="W4290"/>
    </row>
    <row r="4291" spans="11:23" x14ac:dyDescent="0.25">
      <c r="K4291"/>
      <c r="L4291"/>
      <c r="M4291" s="7"/>
      <c r="W4291"/>
    </row>
    <row r="4292" spans="11:23" x14ac:dyDescent="0.25">
      <c r="K4292"/>
      <c r="L4292"/>
      <c r="M4292" s="7"/>
      <c r="W4292"/>
    </row>
    <row r="4293" spans="11:23" x14ac:dyDescent="0.25">
      <c r="K4293"/>
      <c r="L4293"/>
      <c r="M4293" s="7"/>
      <c r="W4293"/>
    </row>
    <row r="4294" spans="11:23" x14ac:dyDescent="0.25">
      <c r="K4294"/>
      <c r="L4294"/>
      <c r="M4294" s="7"/>
      <c r="W4294"/>
    </row>
    <row r="4295" spans="11:23" x14ac:dyDescent="0.25">
      <c r="K4295"/>
      <c r="L4295"/>
      <c r="M4295" s="7"/>
      <c r="W4295"/>
    </row>
    <row r="4296" spans="11:23" x14ac:dyDescent="0.25">
      <c r="K4296"/>
      <c r="L4296"/>
      <c r="M4296" s="7"/>
      <c r="W4296"/>
    </row>
    <row r="4297" spans="11:23" x14ac:dyDescent="0.25">
      <c r="K4297"/>
      <c r="L4297"/>
      <c r="M4297" s="7"/>
      <c r="W4297"/>
    </row>
    <row r="4298" spans="11:23" x14ac:dyDescent="0.25">
      <c r="K4298"/>
      <c r="L4298"/>
      <c r="M4298" s="7"/>
      <c r="W4298"/>
    </row>
    <row r="4299" spans="11:23" x14ac:dyDescent="0.25">
      <c r="K4299"/>
      <c r="L4299"/>
      <c r="M4299" s="7"/>
      <c r="W4299"/>
    </row>
    <row r="4300" spans="11:23" x14ac:dyDescent="0.25">
      <c r="K4300"/>
      <c r="L4300"/>
      <c r="M4300" s="7"/>
      <c r="W4300"/>
    </row>
    <row r="4301" spans="11:23" x14ac:dyDescent="0.25">
      <c r="K4301"/>
      <c r="L4301"/>
      <c r="M4301" s="7"/>
      <c r="W4301"/>
    </row>
    <row r="4302" spans="11:23" x14ac:dyDescent="0.25">
      <c r="K4302"/>
      <c r="L4302"/>
      <c r="M4302" s="7"/>
      <c r="W4302"/>
    </row>
    <row r="4303" spans="11:23" x14ac:dyDescent="0.25">
      <c r="K4303"/>
      <c r="L4303"/>
      <c r="M4303" s="7"/>
      <c r="W4303"/>
    </row>
    <row r="4304" spans="11:23" x14ac:dyDescent="0.25">
      <c r="K4304"/>
      <c r="L4304"/>
      <c r="M4304" s="7"/>
      <c r="W4304"/>
    </row>
    <row r="4305" spans="11:23" x14ac:dyDescent="0.25">
      <c r="K4305"/>
      <c r="L4305"/>
      <c r="M4305" s="7"/>
      <c r="W4305"/>
    </row>
    <row r="4306" spans="11:23" x14ac:dyDescent="0.25">
      <c r="K4306"/>
      <c r="L4306"/>
      <c r="M4306" s="7"/>
      <c r="W4306"/>
    </row>
    <row r="4307" spans="11:23" x14ac:dyDescent="0.25">
      <c r="K4307"/>
      <c r="L4307"/>
      <c r="M4307" s="7"/>
      <c r="W4307"/>
    </row>
    <row r="4308" spans="11:23" x14ac:dyDescent="0.25">
      <c r="K4308"/>
      <c r="L4308"/>
      <c r="M4308" s="7"/>
      <c r="W4308"/>
    </row>
    <row r="4309" spans="11:23" x14ac:dyDescent="0.25">
      <c r="K4309"/>
      <c r="L4309"/>
      <c r="M4309" s="7"/>
      <c r="W4309"/>
    </row>
    <row r="4310" spans="11:23" x14ac:dyDescent="0.25">
      <c r="K4310"/>
      <c r="L4310"/>
      <c r="M4310" s="7"/>
      <c r="W4310"/>
    </row>
    <row r="4311" spans="11:23" x14ac:dyDescent="0.25">
      <c r="K4311"/>
      <c r="L4311"/>
      <c r="M4311" s="7"/>
      <c r="W4311"/>
    </row>
    <row r="4312" spans="11:23" x14ac:dyDescent="0.25">
      <c r="K4312"/>
      <c r="L4312"/>
      <c r="M4312" s="7"/>
      <c r="W4312"/>
    </row>
    <row r="4313" spans="11:23" x14ac:dyDescent="0.25">
      <c r="K4313"/>
      <c r="L4313"/>
      <c r="M4313" s="7"/>
      <c r="W4313"/>
    </row>
    <row r="4314" spans="11:23" x14ac:dyDescent="0.25">
      <c r="K4314"/>
      <c r="L4314"/>
      <c r="M4314" s="7"/>
      <c r="W4314"/>
    </row>
    <row r="4315" spans="11:23" x14ac:dyDescent="0.25">
      <c r="K4315"/>
      <c r="L4315"/>
      <c r="M4315" s="7"/>
      <c r="W4315"/>
    </row>
    <row r="4316" spans="11:23" x14ac:dyDescent="0.25">
      <c r="K4316"/>
      <c r="L4316"/>
      <c r="M4316" s="7"/>
      <c r="W4316"/>
    </row>
    <row r="4317" spans="11:23" x14ac:dyDescent="0.25">
      <c r="K4317"/>
      <c r="L4317"/>
      <c r="M4317" s="7"/>
      <c r="W4317"/>
    </row>
    <row r="4318" spans="11:23" x14ac:dyDescent="0.25">
      <c r="K4318"/>
      <c r="L4318"/>
      <c r="M4318" s="7"/>
      <c r="W4318"/>
    </row>
    <row r="4319" spans="11:23" x14ac:dyDescent="0.25">
      <c r="K4319"/>
      <c r="L4319"/>
      <c r="M4319" s="7"/>
      <c r="W4319"/>
    </row>
    <row r="4320" spans="11:23" x14ac:dyDescent="0.25">
      <c r="K4320"/>
      <c r="L4320"/>
      <c r="M4320" s="7"/>
      <c r="W4320"/>
    </row>
    <row r="4321" spans="11:23" x14ac:dyDescent="0.25">
      <c r="K4321"/>
      <c r="L4321"/>
      <c r="M4321" s="7"/>
      <c r="W4321"/>
    </row>
    <row r="4322" spans="11:23" x14ac:dyDescent="0.25">
      <c r="K4322"/>
      <c r="L4322"/>
      <c r="M4322" s="7"/>
      <c r="W4322"/>
    </row>
    <row r="4323" spans="11:23" x14ac:dyDescent="0.25">
      <c r="K4323"/>
      <c r="L4323"/>
      <c r="M4323" s="7"/>
      <c r="W4323"/>
    </row>
    <row r="4324" spans="11:23" x14ac:dyDescent="0.25">
      <c r="K4324"/>
      <c r="L4324"/>
      <c r="M4324" s="7"/>
      <c r="W4324"/>
    </row>
    <row r="4325" spans="11:23" x14ac:dyDescent="0.25">
      <c r="K4325"/>
      <c r="L4325"/>
      <c r="M4325" s="7"/>
      <c r="W4325"/>
    </row>
    <row r="4326" spans="11:23" x14ac:dyDescent="0.25">
      <c r="K4326"/>
      <c r="L4326"/>
      <c r="M4326" s="7"/>
      <c r="W4326"/>
    </row>
    <row r="4327" spans="11:23" x14ac:dyDescent="0.25">
      <c r="K4327"/>
      <c r="L4327"/>
      <c r="M4327" s="7"/>
      <c r="W4327"/>
    </row>
    <row r="4328" spans="11:23" x14ac:dyDescent="0.25">
      <c r="K4328"/>
      <c r="L4328"/>
      <c r="M4328" s="7"/>
      <c r="W4328"/>
    </row>
    <row r="4329" spans="11:23" x14ac:dyDescent="0.25">
      <c r="K4329"/>
      <c r="L4329"/>
      <c r="M4329" s="7"/>
      <c r="W4329"/>
    </row>
    <row r="4330" spans="11:23" x14ac:dyDescent="0.25">
      <c r="K4330"/>
      <c r="L4330"/>
      <c r="M4330" s="7"/>
      <c r="W4330"/>
    </row>
    <row r="4331" spans="11:23" x14ac:dyDescent="0.25">
      <c r="K4331"/>
      <c r="L4331"/>
      <c r="M4331" s="7"/>
      <c r="W4331"/>
    </row>
    <row r="4332" spans="11:23" x14ac:dyDescent="0.25">
      <c r="K4332"/>
      <c r="L4332"/>
      <c r="M4332" s="7"/>
      <c r="W4332"/>
    </row>
    <row r="4333" spans="11:23" x14ac:dyDescent="0.25">
      <c r="K4333"/>
      <c r="L4333"/>
      <c r="M4333" s="7"/>
      <c r="W4333"/>
    </row>
    <row r="4334" spans="11:23" x14ac:dyDescent="0.25">
      <c r="K4334"/>
      <c r="L4334"/>
      <c r="M4334" s="7"/>
      <c r="W4334"/>
    </row>
    <row r="4335" spans="11:23" x14ac:dyDescent="0.25">
      <c r="K4335"/>
      <c r="L4335"/>
      <c r="M4335" s="7"/>
      <c r="W4335"/>
    </row>
    <row r="4336" spans="11:23" x14ac:dyDescent="0.25">
      <c r="K4336"/>
      <c r="L4336"/>
      <c r="M4336" s="7"/>
      <c r="W4336"/>
    </row>
    <row r="4337" spans="11:23" x14ac:dyDescent="0.25">
      <c r="K4337"/>
      <c r="L4337"/>
      <c r="M4337" s="7"/>
      <c r="W4337"/>
    </row>
    <row r="4338" spans="11:23" x14ac:dyDescent="0.25">
      <c r="K4338"/>
      <c r="L4338"/>
      <c r="M4338" s="7"/>
      <c r="W4338"/>
    </row>
    <row r="4339" spans="11:23" x14ac:dyDescent="0.25">
      <c r="K4339"/>
      <c r="L4339"/>
      <c r="M4339" s="7"/>
      <c r="W4339"/>
    </row>
    <row r="4340" spans="11:23" x14ac:dyDescent="0.25">
      <c r="K4340"/>
      <c r="L4340"/>
      <c r="M4340" s="7"/>
      <c r="W4340"/>
    </row>
    <row r="4341" spans="11:23" x14ac:dyDescent="0.25">
      <c r="K4341"/>
      <c r="L4341"/>
      <c r="M4341" s="7"/>
      <c r="W4341"/>
    </row>
    <row r="4342" spans="11:23" x14ac:dyDescent="0.25">
      <c r="K4342"/>
      <c r="L4342"/>
      <c r="M4342" s="7"/>
      <c r="W4342"/>
    </row>
    <row r="4343" spans="11:23" x14ac:dyDescent="0.25">
      <c r="K4343"/>
      <c r="L4343"/>
      <c r="M4343" s="7"/>
      <c r="W4343"/>
    </row>
    <row r="4344" spans="11:23" x14ac:dyDescent="0.25">
      <c r="K4344"/>
      <c r="L4344"/>
      <c r="M4344" s="7"/>
      <c r="W4344"/>
    </row>
    <row r="4345" spans="11:23" x14ac:dyDescent="0.25">
      <c r="K4345"/>
      <c r="L4345"/>
      <c r="M4345" s="7"/>
      <c r="W4345"/>
    </row>
    <row r="4346" spans="11:23" x14ac:dyDescent="0.25">
      <c r="K4346"/>
      <c r="L4346"/>
      <c r="M4346" s="7"/>
      <c r="W4346"/>
    </row>
    <row r="4347" spans="11:23" x14ac:dyDescent="0.25">
      <c r="K4347"/>
      <c r="L4347"/>
      <c r="M4347" s="7"/>
      <c r="W4347"/>
    </row>
    <row r="4348" spans="11:23" x14ac:dyDescent="0.25">
      <c r="K4348"/>
      <c r="L4348"/>
      <c r="M4348" s="7"/>
      <c r="W4348"/>
    </row>
    <row r="4349" spans="11:23" x14ac:dyDescent="0.25">
      <c r="K4349"/>
      <c r="L4349"/>
      <c r="M4349" s="7"/>
      <c r="W4349"/>
    </row>
    <row r="4350" spans="11:23" x14ac:dyDescent="0.25">
      <c r="K4350"/>
      <c r="L4350"/>
      <c r="M4350" s="7"/>
      <c r="W4350"/>
    </row>
    <row r="4351" spans="11:23" x14ac:dyDescent="0.25">
      <c r="K4351"/>
      <c r="L4351"/>
      <c r="M4351" s="7"/>
      <c r="W4351"/>
    </row>
    <row r="4352" spans="11:23" x14ac:dyDescent="0.25">
      <c r="K4352"/>
      <c r="L4352"/>
      <c r="M4352" s="7"/>
      <c r="W4352"/>
    </row>
    <row r="4353" spans="11:23" x14ac:dyDescent="0.25">
      <c r="K4353"/>
      <c r="L4353"/>
      <c r="M4353" s="7"/>
      <c r="W4353"/>
    </row>
    <row r="4354" spans="11:23" x14ac:dyDescent="0.25">
      <c r="K4354"/>
      <c r="L4354"/>
      <c r="M4354" s="7"/>
      <c r="W4354"/>
    </row>
    <row r="4355" spans="11:23" x14ac:dyDescent="0.25">
      <c r="K4355"/>
      <c r="L4355"/>
      <c r="M4355" s="7"/>
      <c r="W4355"/>
    </row>
    <row r="4356" spans="11:23" x14ac:dyDescent="0.25">
      <c r="K4356"/>
      <c r="L4356"/>
      <c r="M4356" s="7"/>
      <c r="W4356"/>
    </row>
    <row r="4357" spans="11:23" x14ac:dyDescent="0.25">
      <c r="K4357"/>
      <c r="L4357"/>
      <c r="M4357" s="7"/>
      <c r="W4357"/>
    </row>
    <row r="4358" spans="11:23" x14ac:dyDescent="0.25">
      <c r="K4358"/>
      <c r="L4358"/>
      <c r="M4358" s="7"/>
      <c r="W4358"/>
    </row>
    <row r="4359" spans="11:23" x14ac:dyDescent="0.25">
      <c r="K4359"/>
      <c r="L4359"/>
      <c r="M4359" s="7"/>
      <c r="W4359"/>
    </row>
    <row r="4360" spans="11:23" x14ac:dyDescent="0.25">
      <c r="K4360"/>
      <c r="L4360"/>
      <c r="M4360" s="7"/>
      <c r="W4360"/>
    </row>
    <row r="4361" spans="11:23" x14ac:dyDescent="0.25">
      <c r="K4361"/>
      <c r="L4361"/>
      <c r="M4361" s="7"/>
      <c r="W4361"/>
    </row>
    <row r="4362" spans="11:23" x14ac:dyDescent="0.25">
      <c r="K4362"/>
      <c r="L4362"/>
      <c r="M4362" s="7"/>
      <c r="W4362"/>
    </row>
    <row r="4363" spans="11:23" x14ac:dyDescent="0.25">
      <c r="K4363"/>
      <c r="L4363"/>
      <c r="M4363" s="7"/>
      <c r="W4363"/>
    </row>
    <row r="4364" spans="11:23" x14ac:dyDescent="0.25">
      <c r="K4364"/>
      <c r="L4364"/>
      <c r="M4364" s="7"/>
      <c r="W4364"/>
    </row>
    <row r="4365" spans="11:23" x14ac:dyDescent="0.25">
      <c r="K4365"/>
      <c r="L4365"/>
      <c r="M4365" s="7"/>
      <c r="W4365"/>
    </row>
    <row r="4366" spans="11:23" x14ac:dyDescent="0.25">
      <c r="K4366"/>
      <c r="L4366"/>
      <c r="M4366" s="7"/>
      <c r="W4366"/>
    </row>
    <row r="4367" spans="11:23" x14ac:dyDescent="0.25">
      <c r="K4367"/>
      <c r="L4367"/>
      <c r="M4367" s="7"/>
      <c r="W4367"/>
    </row>
    <row r="4368" spans="11:23" x14ac:dyDescent="0.25">
      <c r="K4368"/>
      <c r="L4368"/>
      <c r="M4368" s="7"/>
      <c r="W4368"/>
    </row>
    <row r="4369" spans="11:23" x14ac:dyDescent="0.25">
      <c r="K4369"/>
      <c r="L4369"/>
      <c r="M4369" s="7"/>
      <c r="W4369"/>
    </row>
    <row r="4370" spans="11:23" x14ac:dyDescent="0.25">
      <c r="K4370"/>
      <c r="L4370"/>
      <c r="M4370" s="7"/>
      <c r="W4370"/>
    </row>
    <row r="4371" spans="11:23" x14ac:dyDescent="0.25">
      <c r="K4371"/>
      <c r="L4371"/>
      <c r="M4371" s="7"/>
      <c r="W4371"/>
    </row>
    <row r="4372" spans="11:23" x14ac:dyDescent="0.25">
      <c r="K4372"/>
      <c r="L4372"/>
      <c r="M4372" s="7"/>
      <c r="W4372"/>
    </row>
    <row r="4373" spans="11:23" x14ac:dyDescent="0.25">
      <c r="K4373"/>
      <c r="L4373"/>
      <c r="M4373" s="7"/>
      <c r="W4373"/>
    </row>
    <row r="4374" spans="11:23" x14ac:dyDescent="0.25">
      <c r="K4374"/>
      <c r="L4374"/>
      <c r="M4374" s="7"/>
      <c r="W4374"/>
    </row>
    <row r="4375" spans="11:23" x14ac:dyDescent="0.25">
      <c r="K4375"/>
      <c r="L4375"/>
      <c r="M4375" s="7"/>
      <c r="W4375"/>
    </row>
    <row r="4376" spans="11:23" x14ac:dyDescent="0.25">
      <c r="K4376"/>
      <c r="L4376"/>
      <c r="M4376" s="7"/>
      <c r="W4376"/>
    </row>
    <row r="4377" spans="11:23" x14ac:dyDescent="0.25">
      <c r="K4377"/>
      <c r="L4377"/>
      <c r="M4377" s="7"/>
      <c r="W4377"/>
    </row>
    <row r="4378" spans="11:23" x14ac:dyDescent="0.25">
      <c r="K4378"/>
      <c r="L4378"/>
      <c r="M4378" s="7"/>
      <c r="W4378"/>
    </row>
    <row r="4379" spans="11:23" x14ac:dyDescent="0.25">
      <c r="K4379"/>
      <c r="L4379"/>
      <c r="M4379" s="7"/>
      <c r="W4379"/>
    </row>
    <row r="4380" spans="11:23" x14ac:dyDescent="0.25">
      <c r="K4380"/>
      <c r="L4380"/>
      <c r="M4380" s="7"/>
      <c r="W4380"/>
    </row>
    <row r="4381" spans="11:23" x14ac:dyDescent="0.25">
      <c r="K4381"/>
      <c r="L4381"/>
      <c r="M4381" s="7"/>
      <c r="W4381"/>
    </row>
    <row r="4382" spans="11:23" x14ac:dyDescent="0.25">
      <c r="K4382"/>
      <c r="L4382"/>
      <c r="M4382" s="7"/>
      <c r="W4382"/>
    </row>
    <row r="4383" spans="11:23" x14ac:dyDescent="0.25">
      <c r="K4383"/>
      <c r="L4383"/>
      <c r="M4383" s="7"/>
      <c r="W4383"/>
    </row>
    <row r="4384" spans="11:23" x14ac:dyDescent="0.25">
      <c r="K4384"/>
      <c r="L4384"/>
      <c r="M4384" s="7"/>
      <c r="W4384"/>
    </row>
    <row r="4385" spans="11:23" x14ac:dyDescent="0.25">
      <c r="K4385"/>
      <c r="L4385"/>
      <c r="M4385" s="7"/>
      <c r="W4385"/>
    </row>
    <row r="4386" spans="11:23" x14ac:dyDescent="0.25">
      <c r="K4386"/>
      <c r="L4386"/>
      <c r="M4386" s="7"/>
      <c r="W4386"/>
    </row>
    <row r="4387" spans="11:23" x14ac:dyDescent="0.25">
      <c r="K4387"/>
      <c r="L4387"/>
      <c r="M4387" s="7"/>
      <c r="W4387"/>
    </row>
    <row r="4388" spans="11:23" x14ac:dyDescent="0.25">
      <c r="K4388"/>
      <c r="L4388"/>
      <c r="M4388" s="7"/>
      <c r="W4388"/>
    </row>
    <row r="4389" spans="11:23" x14ac:dyDescent="0.25">
      <c r="K4389"/>
      <c r="L4389"/>
      <c r="M4389" s="7"/>
      <c r="W4389"/>
    </row>
    <row r="4390" spans="11:23" x14ac:dyDescent="0.25">
      <c r="K4390"/>
      <c r="L4390"/>
      <c r="M4390" s="7"/>
      <c r="W4390"/>
    </row>
    <row r="4391" spans="11:23" x14ac:dyDescent="0.25">
      <c r="K4391"/>
      <c r="L4391"/>
      <c r="M4391" s="7"/>
      <c r="W4391"/>
    </row>
    <row r="4392" spans="11:23" x14ac:dyDescent="0.25">
      <c r="K4392"/>
      <c r="L4392"/>
      <c r="M4392" s="7"/>
      <c r="W4392"/>
    </row>
    <row r="4393" spans="11:23" x14ac:dyDescent="0.25">
      <c r="K4393"/>
      <c r="L4393"/>
      <c r="M4393" s="7"/>
      <c r="W4393"/>
    </row>
    <row r="4394" spans="11:23" x14ac:dyDescent="0.25">
      <c r="K4394"/>
      <c r="L4394"/>
      <c r="M4394" s="7"/>
      <c r="W4394"/>
    </row>
    <row r="4395" spans="11:23" x14ac:dyDescent="0.25">
      <c r="K4395"/>
      <c r="L4395"/>
      <c r="M4395" s="7"/>
      <c r="W4395"/>
    </row>
    <row r="4396" spans="11:23" x14ac:dyDescent="0.25">
      <c r="K4396"/>
      <c r="L4396"/>
      <c r="M4396" s="7"/>
      <c r="W4396"/>
    </row>
    <row r="4397" spans="11:23" x14ac:dyDescent="0.25">
      <c r="K4397"/>
      <c r="L4397"/>
      <c r="M4397" s="7"/>
      <c r="W4397"/>
    </row>
    <row r="4398" spans="11:23" x14ac:dyDescent="0.25">
      <c r="K4398"/>
      <c r="L4398"/>
      <c r="M4398" s="7"/>
      <c r="W4398"/>
    </row>
  </sheetData>
  <phoneticPr fontId="11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">
                <anchor moveWithCells="1">
                  <from>
                    <xdr:col>1</xdr:col>
                    <xdr:colOff>142875</xdr:colOff>
                    <xdr:row>0</xdr:row>
                    <xdr:rowOff>66675</xdr:rowOff>
                  </from>
                  <to>
                    <xdr:col>1</xdr:col>
                    <xdr:colOff>800100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IMPAR">
                <anchor moveWithCells="1">
                  <from>
                    <xdr:col>1</xdr:col>
                    <xdr:colOff>895350</xdr:colOff>
                    <xdr:row>0</xdr:row>
                    <xdr:rowOff>66675</xdr:rowOff>
                  </from>
                  <to>
                    <xdr:col>1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2283F-8527-4A63-843A-435B3D7823EE}">
  <sheetPr codeName="Planilha2">
    <tabColor rgb="FF002060"/>
  </sheetPr>
  <dimension ref="A2:U280"/>
  <sheetViews>
    <sheetView showGridLines="0" topLeftCell="D1" workbookViewId="0">
      <pane ySplit="4" topLeftCell="A15" activePane="bottomLeft" state="frozen"/>
      <selection pane="bottomLeft" activeCell="R1" sqref="R1:R1048576"/>
    </sheetView>
  </sheetViews>
  <sheetFormatPr defaultRowHeight="15" x14ac:dyDescent="0.25"/>
  <cols>
    <col min="1" max="1" width="16.42578125" bestFit="1" customWidth="1"/>
    <col min="2" max="2" width="51.42578125" bestFit="1" customWidth="1"/>
    <col min="3" max="3" width="37.5703125" style="1" bestFit="1" customWidth="1"/>
    <col min="4" max="4" width="17" style="1" bestFit="1" customWidth="1"/>
    <col min="5" max="5" width="24.28515625" style="1" bestFit="1" customWidth="1"/>
    <col min="6" max="6" width="20" style="1" bestFit="1" customWidth="1"/>
    <col min="7" max="7" width="20.28515625" style="1" bestFit="1" customWidth="1"/>
    <col min="8" max="8" width="28.7109375" style="1" bestFit="1" customWidth="1"/>
    <col min="9" max="9" width="21.28515625" style="1" bestFit="1" customWidth="1"/>
    <col min="10" max="10" width="12" style="1" bestFit="1" customWidth="1"/>
    <col min="11" max="11" width="14.140625" style="1" bestFit="1" customWidth="1"/>
    <col min="12" max="12" width="12.42578125" style="1" bestFit="1" customWidth="1"/>
    <col min="13" max="13" width="9.7109375" style="1" bestFit="1" customWidth="1"/>
    <col min="14" max="14" width="9.85546875" style="1" bestFit="1" customWidth="1"/>
    <col min="15" max="15" width="10.85546875" style="1" bestFit="1" customWidth="1"/>
    <col min="16" max="16" width="14.5703125" style="1" bestFit="1" customWidth="1"/>
    <col min="17" max="17" width="11.7109375" style="1" bestFit="1" customWidth="1"/>
    <col min="18" max="18" width="14.42578125" style="1" bestFit="1" customWidth="1"/>
    <col min="19" max="19" width="13" style="1" bestFit="1" customWidth="1"/>
    <col min="20" max="20" width="15" style="1" bestFit="1" customWidth="1"/>
    <col min="21" max="21" width="14.85546875" style="1" bestFit="1" customWidth="1"/>
    <col min="23" max="23" width="11" bestFit="1" customWidth="1"/>
  </cols>
  <sheetData>
    <row r="2" spans="1:21" x14ac:dyDescent="0.25">
      <c r="B2" s="13" t="s">
        <v>836</v>
      </c>
    </row>
    <row r="4" spans="1:21" x14ac:dyDescent="0.25">
      <c r="A4" t="s">
        <v>1</v>
      </c>
      <c r="B4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  <c r="J4" s="1" t="s">
        <v>10</v>
      </c>
      <c r="K4" s="1" t="s">
        <v>11</v>
      </c>
      <c r="L4" s="1" t="s">
        <v>12</v>
      </c>
      <c r="M4" s="1" t="s">
        <v>13</v>
      </c>
      <c r="N4" s="1" t="s">
        <v>14</v>
      </c>
      <c r="O4" s="1" t="s">
        <v>15</v>
      </c>
      <c r="P4" s="1" t="s">
        <v>16</v>
      </c>
      <c r="Q4" s="1" t="s">
        <v>17</v>
      </c>
      <c r="R4" s="1" t="s">
        <v>18</v>
      </c>
      <c r="S4" s="1" t="s">
        <v>19</v>
      </c>
      <c r="T4" s="1" t="s">
        <v>20</v>
      </c>
      <c r="U4" s="1" t="s">
        <v>21</v>
      </c>
    </row>
    <row r="5" spans="1:21" s="2" customFormat="1" x14ac:dyDescent="0.25">
      <c r="A5" s="2" t="str">
        <f>IF(Dados!H2="","",Dados!H2)</f>
        <v/>
      </c>
      <c r="B5" s="2" t="e">
        <f>VLOOKUP(Balancete_Oficial[[#This Row],[Conta]],'Balancete MLN_WebPosto'!C:E,3,0)</f>
        <v>#N/A</v>
      </c>
      <c r="C5" s="3" t="str">
        <f t="shared" ref="C5:C8" si="0">IF(LEN(A5)=17,"Analítica","Sintética")</f>
        <v>Sintética</v>
      </c>
      <c r="D5" s="6" t="str">
        <f t="shared" ref="D5:D8" si="1">IF(LEFT(A5,1)="1","A",IF(LEFT(A5,1)="2","P","R"))</f>
        <v>R</v>
      </c>
      <c r="E5" s="6" t="str">
        <f t="shared" ref="E5:E8" si="2">LEFT(A5,1)</f>
        <v/>
      </c>
      <c r="F5" s="6" t="s">
        <v>22</v>
      </c>
      <c r="G5" s="6" t="s">
        <v>23</v>
      </c>
      <c r="H5" s="6" t="s">
        <v>24</v>
      </c>
      <c r="I5" s="6" t="s">
        <v>25</v>
      </c>
      <c r="J5" s="4" t="str">
        <f>IF(Balancete_Oficial[[#Headers],[Janeiro]]='Balancete MLN_WebPosto'!$G$2,
SUMIFS('Balancete MLN_WebPosto'!$J:$J,'Balancete MLN_WebPosto'!$C:$C,$A5,'Balancete MLN_WebPosto'!$B:$B,$B$2),
  "0"
)</f>
        <v>0</v>
      </c>
      <c r="K5" s="4" t="str">
        <f>IF(Balancete_Oficial[[#Headers],[Fevereiro]]='Balancete MLN_WebPosto'!$G$2,
SUMIFS('Balancete MLN_WebPosto'!$J:$J,'Balancete MLN_WebPosto'!$C:$C,$A5,'Balancete MLN_WebPosto'!$B:$B,$B$2),
  "0"
)</f>
        <v>0</v>
      </c>
      <c r="L5" s="4" t="str">
        <f>IF(Balancete_Oficial[[#Headers],[Março]]='Balancete MLN_WebPosto'!$G$2,
SUMIFS('Balancete MLN_WebPosto'!$J:$J,'Balancete MLN_WebPosto'!$C:$C,$A5,'Balancete MLN_WebPosto'!$B:$B,$B$2),
  "0"
)</f>
        <v>0</v>
      </c>
      <c r="M5" s="4" t="str">
        <f>IF(Balancete_Oficial[[#Headers],[Abril]]='Balancete MLN_WebPosto'!$G$2,
SUMIFS('Balancete MLN_WebPosto'!$J:$J,'Balancete MLN_WebPosto'!$C:$C,$A5,'Balancete MLN_WebPosto'!$B:$B,$B$2),
  "0"
)</f>
        <v>0</v>
      </c>
      <c r="N5" s="4" t="str">
        <f>IF(Balancete_Oficial[[#Headers],[Maio]]='Balancete MLN_WebPosto'!$G$2,
SUMIFS('Balancete MLN_WebPosto'!$I:$I,'Balancete MLN_WebPosto'!$C:$C,$A5,'Balancete MLN_WebPosto'!$B:$B,$B$2),
  "0"
)</f>
        <v>0</v>
      </c>
      <c r="O5" s="4" t="str">
        <f>IF(Balancete_Oficial[[#Headers],[Junho]]='Balancete MLN_WebPosto'!$G$2,
SUMIFS('Balancete MLN_WebPosto'!$I:$I,'Balancete MLN_WebPosto'!$C:$C,$A5,'Balancete MLN_WebPosto'!$B:$B,$B$2),
  "0"
)</f>
        <v>0</v>
      </c>
      <c r="P5" s="4" t="str">
        <f>IF(Balancete_Oficial[[#Headers],[Julho]]='Balancete MLN_WebPosto'!$G$2,
SUMIFS('Balancete MLN_WebPosto'!$I:$I,'Balancete MLN_WebPosto'!$C:$C,$A5,'Balancete MLN_WebPosto'!$B:$B,$B$2),
  "0"
)</f>
        <v>0</v>
      </c>
      <c r="Q5" s="4" t="str">
        <f>IF(Balancete_Oficial[[#Headers],[Agosto]]='Balancete MLN_WebPosto'!$G$2,
SUMIFS('Balancete MLN_WebPosto'!$I:$I,'Balancete MLN_WebPosto'!$C:$C,$A5,'Balancete MLN_WebPosto'!$B:$B,$B$2),
  "0"
)</f>
        <v>0</v>
      </c>
      <c r="R5" s="4">
        <f>IF(Balancete_Oficial[[#Headers],[Setembro]]='Balancete MLN_WebPosto'!$G$2,
SUMIFS('Balancete MLN_WebPosto'!$I:$I,'Balancete MLN_WebPosto'!$C:$C,$A5,'Balancete MLN_WebPosto'!$B:$B,$B$2),
  "0"
)</f>
        <v>0</v>
      </c>
      <c r="S5" s="4" t="str">
        <f>IF(Balancete_Oficial[[#Headers],[Outubro]]='Balancete MLN_WebPosto'!$G$2,
SUMIFS('Balancete MLN_WebPosto'!$I:$I,'Balancete MLN_WebPosto'!$C:$C,$A5,'Balancete MLN_WebPosto'!$B:$B,$B$2),
  "0"
)</f>
        <v>0</v>
      </c>
      <c r="T5" s="4" t="str">
        <f>IF(Balancete_Oficial[[#Headers],[Novembro]]='Balancete MLN_WebPosto'!$G$2,
SUMIFS('Balancete MLN_WebPosto'!$I:$I,'Balancete MLN_WebPosto'!$C:$C,$A5,'Balancete MLN_WebPosto'!$B:$B,$B$2),
  "0"
)</f>
        <v>0</v>
      </c>
      <c r="U5" s="4" t="str">
        <f>IF(Balancete_Oficial[[#Headers],[Dezembro]]='Balancete MLN_WebPosto'!$G$2,
SUMIFS('Balancete MLN_WebPosto'!$I:$I,'Balancete MLN_WebPosto'!$C:$C,$A5,'Balancete MLN_WebPosto'!$B:$B,$B$2),
  "0"
)</f>
        <v>0</v>
      </c>
    </row>
    <row r="6" spans="1:21" s="2" customFormat="1" x14ac:dyDescent="0.25">
      <c r="A6" s="2" t="str">
        <f>IF(Dados!H3="","",Dados!H3)</f>
        <v/>
      </c>
      <c r="B6" s="2" t="e">
        <f>VLOOKUP(Balancete_Oficial[[#This Row],[Conta]],'Balancete MLN_WebPosto'!C:E,3,0)</f>
        <v>#N/A</v>
      </c>
      <c r="C6" s="3" t="str">
        <f t="shared" si="0"/>
        <v>Sintética</v>
      </c>
      <c r="D6" s="6" t="str">
        <f t="shared" si="1"/>
        <v>R</v>
      </c>
      <c r="E6" s="6" t="str">
        <f t="shared" si="2"/>
        <v/>
      </c>
      <c r="F6" s="6"/>
      <c r="G6" s="6"/>
      <c r="H6" s="6"/>
      <c r="I6" s="6"/>
      <c r="J6" s="4" t="str">
        <f>IF(Balancete_Oficial[[#Headers],[Janeiro]]='Balancete MLN_WebPosto'!$G$2,
SUMIFS('Balancete MLN_WebPosto'!$J:$J,'Balancete MLN_WebPosto'!$C:$C,$A6,'Balancete MLN_WebPosto'!$B:$B,$B$2),
  "0"
)</f>
        <v>0</v>
      </c>
      <c r="K6" s="4" t="str">
        <f>IF(Balancete_Oficial[[#Headers],[Fevereiro]]='Balancete MLN_WebPosto'!$G$2,
SUMIFS('Balancete MLN_WebPosto'!$J:$J,'Balancete MLN_WebPosto'!$C:$C,$A6,'Balancete MLN_WebPosto'!$B:$B,$B$2),
  "0"
)</f>
        <v>0</v>
      </c>
      <c r="L6" s="4" t="str">
        <f>IF(Balancete_Oficial[[#Headers],[Março]]='Balancete MLN_WebPosto'!$G$2,
SUMIFS('Balancete MLN_WebPosto'!$J:$J,'Balancete MLN_WebPosto'!$C:$C,$A6,'Balancete MLN_WebPosto'!$B:$B,$B$2),
  "0"
)</f>
        <v>0</v>
      </c>
      <c r="M6" s="4" t="str">
        <f>IF(Balancete_Oficial[[#Headers],[Abril]]='Balancete MLN_WebPosto'!$G$2,
SUMIFS('Balancete MLN_WebPosto'!$J:$J,'Balancete MLN_WebPosto'!$C:$C,$A6,'Balancete MLN_WebPosto'!$B:$B,$B$2),
  "0"
)</f>
        <v>0</v>
      </c>
      <c r="N6" s="4" t="str">
        <f>IF(Balancete_Oficial[[#Headers],[Maio]]='Balancete MLN_WebPosto'!$G$2,
SUMIFS('Balancete MLN_WebPosto'!$I:$I,'Balancete MLN_WebPosto'!$C:$C,$A6,'Balancete MLN_WebPosto'!$B:$B,$B$2),
  "0"
)</f>
        <v>0</v>
      </c>
      <c r="O6" s="4" t="str">
        <f>IF(Balancete_Oficial[[#Headers],[Junho]]='Balancete MLN_WebPosto'!$G$2,
SUMIFS('Balancete MLN_WebPosto'!$I:$I,'Balancete MLN_WebPosto'!$C:$C,$A6,'Balancete MLN_WebPosto'!$B:$B,$B$2),
  "0"
)</f>
        <v>0</v>
      </c>
      <c r="P6" s="4" t="str">
        <f>IF(Balancete_Oficial[[#Headers],[Julho]]='Balancete MLN_WebPosto'!$G$2,
SUMIFS('Balancete MLN_WebPosto'!$I:$I,'Balancete MLN_WebPosto'!$C:$C,$A6,'Balancete MLN_WebPosto'!$B:$B,$B$2),
  "0"
)</f>
        <v>0</v>
      </c>
      <c r="Q6" s="4" t="str">
        <f>IF(Balancete_Oficial[[#Headers],[Agosto]]='Balancete MLN_WebPosto'!$G$2,
SUMIFS('Balancete MLN_WebPosto'!$I:$I,'Balancete MLN_WebPosto'!$C:$C,$A6,'Balancete MLN_WebPosto'!$B:$B,$B$2),
  "0"
)</f>
        <v>0</v>
      </c>
      <c r="R6" s="4">
        <f>IF(Balancete_Oficial[[#Headers],[Setembro]]='Balancete MLN_WebPosto'!$G$2,
SUMIFS('Balancete MLN_WebPosto'!$I:$I,'Balancete MLN_WebPosto'!$C:$C,$A6,'Balancete MLN_WebPosto'!$B:$B,$B$2),
  "0"
)</f>
        <v>0</v>
      </c>
      <c r="S6" s="4" t="str">
        <f>IF(Balancete_Oficial[[#Headers],[Outubro]]='Balancete MLN_WebPosto'!$G$2,
SUMIFS('Balancete MLN_WebPosto'!$I:$I,'Balancete MLN_WebPosto'!$C:$C,$A6,'Balancete MLN_WebPosto'!$B:$B,$B$2),
  "0"
)</f>
        <v>0</v>
      </c>
      <c r="T6" s="4" t="str">
        <f>IF(Balancete_Oficial[[#Headers],[Novembro]]='Balancete MLN_WebPosto'!$G$2,
SUMIFS('Balancete MLN_WebPosto'!$I:$I,'Balancete MLN_WebPosto'!$C:$C,$A6,'Balancete MLN_WebPosto'!$B:$B,$B$2),
  "0"
)</f>
        <v>0</v>
      </c>
      <c r="U6" s="4" t="str">
        <f>IF(Balancete_Oficial[[#Headers],[Dezembro]]='Balancete MLN_WebPosto'!$G$2,
SUMIFS('Balancete MLN_WebPosto'!$I:$I,'Balancete MLN_WebPosto'!$C:$C,$A6,'Balancete MLN_WebPosto'!$B:$B,$B$2),
  "0"
)</f>
        <v>0</v>
      </c>
    </row>
    <row r="7" spans="1:21" s="2" customFormat="1" x14ac:dyDescent="0.25">
      <c r="A7" s="2" t="str">
        <f>IF(Dados!H4="","",Dados!H4)</f>
        <v/>
      </c>
      <c r="B7" s="2" t="e">
        <f>VLOOKUP(Balancete_Oficial[[#This Row],[Conta]],'Balancete MLN_WebPosto'!C:E,3,0)</f>
        <v>#N/A</v>
      </c>
      <c r="C7" s="3" t="str">
        <f t="shared" si="0"/>
        <v>Sintética</v>
      </c>
      <c r="D7" s="6" t="str">
        <f t="shared" si="1"/>
        <v>R</v>
      </c>
      <c r="E7" s="6" t="str">
        <f t="shared" si="2"/>
        <v/>
      </c>
      <c r="F7" s="6"/>
      <c r="G7" s="6"/>
      <c r="H7" s="6"/>
      <c r="I7" s="6"/>
      <c r="J7" s="4" t="str">
        <f>IF(Balancete_Oficial[[#Headers],[Janeiro]]='Balancete MLN_WebPosto'!$G$2,
SUMIFS('Balancete MLN_WebPosto'!$J:$J,'Balancete MLN_WebPosto'!$C:$C,$A7,'Balancete MLN_WebPosto'!$B:$B,$B$2),
  "0"
)</f>
        <v>0</v>
      </c>
      <c r="K7" s="4" t="str">
        <f>IF(Balancete_Oficial[[#Headers],[Fevereiro]]='Balancete MLN_WebPosto'!$G$2,
SUMIFS('Balancete MLN_WebPosto'!$J:$J,'Balancete MLN_WebPosto'!$C:$C,$A7,'Balancete MLN_WebPosto'!$B:$B,$B$2),
  "0"
)</f>
        <v>0</v>
      </c>
      <c r="L7" s="4" t="str">
        <f>IF(Balancete_Oficial[[#Headers],[Março]]='Balancete MLN_WebPosto'!$G$2,
SUMIFS('Balancete MLN_WebPosto'!$J:$J,'Balancete MLN_WebPosto'!$C:$C,$A7,'Balancete MLN_WebPosto'!$B:$B,$B$2),
  "0"
)</f>
        <v>0</v>
      </c>
      <c r="M7" s="4" t="str">
        <f>IF(Balancete_Oficial[[#Headers],[Abril]]='Balancete MLN_WebPosto'!$G$2,
SUMIFS('Balancete MLN_WebPosto'!$J:$J,'Balancete MLN_WebPosto'!$C:$C,$A7,'Balancete MLN_WebPosto'!$B:$B,$B$2),
  "0"
)</f>
        <v>0</v>
      </c>
      <c r="N7" s="4" t="str">
        <f>IF(Balancete_Oficial[[#Headers],[Maio]]='Balancete MLN_WebPosto'!$G$2,
SUMIFS('Balancete MLN_WebPosto'!$I:$I,'Balancete MLN_WebPosto'!$C:$C,$A7,'Balancete MLN_WebPosto'!$B:$B,$B$2),
  "0"
)</f>
        <v>0</v>
      </c>
      <c r="O7" s="4" t="str">
        <f>IF(Balancete_Oficial[[#Headers],[Junho]]='Balancete MLN_WebPosto'!$G$2,
SUMIFS('Balancete MLN_WebPosto'!$I:$I,'Balancete MLN_WebPosto'!$C:$C,$A7,'Balancete MLN_WebPosto'!$B:$B,$B$2),
  "0"
)</f>
        <v>0</v>
      </c>
      <c r="P7" s="4" t="str">
        <f>IF(Balancete_Oficial[[#Headers],[Julho]]='Balancete MLN_WebPosto'!$G$2,
SUMIFS('Balancete MLN_WebPosto'!$I:$I,'Balancete MLN_WebPosto'!$C:$C,$A7,'Balancete MLN_WebPosto'!$B:$B,$B$2),
  "0"
)</f>
        <v>0</v>
      </c>
      <c r="Q7" s="4" t="str">
        <f>IF(Balancete_Oficial[[#Headers],[Agosto]]='Balancete MLN_WebPosto'!$G$2,
SUMIFS('Balancete MLN_WebPosto'!$I:$I,'Balancete MLN_WebPosto'!$C:$C,$A7,'Balancete MLN_WebPosto'!$B:$B,$B$2),
  "0"
)</f>
        <v>0</v>
      </c>
      <c r="R7" s="4">
        <f>IF(Balancete_Oficial[[#Headers],[Setembro]]='Balancete MLN_WebPosto'!$G$2,
SUMIFS('Balancete MLN_WebPosto'!$I:$I,'Balancete MLN_WebPosto'!$C:$C,$A7,'Balancete MLN_WebPosto'!$B:$B,$B$2),
  "0"
)</f>
        <v>0</v>
      </c>
      <c r="S7" s="4" t="str">
        <f>IF(Balancete_Oficial[[#Headers],[Outubro]]='Balancete MLN_WebPosto'!$G$2,
SUMIFS('Balancete MLN_WebPosto'!$I:$I,'Balancete MLN_WebPosto'!$C:$C,$A7,'Balancete MLN_WebPosto'!$B:$B,$B$2),
  "0"
)</f>
        <v>0</v>
      </c>
      <c r="T7" s="4" t="str">
        <f>IF(Balancete_Oficial[[#Headers],[Novembro]]='Balancete MLN_WebPosto'!$G$2,
SUMIFS('Balancete MLN_WebPosto'!$I:$I,'Balancete MLN_WebPosto'!$C:$C,$A7,'Balancete MLN_WebPosto'!$B:$B,$B$2),
  "0"
)</f>
        <v>0</v>
      </c>
      <c r="U7" s="4" t="str">
        <f>IF(Balancete_Oficial[[#Headers],[Dezembro]]='Balancete MLN_WebPosto'!$G$2,
SUMIFS('Balancete MLN_WebPosto'!$I:$I,'Balancete MLN_WebPosto'!$C:$C,$A7,'Balancete MLN_WebPosto'!$B:$B,$B$2),
  "0"
)</f>
        <v>0</v>
      </c>
    </row>
    <row r="8" spans="1:21" s="2" customFormat="1" x14ac:dyDescent="0.25">
      <c r="A8" s="2" t="str">
        <f>IF(Dados!H5="","",Dados!H5)</f>
        <v/>
      </c>
      <c r="B8" s="2" t="e">
        <f>VLOOKUP(Balancete_Oficial[[#This Row],[Conta]],'Balancete MLN_WebPosto'!C:E,3,0)</f>
        <v>#N/A</v>
      </c>
      <c r="C8" s="3" t="str">
        <f t="shared" si="0"/>
        <v>Sintética</v>
      </c>
      <c r="D8" s="6" t="str">
        <f t="shared" si="1"/>
        <v>R</v>
      </c>
      <c r="E8" s="6" t="str">
        <f t="shared" si="2"/>
        <v/>
      </c>
      <c r="F8" s="6"/>
      <c r="G8" s="6"/>
      <c r="H8" s="6"/>
      <c r="I8" s="6"/>
      <c r="J8" s="4" t="str">
        <f>IF(Balancete_Oficial[[#Headers],[Janeiro]]='Balancete MLN_WebPosto'!$G$2,
SUMIFS('Balancete MLN_WebPosto'!$J:$J,'Balancete MLN_WebPosto'!$C:$C,$A8,'Balancete MLN_WebPosto'!$B:$B,$B$2),
  "0"
)</f>
        <v>0</v>
      </c>
      <c r="K8" s="4" t="str">
        <f>IF(Balancete_Oficial[[#Headers],[Fevereiro]]='Balancete MLN_WebPosto'!$G$2,
SUMIFS('Balancete MLN_WebPosto'!$J:$J,'Balancete MLN_WebPosto'!$C:$C,$A8,'Balancete MLN_WebPosto'!$B:$B,$B$2),
  "0"
)</f>
        <v>0</v>
      </c>
      <c r="L8" s="4" t="str">
        <f>IF(Balancete_Oficial[[#Headers],[Março]]='Balancete MLN_WebPosto'!$G$2,
SUMIFS('Balancete MLN_WebPosto'!$J:$J,'Balancete MLN_WebPosto'!$C:$C,$A8,'Balancete MLN_WebPosto'!$B:$B,$B$2),
  "0"
)</f>
        <v>0</v>
      </c>
      <c r="M8" s="4" t="str">
        <f>IF(Balancete_Oficial[[#Headers],[Abril]]='Balancete MLN_WebPosto'!$G$2,
SUMIFS('Balancete MLN_WebPosto'!$J:$J,'Balancete MLN_WebPosto'!$C:$C,$A8,'Balancete MLN_WebPosto'!$B:$B,$B$2),
  "0"
)</f>
        <v>0</v>
      </c>
      <c r="N8" s="4" t="str">
        <f>IF(Balancete_Oficial[[#Headers],[Maio]]='Balancete MLN_WebPosto'!$G$2,
SUMIFS('Balancete MLN_WebPosto'!$I:$I,'Balancete MLN_WebPosto'!$C:$C,$A8,'Balancete MLN_WebPosto'!$B:$B,$B$2),
  "0"
)</f>
        <v>0</v>
      </c>
      <c r="O8" s="4" t="str">
        <f>IF(Balancete_Oficial[[#Headers],[Junho]]='Balancete MLN_WebPosto'!$G$2,
SUMIFS('Balancete MLN_WebPosto'!$I:$I,'Balancete MLN_WebPosto'!$C:$C,$A8,'Balancete MLN_WebPosto'!$B:$B,$B$2),
  "0"
)</f>
        <v>0</v>
      </c>
      <c r="P8" s="4" t="str">
        <f>IF(Balancete_Oficial[[#Headers],[Julho]]='Balancete MLN_WebPosto'!$G$2,
SUMIFS('Balancete MLN_WebPosto'!$I:$I,'Balancete MLN_WebPosto'!$C:$C,$A8,'Balancete MLN_WebPosto'!$B:$B,$B$2),
  "0"
)</f>
        <v>0</v>
      </c>
      <c r="Q8" s="4" t="str">
        <f>IF(Balancete_Oficial[[#Headers],[Agosto]]='Balancete MLN_WebPosto'!$G$2,
SUMIFS('Balancete MLN_WebPosto'!$I:$I,'Balancete MLN_WebPosto'!$C:$C,$A8,'Balancete MLN_WebPosto'!$B:$B,$B$2),
  "0"
)</f>
        <v>0</v>
      </c>
      <c r="R8" s="4">
        <f>IF(Balancete_Oficial[[#Headers],[Setembro]]='Balancete MLN_WebPosto'!$G$2,
SUMIFS('Balancete MLN_WebPosto'!$I:$I,'Balancete MLN_WebPosto'!$C:$C,$A8,'Balancete MLN_WebPosto'!$B:$B,$B$2),
  "0"
)</f>
        <v>0</v>
      </c>
      <c r="S8" s="4" t="str">
        <f>IF(Balancete_Oficial[[#Headers],[Outubro]]='Balancete MLN_WebPosto'!$G$2,
SUMIFS('Balancete MLN_WebPosto'!$I:$I,'Balancete MLN_WebPosto'!$C:$C,$A8,'Balancete MLN_WebPosto'!$B:$B,$B$2),
  "0"
)</f>
        <v>0</v>
      </c>
      <c r="T8" s="4" t="str">
        <f>IF(Balancete_Oficial[[#Headers],[Novembro]]='Balancete MLN_WebPosto'!$G$2,
SUMIFS('Balancete MLN_WebPosto'!$I:$I,'Balancete MLN_WebPosto'!$C:$C,$A8,'Balancete MLN_WebPosto'!$B:$B,$B$2),
  "0"
)</f>
        <v>0</v>
      </c>
      <c r="U8" s="4" t="str">
        <f>IF(Balancete_Oficial[[#Headers],[Dezembro]]='Balancete MLN_WebPosto'!$G$2,
SUMIFS('Balancete MLN_WebPosto'!$I:$I,'Balancete MLN_WebPosto'!$C:$C,$A8,'Balancete MLN_WebPosto'!$B:$B,$B$2),
  "0"
)</f>
        <v>0</v>
      </c>
    </row>
    <row r="9" spans="1:21" s="2" customFormat="1" x14ac:dyDescent="0.25">
      <c r="A9" s="2" t="str">
        <f>IF(Dados!H6="","",Dados!H6)</f>
        <v/>
      </c>
      <c r="B9" s="2" t="e">
        <f>VLOOKUP(Balancete_Oficial[[#This Row],[Conta]],'Balancete MLN_WebPosto'!C:E,3,0)</f>
        <v>#N/A</v>
      </c>
      <c r="C9" s="3" t="str">
        <f t="shared" ref="C9:C72" si="3">IF(LEN(A9)=17,"Analítica","Sintética")</f>
        <v>Sintética</v>
      </c>
      <c r="D9" s="6" t="str">
        <f t="shared" ref="D9:D72" si="4">IF(LEFT(A9,1)="1","A",IF(LEFT(A9,1)="2","P","R"))</f>
        <v>R</v>
      </c>
      <c r="E9" s="6" t="str">
        <f t="shared" ref="E9:E72" si="5">LEFT(A9,1)</f>
        <v/>
      </c>
      <c r="F9" s="6"/>
      <c r="G9" s="6"/>
      <c r="H9" s="6"/>
      <c r="I9" s="6"/>
      <c r="J9" s="4" t="str">
        <f>IF(Balancete_Oficial[[#Headers],[Janeiro]]='Balancete MLN_WebPosto'!$G$2,
SUMIFS('Balancete MLN_WebPosto'!$J:$J,'Balancete MLN_WebPosto'!$C:$C,$A9,'Balancete MLN_WebPosto'!$B:$B,$B$2),
  "0"
)</f>
        <v>0</v>
      </c>
      <c r="K9" s="4" t="str">
        <f>IF(Balancete_Oficial[[#Headers],[Fevereiro]]='Balancete MLN_WebPosto'!$G$2,
SUMIFS('Balancete MLN_WebPosto'!$J:$J,'Balancete MLN_WebPosto'!$C:$C,$A9,'Balancete MLN_WebPosto'!$B:$B,$B$2),
  "0"
)</f>
        <v>0</v>
      </c>
      <c r="L9" s="4" t="str">
        <f>IF(Balancete_Oficial[[#Headers],[Março]]='Balancete MLN_WebPosto'!$G$2,
SUMIFS('Balancete MLN_WebPosto'!$J:$J,'Balancete MLN_WebPosto'!$C:$C,$A9,'Balancete MLN_WebPosto'!$B:$B,$B$2),
  "0"
)</f>
        <v>0</v>
      </c>
      <c r="M9" s="4" t="str">
        <f>IF(Balancete_Oficial[[#Headers],[Abril]]='Balancete MLN_WebPosto'!$G$2,
SUMIFS('Balancete MLN_WebPosto'!$J:$J,'Balancete MLN_WebPosto'!$C:$C,$A9,'Balancete MLN_WebPosto'!$B:$B,$B$2),
  "0"
)</f>
        <v>0</v>
      </c>
      <c r="N9" s="4" t="str">
        <f>IF(Balancete_Oficial[[#Headers],[Maio]]='Balancete MLN_WebPosto'!$G$2,
SUMIFS('Balancete MLN_WebPosto'!$I:$I,'Balancete MLN_WebPosto'!$C:$C,$A9,'Balancete MLN_WebPosto'!$B:$B,$B$2),
  "0"
)</f>
        <v>0</v>
      </c>
      <c r="O9" s="4" t="str">
        <f>IF(Balancete_Oficial[[#Headers],[Junho]]='Balancete MLN_WebPosto'!$G$2,
SUMIFS('Balancete MLN_WebPosto'!$I:$I,'Balancete MLN_WebPosto'!$C:$C,$A9,'Balancete MLN_WebPosto'!$B:$B,$B$2),
  "0"
)</f>
        <v>0</v>
      </c>
      <c r="P9" s="4" t="str">
        <f>IF(Balancete_Oficial[[#Headers],[Julho]]='Balancete MLN_WebPosto'!$G$2,
SUMIFS('Balancete MLN_WebPosto'!$I:$I,'Balancete MLN_WebPosto'!$C:$C,$A9,'Balancete MLN_WebPosto'!$B:$B,$B$2),
  "0"
)</f>
        <v>0</v>
      </c>
      <c r="Q9" s="4" t="str">
        <f>IF(Balancete_Oficial[[#Headers],[Agosto]]='Balancete MLN_WebPosto'!$G$2,
SUMIFS('Balancete MLN_WebPosto'!$I:$I,'Balancete MLN_WebPosto'!$C:$C,$A9,'Balancete MLN_WebPosto'!$B:$B,$B$2),
  "0"
)</f>
        <v>0</v>
      </c>
      <c r="R9" s="4">
        <f>IF(Balancete_Oficial[[#Headers],[Setembro]]='Balancete MLN_WebPosto'!$G$2,
SUMIFS('Balancete MLN_WebPosto'!$I:$I,'Balancete MLN_WebPosto'!$C:$C,$A9,'Balancete MLN_WebPosto'!$B:$B,$B$2),
  "0"
)</f>
        <v>0</v>
      </c>
      <c r="S9" s="4" t="str">
        <f>IF(Balancete_Oficial[[#Headers],[Outubro]]='Balancete MLN_WebPosto'!$G$2,
SUMIFS('Balancete MLN_WebPosto'!$I:$I,'Balancete MLN_WebPosto'!$C:$C,$A9,'Balancete MLN_WebPosto'!$B:$B,$B$2),
  "0"
)</f>
        <v>0</v>
      </c>
      <c r="T9" s="4" t="str">
        <f>IF(Balancete_Oficial[[#Headers],[Novembro]]='Balancete MLN_WebPosto'!$G$2,
SUMIFS('Balancete MLN_WebPosto'!$I:$I,'Balancete MLN_WebPosto'!$C:$C,$A9,'Balancete MLN_WebPosto'!$B:$B,$B$2),
  "0"
)</f>
        <v>0</v>
      </c>
      <c r="U9" s="4" t="str">
        <f>IF(Balancete_Oficial[[#Headers],[Dezembro]]='Balancete MLN_WebPosto'!$G$2,
SUMIFS('Balancete MLN_WebPosto'!$I:$I,'Balancete MLN_WebPosto'!$C:$C,$A9,'Balancete MLN_WebPosto'!$B:$B,$B$2),
  "0"
)</f>
        <v>0</v>
      </c>
    </row>
    <row r="10" spans="1:21" s="2" customFormat="1" x14ac:dyDescent="0.25">
      <c r="A10" s="2" t="str">
        <f>IF(Dados!H7="","",Dados!H7)</f>
        <v/>
      </c>
      <c r="B10" s="2" t="e">
        <f>VLOOKUP(Balancete_Oficial[[#This Row],[Conta]],'Balancete MLN_WebPosto'!C:E,3,0)</f>
        <v>#N/A</v>
      </c>
      <c r="C10" s="3" t="str">
        <f t="shared" si="3"/>
        <v>Sintética</v>
      </c>
      <c r="D10" s="6" t="str">
        <f t="shared" si="4"/>
        <v>R</v>
      </c>
      <c r="E10" s="6" t="str">
        <f t="shared" si="5"/>
        <v/>
      </c>
      <c r="F10" s="6"/>
      <c r="G10" s="6"/>
      <c r="H10" s="6"/>
      <c r="I10" s="6"/>
      <c r="J10" s="4" t="str">
        <f>IF(Balancete_Oficial[[#Headers],[Janeiro]]='Balancete MLN_WebPosto'!$G$2,
SUMIFS('Balancete MLN_WebPosto'!$J:$J,'Balancete MLN_WebPosto'!$C:$C,$A10,'Balancete MLN_WebPosto'!$B:$B,$B$2),
  "0"
)</f>
        <v>0</v>
      </c>
      <c r="K10" s="4" t="str">
        <f>IF(Balancete_Oficial[[#Headers],[Fevereiro]]='Balancete MLN_WebPosto'!$G$2,
SUMIFS('Balancete MLN_WebPosto'!$J:$J,'Balancete MLN_WebPosto'!$C:$C,$A10,'Balancete MLN_WebPosto'!$B:$B,$B$2),
  "0"
)</f>
        <v>0</v>
      </c>
      <c r="L10" s="4" t="str">
        <f>IF(Balancete_Oficial[[#Headers],[Março]]='Balancete MLN_WebPosto'!$G$2,
SUMIFS('Balancete MLN_WebPosto'!$J:$J,'Balancete MLN_WebPosto'!$C:$C,$A10,'Balancete MLN_WebPosto'!$B:$B,$B$2),
  "0"
)</f>
        <v>0</v>
      </c>
      <c r="M10" s="4" t="str">
        <f>IF(Balancete_Oficial[[#Headers],[Abril]]='Balancete MLN_WebPosto'!$G$2,
SUMIFS('Balancete MLN_WebPosto'!$J:$J,'Balancete MLN_WebPosto'!$C:$C,$A10,'Balancete MLN_WebPosto'!$B:$B,$B$2),
  "0"
)</f>
        <v>0</v>
      </c>
      <c r="N10" s="4" t="str">
        <f>IF(Balancete_Oficial[[#Headers],[Maio]]='Balancete MLN_WebPosto'!$G$2,
SUMIFS('Balancete MLN_WebPosto'!$I:$I,'Balancete MLN_WebPosto'!$C:$C,$A10,'Balancete MLN_WebPosto'!$B:$B,$B$2),
  "0"
)</f>
        <v>0</v>
      </c>
      <c r="O10" s="4" t="str">
        <f>IF(Balancete_Oficial[[#Headers],[Junho]]='Balancete MLN_WebPosto'!$G$2,
SUMIFS('Balancete MLN_WebPosto'!$I:$I,'Balancete MLN_WebPosto'!$C:$C,$A10,'Balancete MLN_WebPosto'!$B:$B,$B$2),
  "0"
)</f>
        <v>0</v>
      </c>
      <c r="P10" s="4" t="str">
        <f>IF(Balancete_Oficial[[#Headers],[Julho]]='Balancete MLN_WebPosto'!$G$2,
SUMIFS('Balancete MLN_WebPosto'!$I:$I,'Balancete MLN_WebPosto'!$C:$C,$A10,'Balancete MLN_WebPosto'!$B:$B,$B$2),
  "0"
)</f>
        <v>0</v>
      </c>
      <c r="Q10" s="4" t="str">
        <f>IF(Balancete_Oficial[[#Headers],[Agosto]]='Balancete MLN_WebPosto'!$G$2,
SUMIFS('Balancete MLN_WebPosto'!$I:$I,'Balancete MLN_WebPosto'!$C:$C,$A10,'Balancete MLN_WebPosto'!$B:$B,$B$2),
  "0"
)</f>
        <v>0</v>
      </c>
      <c r="R10" s="4">
        <f>IF(Balancete_Oficial[[#Headers],[Setembro]]='Balancete MLN_WebPosto'!$G$2,
SUMIFS('Balancete MLN_WebPosto'!$I:$I,'Balancete MLN_WebPosto'!$C:$C,$A10,'Balancete MLN_WebPosto'!$B:$B,$B$2),
  "0"
)</f>
        <v>0</v>
      </c>
      <c r="S10" s="4" t="str">
        <f>IF(Balancete_Oficial[[#Headers],[Outubro]]='Balancete MLN_WebPosto'!$G$2,
SUMIFS('Balancete MLN_WebPosto'!$I:$I,'Balancete MLN_WebPosto'!$C:$C,$A10,'Balancete MLN_WebPosto'!$B:$B,$B$2),
  "0"
)</f>
        <v>0</v>
      </c>
      <c r="T10" s="4" t="str">
        <f>IF(Balancete_Oficial[[#Headers],[Novembro]]='Balancete MLN_WebPosto'!$G$2,
SUMIFS('Balancete MLN_WebPosto'!$I:$I,'Balancete MLN_WebPosto'!$C:$C,$A10,'Balancete MLN_WebPosto'!$B:$B,$B$2),
  "0"
)</f>
        <v>0</v>
      </c>
      <c r="U10" s="4" t="str">
        <f>IF(Balancete_Oficial[[#Headers],[Dezembro]]='Balancete MLN_WebPosto'!$G$2,
SUMIFS('Balancete MLN_WebPosto'!$I:$I,'Balancete MLN_WebPosto'!$C:$C,$A10,'Balancete MLN_WebPosto'!$B:$B,$B$2),
  "0"
)</f>
        <v>0</v>
      </c>
    </row>
    <row r="11" spans="1:21" s="2" customFormat="1" x14ac:dyDescent="0.25">
      <c r="A11" s="2" t="str">
        <f>IF(Dados!H8="","",Dados!H8)</f>
        <v/>
      </c>
      <c r="B11" s="2" t="e">
        <f>VLOOKUP(Balancete_Oficial[[#This Row],[Conta]],'Balancete MLN_WebPosto'!C:E,3,0)</f>
        <v>#N/A</v>
      </c>
      <c r="C11" s="3" t="str">
        <f t="shared" si="3"/>
        <v>Sintética</v>
      </c>
      <c r="D11" s="6" t="str">
        <f t="shared" si="4"/>
        <v>R</v>
      </c>
      <c r="E11" s="6" t="str">
        <f t="shared" si="5"/>
        <v/>
      </c>
      <c r="F11" s="6"/>
      <c r="G11" s="6"/>
      <c r="H11" s="6"/>
      <c r="I11" s="6"/>
      <c r="J11" s="4" t="str">
        <f>IF(Balancete_Oficial[[#Headers],[Janeiro]]='Balancete MLN_WebPosto'!$G$2,
SUMIFS('Balancete MLN_WebPosto'!$J:$J,'Balancete MLN_WebPosto'!$C:$C,$A11,'Balancete MLN_WebPosto'!$B:$B,$B$2),
  "0"
)</f>
        <v>0</v>
      </c>
      <c r="K11" s="4" t="str">
        <f>IF(Balancete_Oficial[[#Headers],[Fevereiro]]='Balancete MLN_WebPosto'!$G$2,
SUMIFS('Balancete MLN_WebPosto'!$J:$J,'Balancete MLN_WebPosto'!$C:$C,$A11,'Balancete MLN_WebPosto'!$B:$B,$B$2),
  "0"
)</f>
        <v>0</v>
      </c>
      <c r="L11" s="4" t="str">
        <f>IF(Balancete_Oficial[[#Headers],[Março]]='Balancete MLN_WebPosto'!$G$2,
SUMIFS('Balancete MLN_WebPosto'!$J:$J,'Balancete MLN_WebPosto'!$C:$C,$A11,'Balancete MLN_WebPosto'!$B:$B,$B$2),
  "0"
)</f>
        <v>0</v>
      </c>
      <c r="M11" s="4" t="str">
        <f>IF(Balancete_Oficial[[#Headers],[Abril]]='Balancete MLN_WebPosto'!$G$2,
SUMIFS('Balancete MLN_WebPosto'!$J:$J,'Balancete MLN_WebPosto'!$C:$C,$A11,'Balancete MLN_WebPosto'!$B:$B,$B$2),
  "0"
)</f>
        <v>0</v>
      </c>
      <c r="N11" s="4" t="str">
        <f>IF(Balancete_Oficial[[#Headers],[Maio]]='Balancete MLN_WebPosto'!$G$2,
SUMIFS('Balancete MLN_WebPosto'!$I:$I,'Balancete MLN_WebPosto'!$C:$C,$A11,'Balancete MLN_WebPosto'!$B:$B,$B$2),
  "0"
)</f>
        <v>0</v>
      </c>
      <c r="O11" s="4" t="str">
        <f>IF(Balancete_Oficial[[#Headers],[Junho]]='Balancete MLN_WebPosto'!$G$2,
SUMIFS('Balancete MLN_WebPosto'!$I:$I,'Balancete MLN_WebPosto'!$C:$C,$A11,'Balancete MLN_WebPosto'!$B:$B,$B$2),
  "0"
)</f>
        <v>0</v>
      </c>
      <c r="P11" s="4" t="str">
        <f>IF(Balancete_Oficial[[#Headers],[Julho]]='Balancete MLN_WebPosto'!$G$2,
SUMIFS('Balancete MLN_WebPosto'!$I:$I,'Balancete MLN_WebPosto'!$C:$C,$A11,'Balancete MLN_WebPosto'!$B:$B,$B$2),
  "0"
)</f>
        <v>0</v>
      </c>
      <c r="Q11" s="4" t="str">
        <f>IF(Balancete_Oficial[[#Headers],[Agosto]]='Balancete MLN_WebPosto'!$G$2,
SUMIFS('Balancete MLN_WebPosto'!$I:$I,'Balancete MLN_WebPosto'!$C:$C,$A11,'Balancete MLN_WebPosto'!$B:$B,$B$2),
  "0"
)</f>
        <v>0</v>
      </c>
      <c r="R11" s="4">
        <f>IF(Balancete_Oficial[[#Headers],[Setembro]]='Balancete MLN_WebPosto'!$G$2,
SUMIFS('Balancete MLN_WebPosto'!$I:$I,'Balancete MLN_WebPosto'!$C:$C,$A11,'Balancete MLN_WebPosto'!$B:$B,$B$2),
  "0"
)</f>
        <v>0</v>
      </c>
      <c r="S11" s="4" t="str">
        <f>IF(Balancete_Oficial[[#Headers],[Outubro]]='Balancete MLN_WebPosto'!$G$2,
SUMIFS('Balancete MLN_WebPosto'!$I:$I,'Balancete MLN_WebPosto'!$C:$C,$A11,'Balancete MLN_WebPosto'!$B:$B,$B$2),
  "0"
)</f>
        <v>0</v>
      </c>
      <c r="T11" s="4" t="str">
        <f>IF(Balancete_Oficial[[#Headers],[Novembro]]='Balancete MLN_WebPosto'!$G$2,
SUMIFS('Balancete MLN_WebPosto'!$I:$I,'Balancete MLN_WebPosto'!$C:$C,$A11,'Balancete MLN_WebPosto'!$B:$B,$B$2),
  "0"
)</f>
        <v>0</v>
      </c>
      <c r="U11" s="4" t="str">
        <f>IF(Balancete_Oficial[[#Headers],[Dezembro]]='Balancete MLN_WebPosto'!$G$2,
SUMIFS('Balancete MLN_WebPosto'!$I:$I,'Balancete MLN_WebPosto'!$C:$C,$A11,'Balancete MLN_WebPosto'!$B:$B,$B$2),
  "0"
)</f>
        <v>0</v>
      </c>
    </row>
    <row r="12" spans="1:21" s="2" customFormat="1" x14ac:dyDescent="0.25">
      <c r="A12" s="2" t="str">
        <f>IF(Dados!H9="","",Dados!H9)</f>
        <v/>
      </c>
      <c r="B12" s="2" t="e">
        <f>VLOOKUP(Balancete_Oficial[[#This Row],[Conta]],'Balancete MLN_WebPosto'!C:E,3,0)</f>
        <v>#N/A</v>
      </c>
      <c r="C12" s="3" t="str">
        <f t="shared" si="3"/>
        <v>Sintética</v>
      </c>
      <c r="D12" s="6" t="str">
        <f t="shared" si="4"/>
        <v>R</v>
      </c>
      <c r="E12" s="6" t="str">
        <f t="shared" si="5"/>
        <v/>
      </c>
      <c r="F12" s="6"/>
      <c r="G12" s="6"/>
      <c r="H12" s="6"/>
      <c r="I12" s="6"/>
      <c r="J12" s="4" t="str">
        <f>IF(Balancete_Oficial[[#Headers],[Janeiro]]='Balancete MLN_WebPosto'!$G$2,
SUMIFS('Balancete MLN_WebPosto'!$J:$J,'Balancete MLN_WebPosto'!$C:$C,$A12,'Balancete MLN_WebPosto'!$B:$B,$B$2),
  "0"
)</f>
        <v>0</v>
      </c>
      <c r="K12" s="4" t="str">
        <f>IF(Balancete_Oficial[[#Headers],[Fevereiro]]='Balancete MLN_WebPosto'!$G$2,
SUMIFS('Balancete MLN_WebPosto'!$J:$J,'Balancete MLN_WebPosto'!$C:$C,$A12,'Balancete MLN_WebPosto'!$B:$B,$B$2),
  "0"
)</f>
        <v>0</v>
      </c>
      <c r="L12" s="4" t="str">
        <f>IF(Balancete_Oficial[[#Headers],[Março]]='Balancete MLN_WebPosto'!$G$2,
SUMIFS('Balancete MLN_WebPosto'!$J:$J,'Balancete MLN_WebPosto'!$C:$C,$A12,'Balancete MLN_WebPosto'!$B:$B,$B$2),
  "0"
)</f>
        <v>0</v>
      </c>
      <c r="M12" s="4" t="str">
        <f>IF(Balancete_Oficial[[#Headers],[Abril]]='Balancete MLN_WebPosto'!$G$2,
SUMIFS('Balancete MLN_WebPosto'!$J:$J,'Balancete MLN_WebPosto'!$C:$C,$A12,'Balancete MLN_WebPosto'!$B:$B,$B$2),
  "0"
)</f>
        <v>0</v>
      </c>
      <c r="N12" s="4" t="str">
        <f>IF(Balancete_Oficial[[#Headers],[Maio]]='Balancete MLN_WebPosto'!$G$2,
SUMIFS('Balancete MLN_WebPosto'!$I:$I,'Balancete MLN_WebPosto'!$C:$C,$A12,'Balancete MLN_WebPosto'!$B:$B,$B$2),
  "0"
)</f>
        <v>0</v>
      </c>
      <c r="O12" s="4" t="str">
        <f>IF(Balancete_Oficial[[#Headers],[Junho]]='Balancete MLN_WebPosto'!$G$2,
SUMIFS('Balancete MLN_WebPosto'!$I:$I,'Balancete MLN_WebPosto'!$C:$C,$A12,'Balancete MLN_WebPosto'!$B:$B,$B$2),
  "0"
)</f>
        <v>0</v>
      </c>
      <c r="P12" s="4" t="str">
        <f>IF(Balancete_Oficial[[#Headers],[Julho]]='Balancete MLN_WebPosto'!$G$2,
SUMIFS('Balancete MLN_WebPosto'!$I:$I,'Balancete MLN_WebPosto'!$C:$C,$A12,'Balancete MLN_WebPosto'!$B:$B,$B$2),
  "0"
)</f>
        <v>0</v>
      </c>
      <c r="Q12" s="4" t="str">
        <f>IF(Balancete_Oficial[[#Headers],[Agosto]]='Balancete MLN_WebPosto'!$G$2,
SUMIFS('Balancete MLN_WebPosto'!$I:$I,'Balancete MLN_WebPosto'!$C:$C,$A12,'Balancete MLN_WebPosto'!$B:$B,$B$2),
  "0"
)</f>
        <v>0</v>
      </c>
      <c r="R12" s="4">
        <f>IF(Balancete_Oficial[[#Headers],[Setembro]]='Balancete MLN_WebPosto'!$G$2,
SUMIFS('Balancete MLN_WebPosto'!$I:$I,'Balancete MLN_WebPosto'!$C:$C,$A12,'Balancete MLN_WebPosto'!$B:$B,$B$2),
  "0"
)</f>
        <v>0</v>
      </c>
      <c r="S12" s="4" t="str">
        <f>IF(Balancete_Oficial[[#Headers],[Outubro]]='Balancete MLN_WebPosto'!$G$2,
SUMIFS('Balancete MLN_WebPosto'!$I:$I,'Balancete MLN_WebPosto'!$C:$C,$A12,'Balancete MLN_WebPosto'!$B:$B,$B$2),
  "0"
)</f>
        <v>0</v>
      </c>
      <c r="T12" s="4" t="str">
        <f>IF(Balancete_Oficial[[#Headers],[Novembro]]='Balancete MLN_WebPosto'!$G$2,
SUMIFS('Balancete MLN_WebPosto'!$I:$I,'Balancete MLN_WebPosto'!$C:$C,$A12,'Balancete MLN_WebPosto'!$B:$B,$B$2),
  "0"
)</f>
        <v>0</v>
      </c>
      <c r="U12" s="4" t="str">
        <f>IF(Balancete_Oficial[[#Headers],[Dezembro]]='Balancete MLN_WebPosto'!$G$2,
SUMIFS('Balancete MLN_WebPosto'!$I:$I,'Balancete MLN_WebPosto'!$C:$C,$A12,'Balancete MLN_WebPosto'!$B:$B,$B$2),
  "0"
)</f>
        <v>0</v>
      </c>
    </row>
    <row r="13" spans="1:21" s="2" customFormat="1" x14ac:dyDescent="0.25">
      <c r="A13" s="2" t="str">
        <f>IF(Dados!H10="","",Dados!H10)</f>
        <v/>
      </c>
      <c r="B13" s="2" t="e">
        <f>VLOOKUP(Balancete_Oficial[[#This Row],[Conta]],'Balancete MLN_WebPosto'!C:E,3,0)</f>
        <v>#N/A</v>
      </c>
      <c r="C13" s="3" t="str">
        <f t="shared" si="3"/>
        <v>Sintética</v>
      </c>
      <c r="D13" s="6" t="str">
        <f t="shared" si="4"/>
        <v>R</v>
      </c>
      <c r="E13" s="6" t="str">
        <f t="shared" si="5"/>
        <v/>
      </c>
      <c r="F13" s="6"/>
      <c r="G13" s="6"/>
      <c r="H13" s="6"/>
      <c r="I13" s="6"/>
      <c r="J13" s="4" t="str">
        <f>IF(Balancete_Oficial[[#Headers],[Janeiro]]='Balancete MLN_WebPosto'!$G$2,
SUMIFS('Balancete MLN_WebPosto'!$J:$J,'Balancete MLN_WebPosto'!$C:$C,$A13,'Balancete MLN_WebPosto'!$B:$B,$B$2),
  "0"
)</f>
        <v>0</v>
      </c>
      <c r="K13" s="4" t="str">
        <f>IF(Balancete_Oficial[[#Headers],[Fevereiro]]='Balancete MLN_WebPosto'!$G$2,
SUMIFS('Balancete MLN_WebPosto'!$J:$J,'Balancete MLN_WebPosto'!$C:$C,$A13,'Balancete MLN_WebPosto'!$B:$B,$B$2),
  "0"
)</f>
        <v>0</v>
      </c>
      <c r="L13" s="4" t="str">
        <f>IF(Balancete_Oficial[[#Headers],[Março]]='Balancete MLN_WebPosto'!$G$2,
SUMIFS('Balancete MLN_WebPosto'!$J:$J,'Balancete MLN_WebPosto'!$C:$C,$A13,'Balancete MLN_WebPosto'!$B:$B,$B$2),
  "0"
)</f>
        <v>0</v>
      </c>
      <c r="M13" s="4" t="str">
        <f>IF(Balancete_Oficial[[#Headers],[Abril]]='Balancete MLN_WebPosto'!$G$2,
SUMIFS('Balancete MLN_WebPosto'!$J:$J,'Balancete MLN_WebPosto'!$C:$C,$A13,'Balancete MLN_WebPosto'!$B:$B,$B$2),
  "0"
)</f>
        <v>0</v>
      </c>
      <c r="N13" s="4" t="str">
        <f>IF(Balancete_Oficial[[#Headers],[Maio]]='Balancete MLN_WebPosto'!$G$2,
SUMIFS('Balancete MLN_WebPosto'!$I:$I,'Balancete MLN_WebPosto'!$C:$C,$A13,'Balancete MLN_WebPosto'!$B:$B,$B$2),
  "0"
)</f>
        <v>0</v>
      </c>
      <c r="O13" s="4" t="str">
        <f>IF(Balancete_Oficial[[#Headers],[Junho]]='Balancete MLN_WebPosto'!$G$2,
SUMIFS('Balancete MLN_WebPosto'!$I:$I,'Balancete MLN_WebPosto'!$C:$C,$A13,'Balancete MLN_WebPosto'!$B:$B,$B$2),
  "0"
)</f>
        <v>0</v>
      </c>
      <c r="P13" s="4" t="str">
        <f>IF(Balancete_Oficial[[#Headers],[Julho]]='Balancete MLN_WebPosto'!$G$2,
SUMIFS('Balancete MLN_WebPosto'!$I:$I,'Balancete MLN_WebPosto'!$C:$C,$A13,'Balancete MLN_WebPosto'!$B:$B,$B$2),
  "0"
)</f>
        <v>0</v>
      </c>
      <c r="Q13" s="4" t="str">
        <f>IF(Balancete_Oficial[[#Headers],[Agosto]]='Balancete MLN_WebPosto'!$G$2,
SUMIFS('Balancete MLN_WebPosto'!$I:$I,'Balancete MLN_WebPosto'!$C:$C,$A13,'Balancete MLN_WebPosto'!$B:$B,$B$2),
  "0"
)</f>
        <v>0</v>
      </c>
      <c r="R13" s="4">
        <f>IF(Balancete_Oficial[[#Headers],[Setembro]]='Balancete MLN_WebPosto'!$G$2,
SUMIFS('Balancete MLN_WebPosto'!$I:$I,'Balancete MLN_WebPosto'!$C:$C,$A13,'Balancete MLN_WebPosto'!$B:$B,$B$2),
  "0"
)</f>
        <v>0</v>
      </c>
      <c r="S13" s="4" t="str">
        <f>IF(Balancete_Oficial[[#Headers],[Outubro]]='Balancete MLN_WebPosto'!$G$2,
SUMIFS('Balancete MLN_WebPosto'!$I:$I,'Balancete MLN_WebPosto'!$C:$C,$A13,'Balancete MLN_WebPosto'!$B:$B,$B$2),
  "0"
)</f>
        <v>0</v>
      </c>
      <c r="T13" s="4" t="str">
        <f>IF(Balancete_Oficial[[#Headers],[Novembro]]='Balancete MLN_WebPosto'!$G$2,
SUMIFS('Balancete MLN_WebPosto'!$I:$I,'Balancete MLN_WebPosto'!$C:$C,$A13,'Balancete MLN_WebPosto'!$B:$B,$B$2),
  "0"
)</f>
        <v>0</v>
      </c>
      <c r="U13" s="4" t="str">
        <f>IF(Balancete_Oficial[[#Headers],[Dezembro]]='Balancete MLN_WebPosto'!$G$2,
SUMIFS('Balancete MLN_WebPosto'!$I:$I,'Balancete MLN_WebPosto'!$C:$C,$A13,'Balancete MLN_WebPosto'!$B:$B,$B$2),
  "0"
)</f>
        <v>0</v>
      </c>
    </row>
    <row r="14" spans="1:21" s="2" customFormat="1" x14ac:dyDescent="0.25">
      <c r="A14" s="2" t="str">
        <f>IF(Dados!H11="","",Dados!H11)</f>
        <v/>
      </c>
      <c r="B14" s="2" t="e">
        <f>VLOOKUP(Balancete_Oficial[[#This Row],[Conta]],'Balancete MLN_WebPosto'!C:E,3,0)</f>
        <v>#N/A</v>
      </c>
      <c r="C14" s="3" t="str">
        <f t="shared" si="3"/>
        <v>Sintética</v>
      </c>
      <c r="D14" s="6" t="str">
        <f t="shared" si="4"/>
        <v>R</v>
      </c>
      <c r="E14" s="6" t="str">
        <f t="shared" si="5"/>
        <v/>
      </c>
      <c r="F14" s="6"/>
      <c r="G14" s="6"/>
      <c r="H14" s="6"/>
      <c r="I14" s="6"/>
      <c r="J14" s="4" t="str">
        <f>IF(Balancete_Oficial[[#Headers],[Janeiro]]='Balancete MLN_WebPosto'!$G$2,
SUMIFS('Balancete MLN_WebPosto'!$J:$J,'Balancete MLN_WebPosto'!$C:$C,$A14,'Balancete MLN_WebPosto'!$B:$B,$B$2),
  "0"
)</f>
        <v>0</v>
      </c>
      <c r="K14" s="4" t="str">
        <f>IF(Balancete_Oficial[[#Headers],[Fevereiro]]='Balancete MLN_WebPosto'!$G$2,
SUMIFS('Balancete MLN_WebPosto'!$J:$J,'Balancete MLN_WebPosto'!$C:$C,$A14,'Balancete MLN_WebPosto'!$B:$B,$B$2),
  "0"
)</f>
        <v>0</v>
      </c>
      <c r="L14" s="4" t="str">
        <f>IF(Balancete_Oficial[[#Headers],[Março]]='Balancete MLN_WebPosto'!$G$2,
SUMIFS('Balancete MLN_WebPosto'!$J:$J,'Balancete MLN_WebPosto'!$C:$C,$A14,'Balancete MLN_WebPosto'!$B:$B,$B$2),
  "0"
)</f>
        <v>0</v>
      </c>
      <c r="M14" s="4" t="str">
        <f>IF(Balancete_Oficial[[#Headers],[Abril]]='Balancete MLN_WebPosto'!$G$2,
SUMIFS('Balancete MLN_WebPosto'!$J:$J,'Balancete MLN_WebPosto'!$C:$C,$A14,'Balancete MLN_WebPosto'!$B:$B,$B$2),
  "0"
)</f>
        <v>0</v>
      </c>
      <c r="N14" s="4" t="str">
        <f>IF(Balancete_Oficial[[#Headers],[Maio]]='Balancete MLN_WebPosto'!$G$2,
SUMIFS('Balancete MLN_WebPosto'!$I:$I,'Balancete MLN_WebPosto'!$C:$C,$A14,'Balancete MLN_WebPosto'!$B:$B,$B$2),
  "0"
)</f>
        <v>0</v>
      </c>
      <c r="O14" s="4" t="str">
        <f>IF(Balancete_Oficial[[#Headers],[Junho]]='Balancete MLN_WebPosto'!$G$2,
SUMIFS('Balancete MLN_WebPosto'!$I:$I,'Balancete MLN_WebPosto'!$C:$C,$A14,'Balancete MLN_WebPosto'!$B:$B,$B$2),
  "0"
)</f>
        <v>0</v>
      </c>
      <c r="P14" s="4" t="str">
        <f>IF(Balancete_Oficial[[#Headers],[Julho]]='Balancete MLN_WebPosto'!$G$2,
SUMIFS('Balancete MLN_WebPosto'!$I:$I,'Balancete MLN_WebPosto'!$C:$C,$A14,'Balancete MLN_WebPosto'!$B:$B,$B$2),
  "0"
)</f>
        <v>0</v>
      </c>
      <c r="Q14" s="4" t="str">
        <f>IF(Balancete_Oficial[[#Headers],[Agosto]]='Balancete MLN_WebPosto'!$G$2,
SUMIFS('Balancete MLN_WebPosto'!$I:$I,'Balancete MLN_WebPosto'!$C:$C,$A14,'Balancete MLN_WebPosto'!$B:$B,$B$2),
  "0"
)</f>
        <v>0</v>
      </c>
      <c r="R14" s="4">
        <f>IF(Balancete_Oficial[[#Headers],[Setembro]]='Balancete MLN_WebPosto'!$G$2,
SUMIFS('Balancete MLN_WebPosto'!$I:$I,'Balancete MLN_WebPosto'!$C:$C,$A14,'Balancete MLN_WebPosto'!$B:$B,$B$2),
  "0"
)</f>
        <v>0</v>
      </c>
      <c r="S14" s="4" t="str">
        <f>IF(Balancete_Oficial[[#Headers],[Outubro]]='Balancete MLN_WebPosto'!$G$2,
SUMIFS('Balancete MLN_WebPosto'!$I:$I,'Balancete MLN_WebPosto'!$C:$C,$A14,'Balancete MLN_WebPosto'!$B:$B,$B$2),
  "0"
)</f>
        <v>0</v>
      </c>
      <c r="T14" s="4" t="str">
        <f>IF(Balancete_Oficial[[#Headers],[Novembro]]='Balancete MLN_WebPosto'!$G$2,
SUMIFS('Balancete MLN_WebPosto'!$I:$I,'Balancete MLN_WebPosto'!$C:$C,$A14,'Balancete MLN_WebPosto'!$B:$B,$B$2),
  "0"
)</f>
        <v>0</v>
      </c>
      <c r="U14" s="4" t="str">
        <f>IF(Balancete_Oficial[[#Headers],[Dezembro]]='Balancete MLN_WebPosto'!$G$2,
SUMIFS('Balancete MLN_WebPosto'!$I:$I,'Balancete MLN_WebPosto'!$C:$C,$A14,'Balancete MLN_WebPosto'!$B:$B,$B$2),
  "0"
)</f>
        <v>0</v>
      </c>
    </row>
    <row r="15" spans="1:21" s="2" customFormat="1" x14ac:dyDescent="0.25">
      <c r="A15" s="2" t="str">
        <f>IF(Dados!H12="","",Dados!H12)</f>
        <v/>
      </c>
      <c r="B15" s="2" t="e">
        <f>VLOOKUP(Balancete_Oficial[[#This Row],[Conta]],'Balancete MLN_WebPosto'!C:E,3,0)</f>
        <v>#N/A</v>
      </c>
      <c r="C15" s="3" t="str">
        <f t="shared" si="3"/>
        <v>Sintética</v>
      </c>
      <c r="D15" s="6" t="str">
        <f t="shared" si="4"/>
        <v>R</v>
      </c>
      <c r="E15" s="6" t="str">
        <f t="shared" si="5"/>
        <v/>
      </c>
      <c r="F15" s="6"/>
      <c r="G15" s="6"/>
      <c r="H15" s="6"/>
      <c r="I15" s="6"/>
      <c r="J15" s="4" t="str">
        <f>IF(Balancete_Oficial[[#Headers],[Janeiro]]='Balancete MLN_WebPosto'!$G$2,
SUMIFS('Balancete MLN_WebPosto'!$J:$J,'Balancete MLN_WebPosto'!$C:$C,$A15,'Balancete MLN_WebPosto'!$B:$B,$B$2),
  "0"
)</f>
        <v>0</v>
      </c>
      <c r="K15" s="4" t="str">
        <f>IF(Balancete_Oficial[[#Headers],[Fevereiro]]='Balancete MLN_WebPosto'!$G$2,
SUMIFS('Balancete MLN_WebPosto'!$J:$J,'Balancete MLN_WebPosto'!$C:$C,$A15,'Balancete MLN_WebPosto'!$B:$B,$B$2),
  "0"
)</f>
        <v>0</v>
      </c>
      <c r="L15" s="4" t="str">
        <f>IF(Balancete_Oficial[[#Headers],[Março]]='Balancete MLN_WebPosto'!$G$2,
SUMIFS('Balancete MLN_WebPosto'!$J:$J,'Balancete MLN_WebPosto'!$C:$C,$A15,'Balancete MLN_WebPosto'!$B:$B,$B$2),
  "0"
)</f>
        <v>0</v>
      </c>
      <c r="M15" s="4" t="str">
        <f>IF(Balancete_Oficial[[#Headers],[Abril]]='Balancete MLN_WebPosto'!$G$2,
SUMIFS('Balancete MLN_WebPosto'!$J:$J,'Balancete MLN_WebPosto'!$C:$C,$A15,'Balancete MLN_WebPosto'!$B:$B,$B$2),
  "0"
)</f>
        <v>0</v>
      </c>
      <c r="N15" s="4" t="str">
        <f>IF(Balancete_Oficial[[#Headers],[Maio]]='Balancete MLN_WebPosto'!$G$2,
SUMIFS('Balancete MLN_WebPosto'!$I:$I,'Balancete MLN_WebPosto'!$C:$C,$A15,'Balancete MLN_WebPosto'!$B:$B,$B$2),
  "0"
)</f>
        <v>0</v>
      </c>
      <c r="O15" s="4" t="str">
        <f>IF(Balancete_Oficial[[#Headers],[Junho]]='Balancete MLN_WebPosto'!$G$2,
SUMIFS('Balancete MLN_WebPosto'!$I:$I,'Balancete MLN_WebPosto'!$C:$C,$A15,'Balancete MLN_WebPosto'!$B:$B,$B$2),
  "0"
)</f>
        <v>0</v>
      </c>
      <c r="P15" s="4" t="str">
        <f>IF(Balancete_Oficial[[#Headers],[Julho]]='Balancete MLN_WebPosto'!$G$2,
SUMIFS('Balancete MLN_WebPosto'!$I:$I,'Balancete MLN_WebPosto'!$C:$C,$A15,'Balancete MLN_WebPosto'!$B:$B,$B$2),
  "0"
)</f>
        <v>0</v>
      </c>
      <c r="Q15" s="4" t="str">
        <f>IF(Balancete_Oficial[[#Headers],[Agosto]]='Balancete MLN_WebPosto'!$G$2,
SUMIFS('Balancete MLN_WebPosto'!$I:$I,'Balancete MLN_WebPosto'!$C:$C,$A15,'Balancete MLN_WebPosto'!$B:$B,$B$2),
  "0"
)</f>
        <v>0</v>
      </c>
      <c r="R15" s="4">
        <f>IF(Balancete_Oficial[[#Headers],[Setembro]]='Balancete MLN_WebPosto'!$G$2,
SUMIFS('Balancete MLN_WebPosto'!$I:$I,'Balancete MLN_WebPosto'!$C:$C,$A15,'Balancete MLN_WebPosto'!$B:$B,$B$2),
  "0"
)</f>
        <v>0</v>
      </c>
      <c r="S15" s="4" t="str">
        <f>IF(Balancete_Oficial[[#Headers],[Outubro]]='Balancete MLN_WebPosto'!$G$2,
SUMIFS('Balancete MLN_WebPosto'!$I:$I,'Balancete MLN_WebPosto'!$C:$C,$A15,'Balancete MLN_WebPosto'!$B:$B,$B$2),
  "0"
)</f>
        <v>0</v>
      </c>
      <c r="T15" s="4" t="str">
        <f>IF(Balancete_Oficial[[#Headers],[Novembro]]='Balancete MLN_WebPosto'!$G$2,
SUMIFS('Balancete MLN_WebPosto'!$I:$I,'Balancete MLN_WebPosto'!$C:$C,$A15,'Balancete MLN_WebPosto'!$B:$B,$B$2),
  "0"
)</f>
        <v>0</v>
      </c>
      <c r="U15" s="4" t="str">
        <f>IF(Balancete_Oficial[[#Headers],[Dezembro]]='Balancete MLN_WebPosto'!$G$2,
SUMIFS('Balancete MLN_WebPosto'!$I:$I,'Balancete MLN_WebPosto'!$C:$C,$A15,'Balancete MLN_WebPosto'!$B:$B,$B$2),
  "0"
)</f>
        <v>0</v>
      </c>
    </row>
    <row r="16" spans="1:21" s="2" customFormat="1" x14ac:dyDescent="0.25">
      <c r="A16" s="2" t="str">
        <f>IF(Dados!H13="","",Dados!H13)</f>
        <v/>
      </c>
      <c r="B16" s="2" t="e">
        <f>VLOOKUP(Balancete_Oficial[[#This Row],[Conta]],'Balancete MLN_WebPosto'!C:E,3,0)</f>
        <v>#N/A</v>
      </c>
      <c r="C16" s="3" t="str">
        <f t="shared" si="3"/>
        <v>Sintética</v>
      </c>
      <c r="D16" s="6" t="str">
        <f t="shared" si="4"/>
        <v>R</v>
      </c>
      <c r="E16" s="6" t="str">
        <f t="shared" si="5"/>
        <v/>
      </c>
      <c r="F16" s="6"/>
      <c r="G16" s="6"/>
      <c r="H16" s="6"/>
      <c r="I16" s="6"/>
      <c r="J16" s="4" t="str">
        <f>IF(Balancete_Oficial[[#Headers],[Janeiro]]='Balancete MLN_WebPosto'!$G$2,
SUMIFS('Balancete MLN_WebPosto'!$J:$J,'Balancete MLN_WebPosto'!$C:$C,$A16,'Balancete MLN_WebPosto'!$B:$B,$B$2),
  "0"
)</f>
        <v>0</v>
      </c>
      <c r="K16" s="4" t="str">
        <f>IF(Balancete_Oficial[[#Headers],[Fevereiro]]='Balancete MLN_WebPosto'!$G$2,
SUMIFS('Balancete MLN_WebPosto'!$J:$J,'Balancete MLN_WebPosto'!$C:$C,$A16,'Balancete MLN_WebPosto'!$B:$B,$B$2),
  "0"
)</f>
        <v>0</v>
      </c>
      <c r="L16" s="4" t="str">
        <f>IF(Balancete_Oficial[[#Headers],[Março]]='Balancete MLN_WebPosto'!$G$2,
SUMIFS('Balancete MLN_WebPosto'!$J:$J,'Balancete MLN_WebPosto'!$C:$C,$A16,'Balancete MLN_WebPosto'!$B:$B,$B$2),
  "0"
)</f>
        <v>0</v>
      </c>
      <c r="M16" s="4" t="str">
        <f>IF(Balancete_Oficial[[#Headers],[Abril]]='Balancete MLN_WebPosto'!$G$2,
SUMIFS('Balancete MLN_WebPosto'!$J:$J,'Balancete MLN_WebPosto'!$C:$C,$A16,'Balancete MLN_WebPosto'!$B:$B,$B$2),
  "0"
)</f>
        <v>0</v>
      </c>
      <c r="N16" s="4" t="str">
        <f>IF(Balancete_Oficial[[#Headers],[Maio]]='Balancete MLN_WebPosto'!$G$2,
SUMIFS('Balancete MLN_WebPosto'!$I:$I,'Balancete MLN_WebPosto'!$C:$C,$A16,'Balancete MLN_WebPosto'!$B:$B,$B$2),
  "0"
)</f>
        <v>0</v>
      </c>
      <c r="O16" s="4" t="str">
        <f>IF(Balancete_Oficial[[#Headers],[Junho]]='Balancete MLN_WebPosto'!$G$2,
SUMIFS('Balancete MLN_WebPosto'!$I:$I,'Balancete MLN_WebPosto'!$C:$C,$A16,'Balancete MLN_WebPosto'!$B:$B,$B$2),
  "0"
)</f>
        <v>0</v>
      </c>
      <c r="P16" s="4" t="str">
        <f>IF(Balancete_Oficial[[#Headers],[Julho]]='Balancete MLN_WebPosto'!$G$2,
SUMIFS('Balancete MLN_WebPosto'!$I:$I,'Balancete MLN_WebPosto'!$C:$C,$A16,'Balancete MLN_WebPosto'!$B:$B,$B$2),
  "0"
)</f>
        <v>0</v>
      </c>
      <c r="Q16" s="4" t="str">
        <f>IF(Balancete_Oficial[[#Headers],[Agosto]]='Balancete MLN_WebPosto'!$G$2,
SUMIFS('Balancete MLN_WebPosto'!$I:$I,'Balancete MLN_WebPosto'!$C:$C,$A16,'Balancete MLN_WebPosto'!$B:$B,$B$2),
  "0"
)</f>
        <v>0</v>
      </c>
      <c r="R16" s="4">
        <f>IF(Balancete_Oficial[[#Headers],[Setembro]]='Balancete MLN_WebPosto'!$G$2,
SUMIFS('Balancete MLN_WebPosto'!$I:$I,'Balancete MLN_WebPosto'!$C:$C,$A16,'Balancete MLN_WebPosto'!$B:$B,$B$2),
  "0"
)</f>
        <v>0</v>
      </c>
      <c r="S16" s="4" t="str">
        <f>IF(Balancete_Oficial[[#Headers],[Outubro]]='Balancete MLN_WebPosto'!$G$2,
SUMIFS('Balancete MLN_WebPosto'!$I:$I,'Balancete MLN_WebPosto'!$C:$C,$A16,'Balancete MLN_WebPosto'!$B:$B,$B$2),
  "0"
)</f>
        <v>0</v>
      </c>
      <c r="T16" s="4" t="str">
        <f>IF(Balancete_Oficial[[#Headers],[Novembro]]='Balancete MLN_WebPosto'!$G$2,
SUMIFS('Balancete MLN_WebPosto'!$I:$I,'Balancete MLN_WebPosto'!$C:$C,$A16,'Balancete MLN_WebPosto'!$B:$B,$B$2),
  "0"
)</f>
        <v>0</v>
      </c>
      <c r="U16" s="4" t="str">
        <f>IF(Balancete_Oficial[[#Headers],[Dezembro]]='Balancete MLN_WebPosto'!$G$2,
SUMIFS('Balancete MLN_WebPosto'!$I:$I,'Balancete MLN_WebPosto'!$C:$C,$A16,'Balancete MLN_WebPosto'!$B:$B,$B$2),
  "0"
)</f>
        <v>0</v>
      </c>
    </row>
    <row r="17" spans="1:21" s="2" customFormat="1" x14ac:dyDescent="0.25">
      <c r="A17" s="2" t="str">
        <f>IF(Dados!H14="","",Dados!H14)</f>
        <v/>
      </c>
      <c r="B17" s="2" t="e">
        <f>VLOOKUP(Balancete_Oficial[[#This Row],[Conta]],'Balancete MLN_WebPosto'!C:E,3,0)</f>
        <v>#N/A</v>
      </c>
      <c r="C17" s="3" t="str">
        <f t="shared" si="3"/>
        <v>Sintética</v>
      </c>
      <c r="D17" s="6" t="str">
        <f t="shared" si="4"/>
        <v>R</v>
      </c>
      <c r="E17" s="6" t="str">
        <f t="shared" si="5"/>
        <v/>
      </c>
      <c r="F17" s="6"/>
      <c r="G17" s="6"/>
      <c r="H17" s="6"/>
      <c r="I17" s="6"/>
      <c r="J17" s="4" t="str">
        <f>IF(Balancete_Oficial[[#Headers],[Janeiro]]='Balancete MLN_WebPosto'!$G$2,
SUMIFS('Balancete MLN_WebPosto'!$J:$J,'Balancete MLN_WebPosto'!$C:$C,$A17,'Balancete MLN_WebPosto'!$B:$B,$B$2),
  "0"
)</f>
        <v>0</v>
      </c>
      <c r="K17" s="4" t="str">
        <f>IF(Balancete_Oficial[[#Headers],[Fevereiro]]='Balancete MLN_WebPosto'!$G$2,
SUMIFS('Balancete MLN_WebPosto'!$J:$J,'Balancete MLN_WebPosto'!$C:$C,$A17,'Balancete MLN_WebPosto'!$B:$B,$B$2),
  "0"
)</f>
        <v>0</v>
      </c>
      <c r="L17" s="4" t="str">
        <f>IF(Balancete_Oficial[[#Headers],[Março]]='Balancete MLN_WebPosto'!$G$2,
SUMIFS('Balancete MLN_WebPosto'!$J:$J,'Balancete MLN_WebPosto'!$C:$C,$A17,'Balancete MLN_WebPosto'!$B:$B,$B$2),
  "0"
)</f>
        <v>0</v>
      </c>
      <c r="M17" s="4" t="str">
        <f>IF(Balancete_Oficial[[#Headers],[Abril]]='Balancete MLN_WebPosto'!$G$2,
SUMIFS('Balancete MLN_WebPosto'!$J:$J,'Balancete MLN_WebPosto'!$C:$C,$A17,'Balancete MLN_WebPosto'!$B:$B,$B$2),
  "0"
)</f>
        <v>0</v>
      </c>
      <c r="N17" s="4" t="str">
        <f>IF(Balancete_Oficial[[#Headers],[Maio]]='Balancete MLN_WebPosto'!$G$2,
SUMIFS('Balancete MLN_WebPosto'!$I:$I,'Balancete MLN_WebPosto'!$C:$C,$A17,'Balancete MLN_WebPosto'!$B:$B,$B$2),
  "0"
)</f>
        <v>0</v>
      </c>
      <c r="O17" s="4" t="str">
        <f>IF(Balancete_Oficial[[#Headers],[Junho]]='Balancete MLN_WebPosto'!$G$2,
SUMIFS('Balancete MLN_WebPosto'!$I:$I,'Balancete MLN_WebPosto'!$C:$C,$A17,'Balancete MLN_WebPosto'!$B:$B,$B$2),
  "0"
)</f>
        <v>0</v>
      </c>
      <c r="P17" s="4" t="str">
        <f>IF(Balancete_Oficial[[#Headers],[Julho]]='Balancete MLN_WebPosto'!$G$2,
SUMIFS('Balancete MLN_WebPosto'!$I:$I,'Balancete MLN_WebPosto'!$C:$C,$A17,'Balancete MLN_WebPosto'!$B:$B,$B$2),
  "0"
)</f>
        <v>0</v>
      </c>
      <c r="Q17" s="4" t="str">
        <f>IF(Balancete_Oficial[[#Headers],[Agosto]]='Balancete MLN_WebPosto'!$G$2,
SUMIFS('Balancete MLN_WebPosto'!$I:$I,'Balancete MLN_WebPosto'!$C:$C,$A17,'Balancete MLN_WebPosto'!$B:$B,$B$2),
  "0"
)</f>
        <v>0</v>
      </c>
      <c r="R17" s="4">
        <f>IF(Balancete_Oficial[[#Headers],[Setembro]]='Balancete MLN_WebPosto'!$G$2,
SUMIFS('Balancete MLN_WebPosto'!$I:$I,'Balancete MLN_WebPosto'!$C:$C,$A17,'Balancete MLN_WebPosto'!$B:$B,$B$2),
  "0"
)</f>
        <v>0</v>
      </c>
      <c r="S17" s="4" t="str">
        <f>IF(Balancete_Oficial[[#Headers],[Outubro]]='Balancete MLN_WebPosto'!$G$2,
SUMIFS('Balancete MLN_WebPosto'!$I:$I,'Balancete MLN_WebPosto'!$C:$C,$A17,'Balancete MLN_WebPosto'!$B:$B,$B$2),
  "0"
)</f>
        <v>0</v>
      </c>
      <c r="T17" s="4" t="str">
        <f>IF(Balancete_Oficial[[#Headers],[Novembro]]='Balancete MLN_WebPosto'!$G$2,
SUMIFS('Balancete MLN_WebPosto'!$I:$I,'Balancete MLN_WebPosto'!$C:$C,$A17,'Balancete MLN_WebPosto'!$B:$B,$B$2),
  "0"
)</f>
        <v>0</v>
      </c>
      <c r="U17" s="4" t="str">
        <f>IF(Balancete_Oficial[[#Headers],[Dezembro]]='Balancete MLN_WebPosto'!$G$2,
SUMIFS('Balancete MLN_WebPosto'!$I:$I,'Balancete MLN_WebPosto'!$C:$C,$A17,'Balancete MLN_WebPosto'!$B:$B,$B$2),
  "0"
)</f>
        <v>0</v>
      </c>
    </row>
    <row r="18" spans="1:21" s="2" customFormat="1" x14ac:dyDescent="0.25">
      <c r="A18" s="2" t="str">
        <f>IF(Dados!H15="","",Dados!H15)</f>
        <v/>
      </c>
      <c r="B18" s="2" t="e">
        <f>VLOOKUP(Balancete_Oficial[[#This Row],[Conta]],'Balancete MLN_WebPosto'!C:E,3,0)</f>
        <v>#N/A</v>
      </c>
      <c r="C18" s="3" t="str">
        <f t="shared" si="3"/>
        <v>Sintética</v>
      </c>
      <c r="D18" s="6" t="str">
        <f t="shared" si="4"/>
        <v>R</v>
      </c>
      <c r="E18" s="6" t="str">
        <f t="shared" si="5"/>
        <v/>
      </c>
      <c r="F18" s="6"/>
      <c r="G18" s="6"/>
      <c r="H18" s="6"/>
      <c r="I18" s="6"/>
      <c r="J18" s="4" t="str">
        <f>IF(Balancete_Oficial[[#Headers],[Janeiro]]='Balancete MLN_WebPosto'!$G$2,
SUMIFS('Balancete MLN_WebPosto'!$J:$J,'Balancete MLN_WebPosto'!$C:$C,$A18,'Balancete MLN_WebPosto'!$B:$B,$B$2),
  "0"
)</f>
        <v>0</v>
      </c>
      <c r="K18" s="4" t="str">
        <f>IF(Balancete_Oficial[[#Headers],[Fevereiro]]='Balancete MLN_WebPosto'!$G$2,
SUMIFS('Balancete MLN_WebPosto'!$J:$J,'Balancete MLN_WebPosto'!$C:$C,$A18,'Balancete MLN_WebPosto'!$B:$B,$B$2),
  "0"
)</f>
        <v>0</v>
      </c>
      <c r="L18" s="4" t="str">
        <f>IF(Balancete_Oficial[[#Headers],[Março]]='Balancete MLN_WebPosto'!$G$2,
SUMIFS('Balancete MLN_WebPosto'!$J:$J,'Balancete MLN_WebPosto'!$C:$C,$A18,'Balancete MLN_WebPosto'!$B:$B,$B$2),
  "0"
)</f>
        <v>0</v>
      </c>
      <c r="M18" s="4" t="str">
        <f>IF(Balancete_Oficial[[#Headers],[Abril]]='Balancete MLN_WebPosto'!$G$2,
SUMIFS('Balancete MLN_WebPosto'!$J:$J,'Balancete MLN_WebPosto'!$C:$C,$A18,'Balancete MLN_WebPosto'!$B:$B,$B$2),
  "0"
)</f>
        <v>0</v>
      </c>
      <c r="N18" s="4" t="str">
        <f>IF(Balancete_Oficial[[#Headers],[Maio]]='Balancete MLN_WebPosto'!$G$2,
SUMIFS('Balancete MLN_WebPosto'!$I:$I,'Balancete MLN_WebPosto'!$C:$C,$A18,'Balancete MLN_WebPosto'!$B:$B,$B$2),
  "0"
)</f>
        <v>0</v>
      </c>
      <c r="O18" s="4" t="str">
        <f>IF(Balancete_Oficial[[#Headers],[Junho]]='Balancete MLN_WebPosto'!$G$2,
SUMIFS('Balancete MLN_WebPosto'!$I:$I,'Balancete MLN_WebPosto'!$C:$C,$A18,'Balancete MLN_WebPosto'!$B:$B,$B$2),
  "0"
)</f>
        <v>0</v>
      </c>
      <c r="P18" s="4" t="str">
        <f>IF(Balancete_Oficial[[#Headers],[Julho]]='Balancete MLN_WebPosto'!$G$2,
SUMIFS('Balancete MLN_WebPosto'!$I:$I,'Balancete MLN_WebPosto'!$C:$C,$A18,'Balancete MLN_WebPosto'!$B:$B,$B$2),
  "0"
)</f>
        <v>0</v>
      </c>
      <c r="Q18" s="4" t="str">
        <f>IF(Balancete_Oficial[[#Headers],[Agosto]]='Balancete MLN_WebPosto'!$G$2,
SUMIFS('Balancete MLN_WebPosto'!$I:$I,'Balancete MLN_WebPosto'!$C:$C,$A18,'Balancete MLN_WebPosto'!$B:$B,$B$2),
  "0"
)</f>
        <v>0</v>
      </c>
      <c r="R18" s="4">
        <f>IF(Balancete_Oficial[[#Headers],[Setembro]]='Balancete MLN_WebPosto'!$G$2,
SUMIFS('Balancete MLN_WebPosto'!$I:$I,'Balancete MLN_WebPosto'!$C:$C,$A18,'Balancete MLN_WebPosto'!$B:$B,$B$2),
  "0"
)</f>
        <v>0</v>
      </c>
      <c r="S18" s="4" t="str">
        <f>IF(Balancete_Oficial[[#Headers],[Outubro]]='Balancete MLN_WebPosto'!$G$2,
SUMIFS('Balancete MLN_WebPosto'!$I:$I,'Balancete MLN_WebPosto'!$C:$C,$A18,'Balancete MLN_WebPosto'!$B:$B,$B$2),
  "0"
)</f>
        <v>0</v>
      </c>
      <c r="T18" s="4" t="str">
        <f>IF(Balancete_Oficial[[#Headers],[Novembro]]='Balancete MLN_WebPosto'!$G$2,
SUMIFS('Balancete MLN_WebPosto'!$I:$I,'Balancete MLN_WebPosto'!$C:$C,$A18,'Balancete MLN_WebPosto'!$B:$B,$B$2),
  "0"
)</f>
        <v>0</v>
      </c>
      <c r="U18" s="4" t="str">
        <f>IF(Balancete_Oficial[[#Headers],[Dezembro]]='Balancete MLN_WebPosto'!$G$2,
SUMIFS('Balancete MLN_WebPosto'!$I:$I,'Balancete MLN_WebPosto'!$C:$C,$A18,'Balancete MLN_WebPosto'!$B:$B,$B$2),
  "0"
)</f>
        <v>0</v>
      </c>
    </row>
    <row r="19" spans="1:21" s="2" customFormat="1" x14ac:dyDescent="0.25">
      <c r="A19" s="2" t="str">
        <f>IF(Dados!H16="","",Dados!H16)</f>
        <v/>
      </c>
      <c r="B19" s="2" t="e">
        <f>VLOOKUP(Balancete_Oficial[[#This Row],[Conta]],'Balancete MLN_WebPosto'!C:E,3,0)</f>
        <v>#N/A</v>
      </c>
      <c r="C19" s="3" t="str">
        <f t="shared" si="3"/>
        <v>Sintética</v>
      </c>
      <c r="D19" s="6" t="str">
        <f t="shared" si="4"/>
        <v>R</v>
      </c>
      <c r="E19" s="6" t="str">
        <f t="shared" si="5"/>
        <v/>
      </c>
      <c r="F19" s="6"/>
      <c r="G19" s="6"/>
      <c r="H19" s="6"/>
      <c r="I19" s="6"/>
      <c r="J19" s="4" t="str">
        <f>IF(Balancete_Oficial[[#Headers],[Janeiro]]='Balancete MLN_WebPosto'!$G$2,
SUMIFS('Balancete MLN_WebPosto'!$J:$J,'Balancete MLN_WebPosto'!$C:$C,$A19,'Balancete MLN_WebPosto'!$B:$B,$B$2),
  "0"
)</f>
        <v>0</v>
      </c>
      <c r="K19" s="4" t="str">
        <f>IF(Balancete_Oficial[[#Headers],[Fevereiro]]='Balancete MLN_WebPosto'!$G$2,
SUMIFS('Balancete MLN_WebPosto'!$J:$J,'Balancete MLN_WebPosto'!$C:$C,$A19,'Balancete MLN_WebPosto'!$B:$B,$B$2),
  "0"
)</f>
        <v>0</v>
      </c>
      <c r="L19" s="4" t="str">
        <f>IF(Balancete_Oficial[[#Headers],[Março]]='Balancete MLN_WebPosto'!$G$2,
SUMIFS('Balancete MLN_WebPosto'!$J:$J,'Balancete MLN_WebPosto'!$C:$C,$A19,'Balancete MLN_WebPosto'!$B:$B,$B$2),
  "0"
)</f>
        <v>0</v>
      </c>
      <c r="M19" s="4" t="str">
        <f>IF(Balancete_Oficial[[#Headers],[Abril]]='Balancete MLN_WebPosto'!$G$2,
SUMIFS('Balancete MLN_WebPosto'!$J:$J,'Balancete MLN_WebPosto'!$C:$C,$A19,'Balancete MLN_WebPosto'!$B:$B,$B$2),
  "0"
)</f>
        <v>0</v>
      </c>
      <c r="N19" s="4" t="str">
        <f>IF(Balancete_Oficial[[#Headers],[Maio]]='Balancete MLN_WebPosto'!$G$2,
SUMIFS('Balancete MLN_WebPosto'!$I:$I,'Balancete MLN_WebPosto'!$C:$C,$A19,'Balancete MLN_WebPosto'!$B:$B,$B$2),
  "0"
)</f>
        <v>0</v>
      </c>
      <c r="O19" s="4" t="str">
        <f>IF(Balancete_Oficial[[#Headers],[Junho]]='Balancete MLN_WebPosto'!$G$2,
SUMIFS('Balancete MLN_WebPosto'!$I:$I,'Balancete MLN_WebPosto'!$C:$C,$A19,'Balancete MLN_WebPosto'!$B:$B,$B$2),
  "0"
)</f>
        <v>0</v>
      </c>
      <c r="P19" s="4" t="str">
        <f>IF(Balancete_Oficial[[#Headers],[Julho]]='Balancete MLN_WebPosto'!$G$2,
SUMIFS('Balancete MLN_WebPosto'!$I:$I,'Balancete MLN_WebPosto'!$C:$C,$A19,'Balancete MLN_WebPosto'!$B:$B,$B$2),
  "0"
)</f>
        <v>0</v>
      </c>
      <c r="Q19" s="4" t="str">
        <f>IF(Balancete_Oficial[[#Headers],[Agosto]]='Balancete MLN_WebPosto'!$G$2,
SUMIFS('Balancete MLN_WebPosto'!$I:$I,'Balancete MLN_WebPosto'!$C:$C,$A19,'Balancete MLN_WebPosto'!$B:$B,$B$2),
  "0"
)</f>
        <v>0</v>
      </c>
      <c r="R19" s="4">
        <f>IF(Balancete_Oficial[[#Headers],[Setembro]]='Balancete MLN_WebPosto'!$G$2,
SUMIFS('Balancete MLN_WebPosto'!$I:$I,'Balancete MLN_WebPosto'!$C:$C,$A19,'Balancete MLN_WebPosto'!$B:$B,$B$2),
  "0"
)</f>
        <v>0</v>
      </c>
      <c r="S19" s="4" t="str">
        <f>IF(Balancete_Oficial[[#Headers],[Outubro]]='Balancete MLN_WebPosto'!$G$2,
SUMIFS('Balancete MLN_WebPosto'!$I:$I,'Balancete MLN_WebPosto'!$C:$C,$A19,'Balancete MLN_WebPosto'!$B:$B,$B$2),
  "0"
)</f>
        <v>0</v>
      </c>
      <c r="T19" s="4" t="str">
        <f>IF(Balancete_Oficial[[#Headers],[Novembro]]='Balancete MLN_WebPosto'!$G$2,
SUMIFS('Balancete MLN_WebPosto'!$I:$I,'Balancete MLN_WebPosto'!$C:$C,$A19,'Balancete MLN_WebPosto'!$B:$B,$B$2),
  "0"
)</f>
        <v>0</v>
      </c>
      <c r="U19" s="4" t="str">
        <f>IF(Balancete_Oficial[[#Headers],[Dezembro]]='Balancete MLN_WebPosto'!$G$2,
SUMIFS('Balancete MLN_WebPosto'!$I:$I,'Balancete MLN_WebPosto'!$C:$C,$A19,'Balancete MLN_WebPosto'!$B:$B,$B$2),
  "0"
)</f>
        <v>0</v>
      </c>
    </row>
    <row r="20" spans="1:21" s="2" customFormat="1" x14ac:dyDescent="0.25">
      <c r="A20" s="2" t="str">
        <f>IF(Dados!H17="","",Dados!H17)</f>
        <v/>
      </c>
      <c r="B20" s="2" t="e">
        <f>VLOOKUP(Balancete_Oficial[[#This Row],[Conta]],'Balancete MLN_WebPosto'!C:E,3,0)</f>
        <v>#N/A</v>
      </c>
      <c r="C20" s="3" t="str">
        <f t="shared" si="3"/>
        <v>Sintética</v>
      </c>
      <c r="D20" s="6" t="str">
        <f t="shared" si="4"/>
        <v>R</v>
      </c>
      <c r="E20" s="6" t="str">
        <f t="shared" si="5"/>
        <v/>
      </c>
      <c r="F20" s="6"/>
      <c r="G20" s="6"/>
      <c r="H20" s="6"/>
      <c r="I20" s="6"/>
      <c r="J20" s="4" t="str">
        <f>IF(Balancete_Oficial[[#Headers],[Janeiro]]='Balancete MLN_WebPosto'!$G$2,
SUMIFS('Balancete MLN_WebPosto'!$J:$J,'Balancete MLN_WebPosto'!$C:$C,$A20,'Balancete MLN_WebPosto'!$B:$B,$B$2),
  "0"
)</f>
        <v>0</v>
      </c>
      <c r="K20" s="4" t="str">
        <f>IF(Balancete_Oficial[[#Headers],[Fevereiro]]='Balancete MLN_WebPosto'!$G$2,
SUMIFS('Balancete MLN_WebPosto'!$J:$J,'Balancete MLN_WebPosto'!$C:$C,$A20,'Balancete MLN_WebPosto'!$B:$B,$B$2),
  "0"
)</f>
        <v>0</v>
      </c>
      <c r="L20" s="4" t="str">
        <f>IF(Balancete_Oficial[[#Headers],[Março]]='Balancete MLN_WebPosto'!$G$2,
SUMIFS('Balancete MLN_WebPosto'!$J:$J,'Balancete MLN_WebPosto'!$C:$C,$A20,'Balancete MLN_WebPosto'!$B:$B,$B$2),
  "0"
)</f>
        <v>0</v>
      </c>
      <c r="M20" s="4" t="str">
        <f>IF(Balancete_Oficial[[#Headers],[Abril]]='Balancete MLN_WebPosto'!$G$2,
SUMIFS('Balancete MLN_WebPosto'!$J:$J,'Balancete MLN_WebPosto'!$C:$C,$A20,'Balancete MLN_WebPosto'!$B:$B,$B$2),
  "0"
)</f>
        <v>0</v>
      </c>
      <c r="N20" s="4" t="str">
        <f>IF(Balancete_Oficial[[#Headers],[Maio]]='Balancete MLN_WebPosto'!$G$2,
SUMIFS('Balancete MLN_WebPosto'!$I:$I,'Balancete MLN_WebPosto'!$C:$C,$A20,'Balancete MLN_WebPosto'!$B:$B,$B$2),
  "0"
)</f>
        <v>0</v>
      </c>
      <c r="O20" s="4" t="str">
        <f>IF(Balancete_Oficial[[#Headers],[Junho]]='Balancete MLN_WebPosto'!$G$2,
SUMIFS('Balancete MLN_WebPosto'!$I:$I,'Balancete MLN_WebPosto'!$C:$C,$A20,'Balancete MLN_WebPosto'!$B:$B,$B$2),
  "0"
)</f>
        <v>0</v>
      </c>
      <c r="P20" s="4" t="str">
        <f>IF(Balancete_Oficial[[#Headers],[Julho]]='Balancete MLN_WebPosto'!$G$2,
SUMIFS('Balancete MLN_WebPosto'!$I:$I,'Balancete MLN_WebPosto'!$C:$C,$A20,'Balancete MLN_WebPosto'!$B:$B,$B$2),
  "0"
)</f>
        <v>0</v>
      </c>
      <c r="Q20" s="4" t="str">
        <f>IF(Balancete_Oficial[[#Headers],[Agosto]]='Balancete MLN_WebPosto'!$G$2,
SUMIFS('Balancete MLN_WebPosto'!$I:$I,'Balancete MLN_WebPosto'!$C:$C,$A20,'Balancete MLN_WebPosto'!$B:$B,$B$2),
  "0"
)</f>
        <v>0</v>
      </c>
      <c r="R20" s="4">
        <f>IF(Balancete_Oficial[[#Headers],[Setembro]]='Balancete MLN_WebPosto'!$G$2,
SUMIFS('Balancete MLN_WebPosto'!$I:$I,'Balancete MLN_WebPosto'!$C:$C,$A20,'Balancete MLN_WebPosto'!$B:$B,$B$2),
  "0"
)</f>
        <v>0</v>
      </c>
      <c r="S20" s="4" t="str">
        <f>IF(Balancete_Oficial[[#Headers],[Outubro]]='Balancete MLN_WebPosto'!$G$2,
SUMIFS('Balancete MLN_WebPosto'!$I:$I,'Balancete MLN_WebPosto'!$C:$C,$A20,'Balancete MLN_WebPosto'!$B:$B,$B$2),
  "0"
)</f>
        <v>0</v>
      </c>
      <c r="T20" s="4" t="str">
        <f>IF(Balancete_Oficial[[#Headers],[Novembro]]='Balancete MLN_WebPosto'!$G$2,
SUMIFS('Balancete MLN_WebPosto'!$I:$I,'Balancete MLN_WebPosto'!$C:$C,$A20,'Balancete MLN_WebPosto'!$B:$B,$B$2),
  "0"
)</f>
        <v>0</v>
      </c>
      <c r="U20" s="4" t="str">
        <f>IF(Balancete_Oficial[[#Headers],[Dezembro]]='Balancete MLN_WebPosto'!$G$2,
SUMIFS('Balancete MLN_WebPosto'!$I:$I,'Balancete MLN_WebPosto'!$C:$C,$A20,'Balancete MLN_WebPosto'!$B:$B,$B$2),
  "0"
)</f>
        <v>0</v>
      </c>
    </row>
    <row r="21" spans="1:21" s="2" customFormat="1" x14ac:dyDescent="0.25">
      <c r="A21" s="2" t="str">
        <f>IF(Dados!H18="","",Dados!H18)</f>
        <v/>
      </c>
      <c r="B21" s="2" t="e">
        <f>VLOOKUP(Balancete_Oficial[[#This Row],[Conta]],'Balancete MLN_WebPosto'!C:E,3,0)</f>
        <v>#N/A</v>
      </c>
      <c r="C21" s="3" t="str">
        <f t="shared" si="3"/>
        <v>Sintética</v>
      </c>
      <c r="D21" s="6" t="str">
        <f t="shared" si="4"/>
        <v>R</v>
      </c>
      <c r="E21" s="6" t="str">
        <f t="shared" si="5"/>
        <v/>
      </c>
      <c r="F21" s="6"/>
      <c r="G21" s="6"/>
      <c r="H21" s="6"/>
      <c r="I21" s="6"/>
      <c r="J21" s="4" t="str">
        <f>IF(Balancete_Oficial[[#Headers],[Janeiro]]='Balancete MLN_WebPosto'!$G$2,
SUMIFS('Balancete MLN_WebPosto'!$J:$J,'Balancete MLN_WebPosto'!$C:$C,$A21,'Balancete MLN_WebPosto'!$B:$B,$B$2),
  "0"
)</f>
        <v>0</v>
      </c>
      <c r="K21" s="4" t="str">
        <f>IF(Balancete_Oficial[[#Headers],[Fevereiro]]='Balancete MLN_WebPosto'!$G$2,
SUMIFS('Balancete MLN_WebPosto'!$J:$J,'Balancete MLN_WebPosto'!$C:$C,$A21,'Balancete MLN_WebPosto'!$B:$B,$B$2),
  "0"
)</f>
        <v>0</v>
      </c>
      <c r="L21" s="4" t="str">
        <f>IF(Balancete_Oficial[[#Headers],[Março]]='Balancete MLN_WebPosto'!$G$2,
SUMIFS('Balancete MLN_WebPosto'!$J:$J,'Balancete MLN_WebPosto'!$C:$C,$A21,'Balancete MLN_WebPosto'!$B:$B,$B$2),
  "0"
)</f>
        <v>0</v>
      </c>
      <c r="M21" s="4" t="str">
        <f>IF(Balancete_Oficial[[#Headers],[Abril]]='Balancete MLN_WebPosto'!$G$2,
SUMIFS('Balancete MLN_WebPosto'!$J:$J,'Balancete MLN_WebPosto'!$C:$C,$A21,'Balancete MLN_WebPosto'!$B:$B,$B$2),
  "0"
)</f>
        <v>0</v>
      </c>
      <c r="N21" s="4" t="str">
        <f>IF(Balancete_Oficial[[#Headers],[Maio]]='Balancete MLN_WebPosto'!$G$2,
SUMIFS('Balancete MLN_WebPosto'!$I:$I,'Balancete MLN_WebPosto'!$C:$C,$A21,'Balancete MLN_WebPosto'!$B:$B,$B$2),
  "0"
)</f>
        <v>0</v>
      </c>
      <c r="O21" s="4" t="str">
        <f>IF(Balancete_Oficial[[#Headers],[Junho]]='Balancete MLN_WebPosto'!$G$2,
SUMIFS('Balancete MLN_WebPosto'!$I:$I,'Balancete MLN_WebPosto'!$C:$C,$A21,'Balancete MLN_WebPosto'!$B:$B,$B$2),
  "0"
)</f>
        <v>0</v>
      </c>
      <c r="P21" s="4" t="str">
        <f>IF(Balancete_Oficial[[#Headers],[Julho]]='Balancete MLN_WebPosto'!$G$2,
SUMIFS('Balancete MLN_WebPosto'!$I:$I,'Balancete MLN_WebPosto'!$C:$C,$A21,'Balancete MLN_WebPosto'!$B:$B,$B$2),
  "0"
)</f>
        <v>0</v>
      </c>
      <c r="Q21" s="4" t="str">
        <f>IF(Balancete_Oficial[[#Headers],[Agosto]]='Balancete MLN_WebPosto'!$G$2,
SUMIFS('Balancete MLN_WebPosto'!$I:$I,'Balancete MLN_WebPosto'!$C:$C,$A21,'Balancete MLN_WebPosto'!$B:$B,$B$2),
  "0"
)</f>
        <v>0</v>
      </c>
      <c r="R21" s="4">
        <f>IF(Balancete_Oficial[[#Headers],[Setembro]]='Balancete MLN_WebPosto'!$G$2,
SUMIFS('Balancete MLN_WebPosto'!$I:$I,'Balancete MLN_WebPosto'!$C:$C,$A21,'Balancete MLN_WebPosto'!$B:$B,$B$2),
  "0"
)</f>
        <v>0</v>
      </c>
      <c r="S21" s="4" t="str">
        <f>IF(Balancete_Oficial[[#Headers],[Outubro]]='Balancete MLN_WebPosto'!$G$2,
SUMIFS('Balancete MLN_WebPosto'!$I:$I,'Balancete MLN_WebPosto'!$C:$C,$A21,'Balancete MLN_WebPosto'!$B:$B,$B$2),
  "0"
)</f>
        <v>0</v>
      </c>
      <c r="T21" s="4" t="str">
        <f>IF(Balancete_Oficial[[#Headers],[Novembro]]='Balancete MLN_WebPosto'!$G$2,
SUMIFS('Balancete MLN_WebPosto'!$I:$I,'Balancete MLN_WebPosto'!$C:$C,$A21,'Balancete MLN_WebPosto'!$B:$B,$B$2),
  "0"
)</f>
        <v>0</v>
      </c>
      <c r="U21" s="4" t="str">
        <f>IF(Balancete_Oficial[[#Headers],[Dezembro]]='Balancete MLN_WebPosto'!$G$2,
SUMIFS('Balancete MLN_WebPosto'!$I:$I,'Balancete MLN_WebPosto'!$C:$C,$A21,'Balancete MLN_WebPosto'!$B:$B,$B$2),
  "0"
)</f>
        <v>0</v>
      </c>
    </row>
    <row r="22" spans="1:21" s="2" customFormat="1" x14ac:dyDescent="0.25">
      <c r="A22" s="2" t="str">
        <f>IF(Dados!H19="","",Dados!H19)</f>
        <v/>
      </c>
      <c r="B22" s="2" t="e">
        <f>VLOOKUP(Balancete_Oficial[[#This Row],[Conta]],'Balancete MLN_WebPosto'!C:E,3,0)</f>
        <v>#N/A</v>
      </c>
      <c r="C22" s="3" t="str">
        <f t="shared" si="3"/>
        <v>Sintética</v>
      </c>
      <c r="D22" s="6" t="str">
        <f t="shared" si="4"/>
        <v>R</v>
      </c>
      <c r="E22" s="6" t="str">
        <f t="shared" si="5"/>
        <v/>
      </c>
      <c r="F22" s="6"/>
      <c r="G22" s="6"/>
      <c r="H22" s="6"/>
      <c r="I22" s="6"/>
      <c r="J22" s="4" t="str">
        <f>IF(Balancete_Oficial[[#Headers],[Janeiro]]='Balancete MLN_WebPosto'!$G$2,
SUMIFS('Balancete MLN_WebPosto'!$J:$J,'Balancete MLN_WebPosto'!$C:$C,$A22,'Balancete MLN_WebPosto'!$B:$B,$B$2),
  "0"
)</f>
        <v>0</v>
      </c>
      <c r="K22" s="4" t="str">
        <f>IF(Balancete_Oficial[[#Headers],[Fevereiro]]='Balancete MLN_WebPosto'!$G$2,
SUMIFS('Balancete MLN_WebPosto'!$J:$J,'Balancete MLN_WebPosto'!$C:$C,$A22,'Balancete MLN_WebPosto'!$B:$B,$B$2),
  "0"
)</f>
        <v>0</v>
      </c>
      <c r="L22" s="4" t="str">
        <f>IF(Balancete_Oficial[[#Headers],[Março]]='Balancete MLN_WebPosto'!$G$2,
SUMIFS('Balancete MLN_WebPosto'!$J:$J,'Balancete MLN_WebPosto'!$C:$C,$A22,'Balancete MLN_WebPosto'!$B:$B,$B$2),
  "0"
)</f>
        <v>0</v>
      </c>
      <c r="M22" s="4" t="str">
        <f>IF(Balancete_Oficial[[#Headers],[Abril]]='Balancete MLN_WebPosto'!$G$2,
SUMIFS('Balancete MLN_WebPosto'!$J:$J,'Balancete MLN_WebPosto'!$C:$C,$A22,'Balancete MLN_WebPosto'!$B:$B,$B$2),
  "0"
)</f>
        <v>0</v>
      </c>
      <c r="N22" s="4" t="str">
        <f>IF(Balancete_Oficial[[#Headers],[Maio]]='Balancete MLN_WebPosto'!$G$2,
SUMIFS('Balancete MLN_WebPosto'!$I:$I,'Balancete MLN_WebPosto'!$C:$C,$A22,'Balancete MLN_WebPosto'!$B:$B,$B$2),
  "0"
)</f>
        <v>0</v>
      </c>
      <c r="O22" s="4" t="str">
        <f>IF(Balancete_Oficial[[#Headers],[Junho]]='Balancete MLN_WebPosto'!$G$2,
SUMIFS('Balancete MLN_WebPosto'!$I:$I,'Balancete MLN_WebPosto'!$C:$C,$A22,'Balancete MLN_WebPosto'!$B:$B,$B$2),
  "0"
)</f>
        <v>0</v>
      </c>
      <c r="P22" s="4" t="str">
        <f>IF(Balancete_Oficial[[#Headers],[Julho]]='Balancete MLN_WebPosto'!$G$2,
SUMIFS('Balancete MLN_WebPosto'!$I:$I,'Balancete MLN_WebPosto'!$C:$C,$A22,'Balancete MLN_WebPosto'!$B:$B,$B$2),
  "0"
)</f>
        <v>0</v>
      </c>
      <c r="Q22" s="4" t="str">
        <f>IF(Balancete_Oficial[[#Headers],[Agosto]]='Balancete MLN_WebPosto'!$G$2,
SUMIFS('Balancete MLN_WebPosto'!$I:$I,'Balancete MLN_WebPosto'!$C:$C,$A22,'Balancete MLN_WebPosto'!$B:$B,$B$2),
  "0"
)</f>
        <v>0</v>
      </c>
      <c r="R22" s="4">
        <f>IF(Balancete_Oficial[[#Headers],[Setembro]]='Balancete MLN_WebPosto'!$G$2,
SUMIFS('Balancete MLN_WebPosto'!$I:$I,'Balancete MLN_WebPosto'!$C:$C,$A22,'Balancete MLN_WebPosto'!$B:$B,$B$2),
  "0"
)</f>
        <v>0</v>
      </c>
      <c r="S22" s="4" t="str">
        <f>IF(Balancete_Oficial[[#Headers],[Outubro]]='Balancete MLN_WebPosto'!$G$2,
SUMIFS('Balancete MLN_WebPosto'!$I:$I,'Balancete MLN_WebPosto'!$C:$C,$A22,'Balancete MLN_WebPosto'!$B:$B,$B$2),
  "0"
)</f>
        <v>0</v>
      </c>
      <c r="T22" s="4" t="str">
        <f>IF(Balancete_Oficial[[#Headers],[Novembro]]='Balancete MLN_WebPosto'!$G$2,
SUMIFS('Balancete MLN_WebPosto'!$I:$I,'Balancete MLN_WebPosto'!$C:$C,$A22,'Balancete MLN_WebPosto'!$B:$B,$B$2),
  "0"
)</f>
        <v>0</v>
      </c>
      <c r="U22" s="4" t="str">
        <f>IF(Balancete_Oficial[[#Headers],[Dezembro]]='Balancete MLN_WebPosto'!$G$2,
SUMIFS('Balancete MLN_WebPosto'!$I:$I,'Balancete MLN_WebPosto'!$C:$C,$A22,'Balancete MLN_WebPosto'!$B:$B,$B$2),
  "0"
)</f>
        <v>0</v>
      </c>
    </row>
    <row r="23" spans="1:21" s="2" customFormat="1" x14ac:dyDescent="0.25">
      <c r="A23" s="2" t="str">
        <f>IF(Dados!H20="","",Dados!H20)</f>
        <v/>
      </c>
      <c r="B23" s="2" t="e">
        <f>VLOOKUP(Balancete_Oficial[[#This Row],[Conta]],'Balancete MLN_WebPosto'!C:E,3,0)</f>
        <v>#N/A</v>
      </c>
      <c r="C23" s="3" t="str">
        <f t="shared" si="3"/>
        <v>Sintética</v>
      </c>
      <c r="D23" s="6" t="str">
        <f t="shared" si="4"/>
        <v>R</v>
      </c>
      <c r="E23" s="6" t="str">
        <f t="shared" si="5"/>
        <v/>
      </c>
      <c r="F23" s="6"/>
      <c r="G23" s="6"/>
      <c r="H23" s="6"/>
      <c r="I23" s="6"/>
      <c r="J23" s="4" t="str">
        <f>IF(Balancete_Oficial[[#Headers],[Janeiro]]='Balancete MLN_WebPosto'!$G$2,
SUMIFS('Balancete MLN_WebPosto'!$J:$J,'Balancete MLN_WebPosto'!$C:$C,$A23,'Balancete MLN_WebPosto'!$B:$B,$B$2),
  "0"
)</f>
        <v>0</v>
      </c>
      <c r="K23" s="4" t="str">
        <f>IF(Balancete_Oficial[[#Headers],[Fevereiro]]='Balancete MLN_WebPosto'!$G$2,
SUMIFS('Balancete MLN_WebPosto'!$J:$J,'Balancete MLN_WebPosto'!$C:$C,$A23,'Balancete MLN_WebPosto'!$B:$B,$B$2),
  "0"
)</f>
        <v>0</v>
      </c>
      <c r="L23" s="4" t="str">
        <f>IF(Balancete_Oficial[[#Headers],[Março]]='Balancete MLN_WebPosto'!$G$2,
SUMIFS('Balancete MLN_WebPosto'!$J:$J,'Balancete MLN_WebPosto'!$C:$C,$A23,'Balancete MLN_WebPosto'!$B:$B,$B$2),
  "0"
)</f>
        <v>0</v>
      </c>
      <c r="M23" s="4" t="str">
        <f>IF(Balancete_Oficial[[#Headers],[Abril]]='Balancete MLN_WebPosto'!$G$2,
SUMIFS('Balancete MLN_WebPosto'!$J:$J,'Balancete MLN_WebPosto'!$C:$C,$A23,'Balancete MLN_WebPosto'!$B:$B,$B$2),
  "0"
)</f>
        <v>0</v>
      </c>
      <c r="N23" s="4" t="str">
        <f>IF(Balancete_Oficial[[#Headers],[Maio]]='Balancete MLN_WebPosto'!$G$2,
SUMIFS('Balancete MLN_WebPosto'!$I:$I,'Balancete MLN_WebPosto'!$C:$C,$A23,'Balancete MLN_WebPosto'!$B:$B,$B$2),
  "0"
)</f>
        <v>0</v>
      </c>
      <c r="O23" s="4" t="str">
        <f>IF(Balancete_Oficial[[#Headers],[Junho]]='Balancete MLN_WebPosto'!$G$2,
SUMIFS('Balancete MLN_WebPosto'!$I:$I,'Balancete MLN_WebPosto'!$C:$C,$A23,'Balancete MLN_WebPosto'!$B:$B,$B$2),
  "0"
)</f>
        <v>0</v>
      </c>
      <c r="P23" s="4" t="str">
        <f>IF(Balancete_Oficial[[#Headers],[Julho]]='Balancete MLN_WebPosto'!$G$2,
SUMIFS('Balancete MLN_WebPosto'!$I:$I,'Balancete MLN_WebPosto'!$C:$C,$A23,'Balancete MLN_WebPosto'!$B:$B,$B$2),
  "0"
)</f>
        <v>0</v>
      </c>
      <c r="Q23" s="4" t="str">
        <f>IF(Balancete_Oficial[[#Headers],[Agosto]]='Balancete MLN_WebPosto'!$G$2,
SUMIFS('Balancete MLN_WebPosto'!$I:$I,'Balancete MLN_WebPosto'!$C:$C,$A23,'Balancete MLN_WebPosto'!$B:$B,$B$2),
  "0"
)</f>
        <v>0</v>
      </c>
      <c r="R23" s="4">
        <f>IF(Balancete_Oficial[[#Headers],[Setembro]]='Balancete MLN_WebPosto'!$G$2,
SUMIFS('Balancete MLN_WebPosto'!$I:$I,'Balancete MLN_WebPosto'!$C:$C,$A23,'Balancete MLN_WebPosto'!$B:$B,$B$2),
  "0"
)</f>
        <v>0</v>
      </c>
      <c r="S23" s="4" t="str">
        <f>IF(Balancete_Oficial[[#Headers],[Outubro]]='Balancete MLN_WebPosto'!$G$2,
SUMIFS('Balancete MLN_WebPosto'!$I:$I,'Balancete MLN_WebPosto'!$C:$C,$A23,'Balancete MLN_WebPosto'!$B:$B,$B$2),
  "0"
)</f>
        <v>0</v>
      </c>
      <c r="T23" s="4" t="str">
        <f>IF(Balancete_Oficial[[#Headers],[Novembro]]='Balancete MLN_WebPosto'!$G$2,
SUMIFS('Balancete MLN_WebPosto'!$I:$I,'Balancete MLN_WebPosto'!$C:$C,$A23,'Balancete MLN_WebPosto'!$B:$B,$B$2),
  "0"
)</f>
        <v>0</v>
      </c>
      <c r="U23" s="4" t="str">
        <f>IF(Balancete_Oficial[[#Headers],[Dezembro]]='Balancete MLN_WebPosto'!$G$2,
SUMIFS('Balancete MLN_WebPosto'!$I:$I,'Balancete MLN_WebPosto'!$C:$C,$A23,'Balancete MLN_WebPosto'!$B:$B,$B$2),
  "0"
)</f>
        <v>0</v>
      </c>
    </row>
    <row r="24" spans="1:21" s="2" customFormat="1" x14ac:dyDescent="0.25">
      <c r="A24" s="2" t="str">
        <f>IF(Dados!H21="","",Dados!H21)</f>
        <v/>
      </c>
      <c r="B24" s="2" t="e">
        <f>VLOOKUP(Balancete_Oficial[[#This Row],[Conta]],'Balancete MLN_WebPosto'!C:E,3,0)</f>
        <v>#N/A</v>
      </c>
      <c r="C24" s="3" t="str">
        <f t="shared" si="3"/>
        <v>Sintética</v>
      </c>
      <c r="D24" s="6" t="str">
        <f t="shared" si="4"/>
        <v>R</v>
      </c>
      <c r="E24" s="6" t="str">
        <f t="shared" si="5"/>
        <v/>
      </c>
      <c r="F24" s="6"/>
      <c r="G24" s="6"/>
      <c r="H24" s="6"/>
      <c r="I24" s="6"/>
      <c r="J24" s="4" t="str">
        <f>IF(Balancete_Oficial[[#Headers],[Janeiro]]='Balancete MLN_WebPosto'!$G$2,
SUMIFS('Balancete MLN_WebPosto'!$J:$J,'Balancete MLN_WebPosto'!$C:$C,$A24,'Balancete MLN_WebPosto'!$B:$B,$B$2),
  "0"
)</f>
        <v>0</v>
      </c>
      <c r="K24" s="4" t="str">
        <f>IF(Balancete_Oficial[[#Headers],[Fevereiro]]='Balancete MLN_WebPosto'!$G$2,
SUMIFS('Balancete MLN_WebPosto'!$J:$J,'Balancete MLN_WebPosto'!$C:$C,$A24,'Balancete MLN_WebPosto'!$B:$B,$B$2),
  "0"
)</f>
        <v>0</v>
      </c>
      <c r="L24" s="4" t="str">
        <f>IF(Balancete_Oficial[[#Headers],[Março]]='Balancete MLN_WebPosto'!$G$2,
SUMIFS('Balancete MLN_WebPosto'!$J:$J,'Balancete MLN_WebPosto'!$C:$C,$A24,'Balancete MLN_WebPosto'!$B:$B,$B$2),
  "0"
)</f>
        <v>0</v>
      </c>
      <c r="M24" s="4" t="str">
        <f>IF(Balancete_Oficial[[#Headers],[Abril]]='Balancete MLN_WebPosto'!$G$2,
SUMIFS('Balancete MLN_WebPosto'!$J:$J,'Balancete MLN_WebPosto'!$C:$C,$A24,'Balancete MLN_WebPosto'!$B:$B,$B$2),
  "0"
)</f>
        <v>0</v>
      </c>
      <c r="N24" s="4" t="str">
        <f>IF(Balancete_Oficial[[#Headers],[Maio]]='Balancete MLN_WebPosto'!$G$2,
SUMIFS('Balancete MLN_WebPosto'!$I:$I,'Balancete MLN_WebPosto'!$C:$C,$A24,'Balancete MLN_WebPosto'!$B:$B,$B$2),
  "0"
)</f>
        <v>0</v>
      </c>
      <c r="O24" s="4" t="str">
        <f>IF(Balancete_Oficial[[#Headers],[Junho]]='Balancete MLN_WebPosto'!$G$2,
SUMIFS('Balancete MLN_WebPosto'!$I:$I,'Balancete MLN_WebPosto'!$C:$C,$A24,'Balancete MLN_WebPosto'!$B:$B,$B$2),
  "0"
)</f>
        <v>0</v>
      </c>
      <c r="P24" s="4" t="str">
        <f>IF(Balancete_Oficial[[#Headers],[Julho]]='Balancete MLN_WebPosto'!$G$2,
SUMIFS('Balancete MLN_WebPosto'!$I:$I,'Balancete MLN_WebPosto'!$C:$C,$A24,'Balancete MLN_WebPosto'!$B:$B,$B$2),
  "0"
)</f>
        <v>0</v>
      </c>
      <c r="Q24" s="4" t="str">
        <f>IF(Balancete_Oficial[[#Headers],[Agosto]]='Balancete MLN_WebPosto'!$G$2,
SUMIFS('Balancete MLN_WebPosto'!$I:$I,'Balancete MLN_WebPosto'!$C:$C,$A24,'Balancete MLN_WebPosto'!$B:$B,$B$2),
  "0"
)</f>
        <v>0</v>
      </c>
      <c r="R24" s="4">
        <f>IF(Balancete_Oficial[[#Headers],[Setembro]]='Balancete MLN_WebPosto'!$G$2,
SUMIFS('Balancete MLN_WebPosto'!$I:$I,'Balancete MLN_WebPosto'!$C:$C,$A24,'Balancete MLN_WebPosto'!$B:$B,$B$2),
  "0"
)</f>
        <v>0</v>
      </c>
      <c r="S24" s="4" t="str">
        <f>IF(Balancete_Oficial[[#Headers],[Outubro]]='Balancete MLN_WebPosto'!$G$2,
SUMIFS('Balancete MLN_WebPosto'!$I:$I,'Balancete MLN_WebPosto'!$C:$C,$A24,'Balancete MLN_WebPosto'!$B:$B,$B$2),
  "0"
)</f>
        <v>0</v>
      </c>
      <c r="T24" s="4" t="str">
        <f>IF(Balancete_Oficial[[#Headers],[Novembro]]='Balancete MLN_WebPosto'!$G$2,
SUMIFS('Balancete MLN_WebPosto'!$I:$I,'Balancete MLN_WebPosto'!$C:$C,$A24,'Balancete MLN_WebPosto'!$B:$B,$B$2),
  "0"
)</f>
        <v>0</v>
      </c>
      <c r="U24" s="4" t="str">
        <f>IF(Balancete_Oficial[[#Headers],[Dezembro]]='Balancete MLN_WebPosto'!$G$2,
SUMIFS('Balancete MLN_WebPosto'!$I:$I,'Balancete MLN_WebPosto'!$C:$C,$A24,'Balancete MLN_WebPosto'!$B:$B,$B$2),
  "0"
)</f>
        <v>0</v>
      </c>
    </row>
    <row r="25" spans="1:21" s="2" customFormat="1" x14ac:dyDescent="0.25">
      <c r="A25" s="2" t="str">
        <f>IF(Dados!H22="","",Dados!H22)</f>
        <v/>
      </c>
      <c r="B25" s="2" t="e">
        <f>VLOOKUP(Balancete_Oficial[[#This Row],[Conta]],'Balancete MLN_WebPosto'!C:E,3,0)</f>
        <v>#N/A</v>
      </c>
      <c r="C25" s="3" t="str">
        <f t="shared" si="3"/>
        <v>Sintética</v>
      </c>
      <c r="D25" s="6" t="str">
        <f t="shared" si="4"/>
        <v>R</v>
      </c>
      <c r="E25" s="6" t="str">
        <f t="shared" si="5"/>
        <v/>
      </c>
      <c r="F25" s="6"/>
      <c r="G25" s="6"/>
      <c r="H25" s="6"/>
      <c r="I25" s="6"/>
      <c r="J25" s="4" t="str">
        <f>IF(Balancete_Oficial[[#Headers],[Janeiro]]='Balancete MLN_WebPosto'!$G$2,
SUMIFS('Balancete MLN_WebPosto'!$J:$J,'Balancete MLN_WebPosto'!$C:$C,$A25,'Balancete MLN_WebPosto'!$B:$B,$B$2),
  "0"
)</f>
        <v>0</v>
      </c>
      <c r="K25" s="4" t="str">
        <f>IF(Balancete_Oficial[[#Headers],[Fevereiro]]='Balancete MLN_WebPosto'!$G$2,
SUMIFS('Balancete MLN_WebPosto'!$J:$J,'Balancete MLN_WebPosto'!$C:$C,$A25,'Balancete MLN_WebPosto'!$B:$B,$B$2),
  "0"
)</f>
        <v>0</v>
      </c>
      <c r="L25" s="4" t="str">
        <f>IF(Balancete_Oficial[[#Headers],[Março]]='Balancete MLN_WebPosto'!$G$2,
SUMIFS('Balancete MLN_WebPosto'!$J:$J,'Balancete MLN_WebPosto'!$C:$C,$A25,'Balancete MLN_WebPosto'!$B:$B,$B$2),
  "0"
)</f>
        <v>0</v>
      </c>
      <c r="M25" s="4" t="str">
        <f>IF(Balancete_Oficial[[#Headers],[Abril]]='Balancete MLN_WebPosto'!$G$2,
SUMIFS('Balancete MLN_WebPosto'!$J:$J,'Balancete MLN_WebPosto'!$C:$C,$A25,'Balancete MLN_WebPosto'!$B:$B,$B$2),
  "0"
)</f>
        <v>0</v>
      </c>
      <c r="N25" s="4" t="str">
        <f>IF(Balancete_Oficial[[#Headers],[Maio]]='Balancete MLN_WebPosto'!$G$2,
SUMIFS('Balancete MLN_WebPosto'!$I:$I,'Balancete MLN_WebPosto'!$C:$C,$A25,'Balancete MLN_WebPosto'!$B:$B,$B$2),
  "0"
)</f>
        <v>0</v>
      </c>
      <c r="O25" s="4" t="str">
        <f>IF(Balancete_Oficial[[#Headers],[Junho]]='Balancete MLN_WebPosto'!$G$2,
SUMIFS('Balancete MLN_WebPosto'!$I:$I,'Balancete MLN_WebPosto'!$C:$C,$A25,'Balancete MLN_WebPosto'!$B:$B,$B$2),
  "0"
)</f>
        <v>0</v>
      </c>
      <c r="P25" s="4" t="str">
        <f>IF(Balancete_Oficial[[#Headers],[Julho]]='Balancete MLN_WebPosto'!$G$2,
SUMIFS('Balancete MLN_WebPosto'!$I:$I,'Balancete MLN_WebPosto'!$C:$C,$A25,'Balancete MLN_WebPosto'!$B:$B,$B$2),
  "0"
)</f>
        <v>0</v>
      </c>
      <c r="Q25" s="4" t="str">
        <f>IF(Balancete_Oficial[[#Headers],[Agosto]]='Balancete MLN_WebPosto'!$G$2,
SUMIFS('Balancete MLN_WebPosto'!$I:$I,'Balancete MLN_WebPosto'!$C:$C,$A25,'Balancete MLN_WebPosto'!$B:$B,$B$2),
  "0"
)</f>
        <v>0</v>
      </c>
      <c r="R25" s="4">
        <f>IF(Balancete_Oficial[[#Headers],[Setembro]]='Balancete MLN_WebPosto'!$G$2,
SUMIFS('Balancete MLN_WebPosto'!$I:$I,'Balancete MLN_WebPosto'!$C:$C,$A25,'Balancete MLN_WebPosto'!$B:$B,$B$2),
  "0"
)</f>
        <v>0</v>
      </c>
      <c r="S25" s="4" t="str">
        <f>IF(Balancete_Oficial[[#Headers],[Outubro]]='Balancete MLN_WebPosto'!$G$2,
SUMIFS('Balancete MLN_WebPosto'!$I:$I,'Balancete MLN_WebPosto'!$C:$C,$A25,'Balancete MLN_WebPosto'!$B:$B,$B$2),
  "0"
)</f>
        <v>0</v>
      </c>
      <c r="T25" s="4" t="str">
        <f>IF(Balancete_Oficial[[#Headers],[Novembro]]='Balancete MLN_WebPosto'!$G$2,
SUMIFS('Balancete MLN_WebPosto'!$I:$I,'Balancete MLN_WebPosto'!$C:$C,$A25,'Balancete MLN_WebPosto'!$B:$B,$B$2),
  "0"
)</f>
        <v>0</v>
      </c>
      <c r="U25" s="4" t="str">
        <f>IF(Balancete_Oficial[[#Headers],[Dezembro]]='Balancete MLN_WebPosto'!$G$2,
SUMIFS('Balancete MLN_WebPosto'!$I:$I,'Balancete MLN_WebPosto'!$C:$C,$A25,'Balancete MLN_WebPosto'!$B:$B,$B$2),
  "0"
)</f>
        <v>0</v>
      </c>
    </row>
    <row r="26" spans="1:21" s="2" customFormat="1" x14ac:dyDescent="0.25">
      <c r="A26" s="2" t="str">
        <f>IF(Dados!H23="","",Dados!H23)</f>
        <v/>
      </c>
      <c r="B26" s="2" t="e">
        <f>VLOOKUP(Balancete_Oficial[[#This Row],[Conta]],'Balancete MLN_WebPosto'!C:E,3,0)</f>
        <v>#N/A</v>
      </c>
      <c r="C26" s="3" t="str">
        <f t="shared" si="3"/>
        <v>Sintética</v>
      </c>
      <c r="D26" s="6" t="str">
        <f t="shared" si="4"/>
        <v>R</v>
      </c>
      <c r="E26" s="6" t="str">
        <f t="shared" si="5"/>
        <v/>
      </c>
      <c r="F26" s="6"/>
      <c r="G26" s="6"/>
      <c r="H26" s="6"/>
      <c r="I26" s="6"/>
      <c r="J26" s="4" t="str">
        <f>IF(Balancete_Oficial[[#Headers],[Janeiro]]='Balancete MLN_WebPosto'!$G$2,
SUMIFS('Balancete MLN_WebPosto'!$J:$J,'Balancete MLN_WebPosto'!$C:$C,$A26,'Balancete MLN_WebPosto'!$B:$B,$B$2),
  "0"
)</f>
        <v>0</v>
      </c>
      <c r="K26" s="4" t="str">
        <f>IF(Balancete_Oficial[[#Headers],[Fevereiro]]='Balancete MLN_WebPosto'!$G$2,
SUMIFS('Balancete MLN_WebPosto'!$J:$J,'Balancete MLN_WebPosto'!$C:$C,$A26,'Balancete MLN_WebPosto'!$B:$B,$B$2),
  "0"
)</f>
        <v>0</v>
      </c>
      <c r="L26" s="4" t="str">
        <f>IF(Balancete_Oficial[[#Headers],[Março]]='Balancete MLN_WebPosto'!$G$2,
SUMIFS('Balancete MLN_WebPosto'!$J:$J,'Balancete MLN_WebPosto'!$C:$C,$A26,'Balancete MLN_WebPosto'!$B:$B,$B$2),
  "0"
)</f>
        <v>0</v>
      </c>
      <c r="M26" s="4" t="str">
        <f>IF(Balancete_Oficial[[#Headers],[Abril]]='Balancete MLN_WebPosto'!$G$2,
SUMIFS('Balancete MLN_WebPosto'!$J:$J,'Balancete MLN_WebPosto'!$C:$C,$A26,'Balancete MLN_WebPosto'!$B:$B,$B$2),
  "0"
)</f>
        <v>0</v>
      </c>
      <c r="N26" s="4" t="str">
        <f>IF(Balancete_Oficial[[#Headers],[Maio]]='Balancete MLN_WebPosto'!$G$2,
SUMIFS('Balancete MLN_WebPosto'!$I:$I,'Balancete MLN_WebPosto'!$C:$C,$A26,'Balancete MLN_WebPosto'!$B:$B,$B$2),
  "0"
)</f>
        <v>0</v>
      </c>
      <c r="O26" s="4" t="str">
        <f>IF(Balancete_Oficial[[#Headers],[Junho]]='Balancete MLN_WebPosto'!$G$2,
SUMIFS('Balancete MLN_WebPosto'!$I:$I,'Balancete MLN_WebPosto'!$C:$C,$A26,'Balancete MLN_WebPosto'!$B:$B,$B$2),
  "0"
)</f>
        <v>0</v>
      </c>
      <c r="P26" s="4" t="str">
        <f>IF(Balancete_Oficial[[#Headers],[Julho]]='Balancete MLN_WebPosto'!$G$2,
SUMIFS('Balancete MLN_WebPosto'!$I:$I,'Balancete MLN_WebPosto'!$C:$C,$A26,'Balancete MLN_WebPosto'!$B:$B,$B$2),
  "0"
)</f>
        <v>0</v>
      </c>
      <c r="Q26" s="4" t="str">
        <f>IF(Balancete_Oficial[[#Headers],[Agosto]]='Balancete MLN_WebPosto'!$G$2,
SUMIFS('Balancete MLN_WebPosto'!$I:$I,'Balancete MLN_WebPosto'!$C:$C,$A26,'Balancete MLN_WebPosto'!$B:$B,$B$2),
  "0"
)</f>
        <v>0</v>
      </c>
      <c r="R26" s="4">
        <f>IF(Balancete_Oficial[[#Headers],[Setembro]]='Balancete MLN_WebPosto'!$G$2,
SUMIFS('Balancete MLN_WebPosto'!$I:$I,'Balancete MLN_WebPosto'!$C:$C,$A26,'Balancete MLN_WebPosto'!$B:$B,$B$2),
  "0"
)</f>
        <v>0</v>
      </c>
      <c r="S26" s="4" t="str">
        <f>IF(Balancete_Oficial[[#Headers],[Outubro]]='Balancete MLN_WebPosto'!$G$2,
SUMIFS('Balancete MLN_WebPosto'!$I:$I,'Balancete MLN_WebPosto'!$C:$C,$A26,'Balancete MLN_WebPosto'!$B:$B,$B$2),
  "0"
)</f>
        <v>0</v>
      </c>
      <c r="T26" s="4" t="str">
        <f>IF(Balancete_Oficial[[#Headers],[Novembro]]='Balancete MLN_WebPosto'!$G$2,
SUMIFS('Balancete MLN_WebPosto'!$I:$I,'Balancete MLN_WebPosto'!$C:$C,$A26,'Balancete MLN_WebPosto'!$B:$B,$B$2),
  "0"
)</f>
        <v>0</v>
      </c>
      <c r="U26" s="4" t="str">
        <f>IF(Balancete_Oficial[[#Headers],[Dezembro]]='Balancete MLN_WebPosto'!$G$2,
SUMIFS('Balancete MLN_WebPosto'!$I:$I,'Balancete MLN_WebPosto'!$C:$C,$A26,'Balancete MLN_WebPosto'!$B:$B,$B$2),
  "0"
)</f>
        <v>0</v>
      </c>
    </row>
    <row r="27" spans="1:21" s="2" customFormat="1" x14ac:dyDescent="0.25">
      <c r="A27" s="2" t="str">
        <f>IF(Dados!H24="","",Dados!H24)</f>
        <v/>
      </c>
      <c r="B27" s="2" t="e">
        <f>VLOOKUP(Balancete_Oficial[[#This Row],[Conta]],'Balancete MLN_WebPosto'!C:E,3,0)</f>
        <v>#N/A</v>
      </c>
      <c r="C27" s="3" t="str">
        <f t="shared" si="3"/>
        <v>Sintética</v>
      </c>
      <c r="D27" s="6" t="str">
        <f t="shared" si="4"/>
        <v>R</v>
      </c>
      <c r="E27" s="6" t="str">
        <f t="shared" si="5"/>
        <v/>
      </c>
      <c r="F27" s="6"/>
      <c r="G27" s="6"/>
      <c r="H27" s="6"/>
      <c r="I27" s="6"/>
      <c r="J27" s="4" t="str">
        <f>IF(Balancete_Oficial[[#Headers],[Janeiro]]='Balancete MLN_WebPosto'!$G$2,
SUMIFS('Balancete MLN_WebPosto'!$J:$J,'Balancete MLN_WebPosto'!$C:$C,$A27,'Balancete MLN_WebPosto'!$B:$B,$B$2),
  "0"
)</f>
        <v>0</v>
      </c>
      <c r="K27" s="4" t="str">
        <f>IF(Balancete_Oficial[[#Headers],[Fevereiro]]='Balancete MLN_WebPosto'!$G$2,
SUMIFS('Balancete MLN_WebPosto'!$J:$J,'Balancete MLN_WebPosto'!$C:$C,$A27,'Balancete MLN_WebPosto'!$B:$B,$B$2),
  "0"
)</f>
        <v>0</v>
      </c>
      <c r="L27" s="4" t="str">
        <f>IF(Balancete_Oficial[[#Headers],[Março]]='Balancete MLN_WebPosto'!$G$2,
SUMIFS('Balancete MLN_WebPosto'!$J:$J,'Balancete MLN_WebPosto'!$C:$C,$A27,'Balancete MLN_WebPosto'!$B:$B,$B$2),
  "0"
)</f>
        <v>0</v>
      </c>
      <c r="M27" s="4" t="str">
        <f>IF(Balancete_Oficial[[#Headers],[Abril]]='Balancete MLN_WebPosto'!$G$2,
SUMIFS('Balancete MLN_WebPosto'!$J:$J,'Balancete MLN_WebPosto'!$C:$C,$A27,'Balancete MLN_WebPosto'!$B:$B,$B$2),
  "0"
)</f>
        <v>0</v>
      </c>
      <c r="N27" s="4" t="str">
        <f>IF(Balancete_Oficial[[#Headers],[Maio]]='Balancete MLN_WebPosto'!$G$2,
SUMIFS('Balancete MLN_WebPosto'!$I:$I,'Balancete MLN_WebPosto'!$C:$C,$A27,'Balancete MLN_WebPosto'!$B:$B,$B$2),
  "0"
)</f>
        <v>0</v>
      </c>
      <c r="O27" s="4" t="str">
        <f>IF(Balancete_Oficial[[#Headers],[Junho]]='Balancete MLN_WebPosto'!$G$2,
SUMIFS('Balancete MLN_WebPosto'!$I:$I,'Balancete MLN_WebPosto'!$C:$C,$A27,'Balancete MLN_WebPosto'!$B:$B,$B$2),
  "0"
)</f>
        <v>0</v>
      </c>
      <c r="P27" s="4" t="str">
        <f>IF(Balancete_Oficial[[#Headers],[Julho]]='Balancete MLN_WebPosto'!$G$2,
SUMIFS('Balancete MLN_WebPosto'!$I:$I,'Balancete MLN_WebPosto'!$C:$C,$A27,'Balancete MLN_WebPosto'!$B:$B,$B$2),
  "0"
)</f>
        <v>0</v>
      </c>
      <c r="Q27" s="4" t="str">
        <f>IF(Balancete_Oficial[[#Headers],[Agosto]]='Balancete MLN_WebPosto'!$G$2,
SUMIFS('Balancete MLN_WebPosto'!$I:$I,'Balancete MLN_WebPosto'!$C:$C,$A27,'Balancete MLN_WebPosto'!$B:$B,$B$2),
  "0"
)</f>
        <v>0</v>
      </c>
      <c r="R27" s="4">
        <f>IF(Balancete_Oficial[[#Headers],[Setembro]]='Balancete MLN_WebPosto'!$G$2,
SUMIFS('Balancete MLN_WebPosto'!$I:$I,'Balancete MLN_WebPosto'!$C:$C,$A27,'Balancete MLN_WebPosto'!$B:$B,$B$2),
  "0"
)</f>
        <v>0</v>
      </c>
      <c r="S27" s="4" t="str">
        <f>IF(Balancete_Oficial[[#Headers],[Outubro]]='Balancete MLN_WebPosto'!$G$2,
SUMIFS('Balancete MLN_WebPosto'!$I:$I,'Balancete MLN_WebPosto'!$C:$C,$A27,'Balancete MLN_WebPosto'!$B:$B,$B$2),
  "0"
)</f>
        <v>0</v>
      </c>
      <c r="T27" s="4" t="str">
        <f>IF(Balancete_Oficial[[#Headers],[Novembro]]='Balancete MLN_WebPosto'!$G$2,
SUMIFS('Balancete MLN_WebPosto'!$I:$I,'Balancete MLN_WebPosto'!$C:$C,$A27,'Balancete MLN_WebPosto'!$B:$B,$B$2),
  "0"
)</f>
        <v>0</v>
      </c>
      <c r="U27" s="4" t="str">
        <f>IF(Balancete_Oficial[[#Headers],[Dezembro]]='Balancete MLN_WebPosto'!$G$2,
SUMIFS('Balancete MLN_WebPosto'!$I:$I,'Balancete MLN_WebPosto'!$C:$C,$A27,'Balancete MLN_WebPosto'!$B:$B,$B$2),
  "0"
)</f>
        <v>0</v>
      </c>
    </row>
    <row r="28" spans="1:21" s="2" customFormat="1" x14ac:dyDescent="0.25">
      <c r="A28" s="2" t="str">
        <f>IF(Dados!H25="","",Dados!H25)</f>
        <v/>
      </c>
      <c r="B28" s="2" t="e">
        <f>VLOOKUP(Balancete_Oficial[[#This Row],[Conta]],'Balancete MLN_WebPosto'!C:E,3,0)</f>
        <v>#N/A</v>
      </c>
      <c r="C28" s="3" t="str">
        <f t="shared" si="3"/>
        <v>Sintética</v>
      </c>
      <c r="D28" s="6" t="str">
        <f t="shared" si="4"/>
        <v>R</v>
      </c>
      <c r="E28" s="6" t="str">
        <f t="shared" si="5"/>
        <v/>
      </c>
      <c r="F28" s="6"/>
      <c r="G28" s="6"/>
      <c r="H28" s="6"/>
      <c r="I28" s="6"/>
      <c r="J28" s="4" t="str">
        <f>IF(Balancete_Oficial[[#Headers],[Janeiro]]='Balancete MLN_WebPosto'!$G$2,
SUMIFS('Balancete MLN_WebPosto'!$J:$J,'Balancete MLN_WebPosto'!$C:$C,$A28,'Balancete MLN_WebPosto'!$B:$B,$B$2),
  "0"
)</f>
        <v>0</v>
      </c>
      <c r="K28" s="4" t="str">
        <f>IF(Balancete_Oficial[[#Headers],[Fevereiro]]='Balancete MLN_WebPosto'!$G$2,
SUMIFS('Balancete MLN_WebPosto'!$J:$J,'Balancete MLN_WebPosto'!$C:$C,$A28,'Balancete MLN_WebPosto'!$B:$B,$B$2),
  "0"
)</f>
        <v>0</v>
      </c>
      <c r="L28" s="4" t="str">
        <f>IF(Balancete_Oficial[[#Headers],[Março]]='Balancete MLN_WebPosto'!$G$2,
SUMIFS('Balancete MLN_WebPosto'!$J:$J,'Balancete MLN_WebPosto'!$C:$C,$A28,'Balancete MLN_WebPosto'!$B:$B,$B$2),
  "0"
)</f>
        <v>0</v>
      </c>
      <c r="M28" s="4" t="str">
        <f>IF(Balancete_Oficial[[#Headers],[Abril]]='Balancete MLN_WebPosto'!$G$2,
SUMIFS('Balancete MLN_WebPosto'!$J:$J,'Balancete MLN_WebPosto'!$C:$C,$A28,'Balancete MLN_WebPosto'!$B:$B,$B$2),
  "0"
)</f>
        <v>0</v>
      </c>
      <c r="N28" s="4" t="str">
        <f>IF(Balancete_Oficial[[#Headers],[Maio]]='Balancete MLN_WebPosto'!$G$2,
SUMIFS('Balancete MLN_WebPosto'!$I:$I,'Balancete MLN_WebPosto'!$C:$C,$A28,'Balancete MLN_WebPosto'!$B:$B,$B$2),
  "0"
)</f>
        <v>0</v>
      </c>
      <c r="O28" s="4" t="str">
        <f>IF(Balancete_Oficial[[#Headers],[Junho]]='Balancete MLN_WebPosto'!$G$2,
SUMIFS('Balancete MLN_WebPosto'!$I:$I,'Balancete MLN_WebPosto'!$C:$C,$A28,'Balancete MLN_WebPosto'!$B:$B,$B$2),
  "0"
)</f>
        <v>0</v>
      </c>
      <c r="P28" s="4" t="str">
        <f>IF(Balancete_Oficial[[#Headers],[Julho]]='Balancete MLN_WebPosto'!$G$2,
SUMIFS('Balancete MLN_WebPosto'!$I:$I,'Balancete MLN_WebPosto'!$C:$C,$A28,'Balancete MLN_WebPosto'!$B:$B,$B$2),
  "0"
)</f>
        <v>0</v>
      </c>
      <c r="Q28" s="4" t="str">
        <f>IF(Balancete_Oficial[[#Headers],[Agosto]]='Balancete MLN_WebPosto'!$G$2,
SUMIFS('Balancete MLN_WebPosto'!$I:$I,'Balancete MLN_WebPosto'!$C:$C,$A28,'Balancete MLN_WebPosto'!$B:$B,$B$2),
  "0"
)</f>
        <v>0</v>
      </c>
      <c r="R28" s="4">
        <f>IF(Balancete_Oficial[[#Headers],[Setembro]]='Balancete MLN_WebPosto'!$G$2,
SUMIFS('Balancete MLN_WebPosto'!$I:$I,'Balancete MLN_WebPosto'!$C:$C,$A28,'Balancete MLN_WebPosto'!$B:$B,$B$2),
  "0"
)</f>
        <v>0</v>
      </c>
      <c r="S28" s="4" t="str">
        <f>IF(Balancete_Oficial[[#Headers],[Outubro]]='Balancete MLN_WebPosto'!$G$2,
SUMIFS('Balancete MLN_WebPosto'!$I:$I,'Balancete MLN_WebPosto'!$C:$C,$A28,'Balancete MLN_WebPosto'!$B:$B,$B$2),
  "0"
)</f>
        <v>0</v>
      </c>
      <c r="T28" s="4" t="str">
        <f>IF(Balancete_Oficial[[#Headers],[Novembro]]='Balancete MLN_WebPosto'!$G$2,
SUMIFS('Balancete MLN_WebPosto'!$I:$I,'Balancete MLN_WebPosto'!$C:$C,$A28,'Balancete MLN_WebPosto'!$B:$B,$B$2),
  "0"
)</f>
        <v>0</v>
      </c>
      <c r="U28" s="4" t="str">
        <f>IF(Balancete_Oficial[[#Headers],[Dezembro]]='Balancete MLN_WebPosto'!$G$2,
SUMIFS('Balancete MLN_WebPosto'!$I:$I,'Balancete MLN_WebPosto'!$C:$C,$A28,'Balancete MLN_WebPosto'!$B:$B,$B$2),
  "0"
)</f>
        <v>0</v>
      </c>
    </row>
    <row r="29" spans="1:21" s="2" customFormat="1" x14ac:dyDescent="0.25">
      <c r="A29" s="2" t="str">
        <f>IF(Dados!H26="","",Dados!H26)</f>
        <v/>
      </c>
      <c r="B29" s="2" t="e">
        <f>VLOOKUP(Balancete_Oficial[[#This Row],[Conta]],'Balancete MLN_WebPosto'!C:E,3,0)</f>
        <v>#N/A</v>
      </c>
      <c r="C29" s="3" t="str">
        <f t="shared" si="3"/>
        <v>Sintética</v>
      </c>
      <c r="D29" s="6" t="str">
        <f t="shared" si="4"/>
        <v>R</v>
      </c>
      <c r="E29" s="6" t="str">
        <f t="shared" si="5"/>
        <v/>
      </c>
      <c r="F29" s="6"/>
      <c r="G29" s="6"/>
      <c r="H29" s="6"/>
      <c r="I29" s="6"/>
      <c r="J29" s="4" t="str">
        <f>IF(Balancete_Oficial[[#Headers],[Janeiro]]='Balancete MLN_WebPosto'!$G$2,
SUMIFS('Balancete MLN_WebPosto'!$J:$J,'Balancete MLN_WebPosto'!$C:$C,$A29,'Balancete MLN_WebPosto'!$B:$B,$B$2),
  "0"
)</f>
        <v>0</v>
      </c>
      <c r="K29" s="4" t="str">
        <f>IF(Balancete_Oficial[[#Headers],[Fevereiro]]='Balancete MLN_WebPosto'!$G$2,
SUMIFS('Balancete MLN_WebPosto'!$J:$J,'Balancete MLN_WebPosto'!$C:$C,$A29,'Balancete MLN_WebPosto'!$B:$B,$B$2),
  "0"
)</f>
        <v>0</v>
      </c>
      <c r="L29" s="4" t="str">
        <f>IF(Balancete_Oficial[[#Headers],[Março]]='Balancete MLN_WebPosto'!$G$2,
SUMIFS('Balancete MLN_WebPosto'!$J:$J,'Balancete MLN_WebPosto'!$C:$C,$A29,'Balancete MLN_WebPosto'!$B:$B,$B$2),
  "0"
)</f>
        <v>0</v>
      </c>
      <c r="M29" s="4" t="str">
        <f>IF(Balancete_Oficial[[#Headers],[Abril]]='Balancete MLN_WebPosto'!$G$2,
SUMIFS('Balancete MLN_WebPosto'!$J:$J,'Balancete MLN_WebPosto'!$C:$C,$A29,'Balancete MLN_WebPosto'!$B:$B,$B$2),
  "0"
)</f>
        <v>0</v>
      </c>
      <c r="N29" s="4" t="str">
        <f>IF(Balancete_Oficial[[#Headers],[Maio]]='Balancete MLN_WebPosto'!$G$2,
SUMIFS('Balancete MLN_WebPosto'!$I:$I,'Balancete MLN_WebPosto'!$C:$C,$A29,'Balancete MLN_WebPosto'!$B:$B,$B$2),
  "0"
)</f>
        <v>0</v>
      </c>
      <c r="O29" s="4" t="str">
        <f>IF(Balancete_Oficial[[#Headers],[Junho]]='Balancete MLN_WebPosto'!$G$2,
SUMIFS('Balancete MLN_WebPosto'!$I:$I,'Balancete MLN_WebPosto'!$C:$C,$A29,'Balancete MLN_WebPosto'!$B:$B,$B$2),
  "0"
)</f>
        <v>0</v>
      </c>
      <c r="P29" s="4" t="str">
        <f>IF(Balancete_Oficial[[#Headers],[Julho]]='Balancete MLN_WebPosto'!$G$2,
SUMIFS('Balancete MLN_WebPosto'!$I:$I,'Balancete MLN_WebPosto'!$C:$C,$A29,'Balancete MLN_WebPosto'!$B:$B,$B$2),
  "0"
)</f>
        <v>0</v>
      </c>
      <c r="Q29" s="4" t="str">
        <f>IF(Balancete_Oficial[[#Headers],[Agosto]]='Balancete MLN_WebPosto'!$G$2,
SUMIFS('Balancete MLN_WebPosto'!$I:$I,'Balancete MLN_WebPosto'!$C:$C,$A29,'Balancete MLN_WebPosto'!$B:$B,$B$2),
  "0"
)</f>
        <v>0</v>
      </c>
      <c r="R29" s="4">
        <f>IF(Balancete_Oficial[[#Headers],[Setembro]]='Balancete MLN_WebPosto'!$G$2,
SUMIFS('Balancete MLN_WebPosto'!$I:$I,'Balancete MLN_WebPosto'!$C:$C,$A29,'Balancete MLN_WebPosto'!$B:$B,$B$2),
  "0"
)</f>
        <v>0</v>
      </c>
      <c r="S29" s="4" t="str">
        <f>IF(Balancete_Oficial[[#Headers],[Outubro]]='Balancete MLN_WebPosto'!$G$2,
SUMIFS('Balancete MLN_WebPosto'!$I:$I,'Balancete MLN_WebPosto'!$C:$C,$A29,'Balancete MLN_WebPosto'!$B:$B,$B$2),
  "0"
)</f>
        <v>0</v>
      </c>
      <c r="T29" s="4" t="str">
        <f>IF(Balancete_Oficial[[#Headers],[Novembro]]='Balancete MLN_WebPosto'!$G$2,
SUMIFS('Balancete MLN_WebPosto'!$I:$I,'Balancete MLN_WebPosto'!$C:$C,$A29,'Balancete MLN_WebPosto'!$B:$B,$B$2),
  "0"
)</f>
        <v>0</v>
      </c>
      <c r="U29" s="4" t="str">
        <f>IF(Balancete_Oficial[[#Headers],[Dezembro]]='Balancete MLN_WebPosto'!$G$2,
SUMIFS('Balancete MLN_WebPosto'!$I:$I,'Balancete MLN_WebPosto'!$C:$C,$A29,'Balancete MLN_WebPosto'!$B:$B,$B$2),
  "0"
)</f>
        <v>0</v>
      </c>
    </row>
    <row r="30" spans="1:21" s="2" customFormat="1" x14ac:dyDescent="0.25">
      <c r="A30" s="2" t="str">
        <f>IF(Dados!H27="","",Dados!H27)</f>
        <v/>
      </c>
      <c r="B30" s="2" t="e">
        <f>VLOOKUP(Balancete_Oficial[[#This Row],[Conta]],'Balancete MLN_WebPosto'!C:E,3,0)</f>
        <v>#N/A</v>
      </c>
      <c r="C30" s="3" t="str">
        <f t="shared" si="3"/>
        <v>Sintética</v>
      </c>
      <c r="D30" s="6" t="str">
        <f t="shared" si="4"/>
        <v>R</v>
      </c>
      <c r="E30" s="6" t="str">
        <f t="shared" si="5"/>
        <v/>
      </c>
      <c r="F30" s="6"/>
      <c r="G30" s="6"/>
      <c r="H30" s="6"/>
      <c r="I30" s="6"/>
      <c r="J30" s="4" t="str">
        <f>IF(Balancete_Oficial[[#Headers],[Janeiro]]='Balancete MLN_WebPosto'!$G$2,
SUMIFS('Balancete MLN_WebPosto'!$J:$J,'Balancete MLN_WebPosto'!$C:$C,$A30,'Balancete MLN_WebPosto'!$B:$B,$B$2),
  "0"
)</f>
        <v>0</v>
      </c>
      <c r="K30" s="4" t="str">
        <f>IF(Balancete_Oficial[[#Headers],[Fevereiro]]='Balancete MLN_WebPosto'!$G$2,
SUMIFS('Balancete MLN_WebPosto'!$J:$J,'Balancete MLN_WebPosto'!$C:$C,$A30,'Balancete MLN_WebPosto'!$B:$B,$B$2),
  "0"
)</f>
        <v>0</v>
      </c>
      <c r="L30" s="4" t="str">
        <f>IF(Balancete_Oficial[[#Headers],[Março]]='Balancete MLN_WebPosto'!$G$2,
SUMIFS('Balancete MLN_WebPosto'!$J:$J,'Balancete MLN_WebPosto'!$C:$C,$A30,'Balancete MLN_WebPosto'!$B:$B,$B$2),
  "0"
)</f>
        <v>0</v>
      </c>
      <c r="M30" s="4" t="str">
        <f>IF(Balancete_Oficial[[#Headers],[Abril]]='Balancete MLN_WebPosto'!$G$2,
SUMIFS('Balancete MLN_WebPosto'!$J:$J,'Balancete MLN_WebPosto'!$C:$C,$A30,'Balancete MLN_WebPosto'!$B:$B,$B$2),
  "0"
)</f>
        <v>0</v>
      </c>
      <c r="N30" s="4" t="str">
        <f>IF(Balancete_Oficial[[#Headers],[Maio]]='Balancete MLN_WebPosto'!$G$2,
SUMIFS('Balancete MLN_WebPosto'!$I:$I,'Balancete MLN_WebPosto'!$C:$C,$A30,'Balancete MLN_WebPosto'!$B:$B,$B$2),
  "0"
)</f>
        <v>0</v>
      </c>
      <c r="O30" s="4" t="str">
        <f>IF(Balancete_Oficial[[#Headers],[Junho]]='Balancete MLN_WebPosto'!$G$2,
SUMIFS('Balancete MLN_WebPosto'!$I:$I,'Balancete MLN_WebPosto'!$C:$C,$A30,'Balancete MLN_WebPosto'!$B:$B,$B$2),
  "0"
)</f>
        <v>0</v>
      </c>
      <c r="P30" s="4" t="str">
        <f>IF(Balancete_Oficial[[#Headers],[Julho]]='Balancete MLN_WebPosto'!$G$2,
SUMIFS('Balancete MLN_WebPosto'!$I:$I,'Balancete MLN_WebPosto'!$C:$C,$A30,'Balancete MLN_WebPosto'!$B:$B,$B$2),
  "0"
)</f>
        <v>0</v>
      </c>
      <c r="Q30" s="4" t="str">
        <f>IF(Balancete_Oficial[[#Headers],[Agosto]]='Balancete MLN_WebPosto'!$G$2,
SUMIFS('Balancete MLN_WebPosto'!$I:$I,'Balancete MLN_WebPosto'!$C:$C,$A30,'Balancete MLN_WebPosto'!$B:$B,$B$2),
  "0"
)</f>
        <v>0</v>
      </c>
      <c r="R30" s="4">
        <f>IF(Balancete_Oficial[[#Headers],[Setembro]]='Balancete MLN_WebPosto'!$G$2,
SUMIFS('Balancete MLN_WebPosto'!$I:$I,'Balancete MLN_WebPosto'!$C:$C,$A30,'Balancete MLN_WebPosto'!$B:$B,$B$2),
  "0"
)</f>
        <v>0</v>
      </c>
      <c r="S30" s="4" t="str">
        <f>IF(Balancete_Oficial[[#Headers],[Outubro]]='Balancete MLN_WebPosto'!$G$2,
SUMIFS('Balancete MLN_WebPosto'!$I:$I,'Balancete MLN_WebPosto'!$C:$C,$A30,'Balancete MLN_WebPosto'!$B:$B,$B$2),
  "0"
)</f>
        <v>0</v>
      </c>
      <c r="T30" s="4" t="str">
        <f>IF(Balancete_Oficial[[#Headers],[Novembro]]='Balancete MLN_WebPosto'!$G$2,
SUMIFS('Balancete MLN_WebPosto'!$I:$I,'Balancete MLN_WebPosto'!$C:$C,$A30,'Balancete MLN_WebPosto'!$B:$B,$B$2),
  "0"
)</f>
        <v>0</v>
      </c>
      <c r="U30" s="4" t="str">
        <f>IF(Balancete_Oficial[[#Headers],[Dezembro]]='Balancete MLN_WebPosto'!$G$2,
SUMIFS('Balancete MLN_WebPosto'!$I:$I,'Balancete MLN_WebPosto'!$C:$C,$A30,'Balancete MLN_WebPosto'!$B:$B,$B$2),
  "0"
)</f>
        <v>0</v>
      </c>
    </row>
    <row r="31" spans="1:21" s="2" customFormat="1" x14ac:dyDescent="0.25">
      <c r="A31" s="2" t="str">
        <f>IF(Dados!H28="","",Dados!H28)</f>
        <v/>
      </c>
      <c r="B31" s="2" t="e">
        <f>VLOOKUP(Balancete_Oficial[[#This Row],[Conta]],'Balancete MLN_WebPosto'!C:E,3,0)</f>
        <v>#N/A</v>
      </c>
      <c r="C31" s="3" t="str">
        <f t="shared" si="3"/>
        <v>Sintética</v>
      </c>
      <c r="D31" s="6" t="str">
        <f t="shared" si="4"/>
        <v>R</v>
      </c>
      <c r="E31" s="6" t="str">
        <f t="shared" si="5"/>
        <v/>
      </c>
      <c r="F31" s="6"/>
      <c r="G31" s="6"/>
      <c r="H31" s="6"/>
      <c r="I31" s="6"/>
      <c r="J31" s="4" t="str">
        <f>IF(Balancete_Oficial[[#Headers],[Janeiro]]='Balancete MLN_WebPosto'!$G$2,
SUMIFS('Balancete MLN_WebPosto'!$J:$J,'Balancete MLN_WebPosto'!$C:$C,$A31,'Balancete MLN_WebPosto'!$B:$B,$B$2),
  "0"
)</f>
        <v>0</v>
      </c>
      <c r="K31" s="4" t="str">
        <f>IF(Balancete_Oficial[[#Headers],[Fevereiro]]='Balancete MLN_WebPosto'!$G$2,
SUMIFS('Balancete MLN_WebPosto'!$J:$J,'Balancete MLN_WebPosto'!$C:$C,$A31,'Balancete MLN_WebPosto'!$B:$B,$B$2),
  "0"
)</f>
        <v>0</v>
      </c>
      <c r="L31" s="4" t="str">
        <f>IF(Balancete_Oficial[[#Headers],[Março]]='Balancete MLN_WebPosto'!$G$2,
SUMIFS('Balancete MLN_WebPosto'!$J:$J,'Balancete MLN_WebPosto'!$C:$C,$A31,'Balancete MLN_WebPosto'!$B:$B,$B$2),
  "0"
)</f>
        <v>0</v>
      </c>
      <c r="M31" s="4" t="str">
        <f>IF(Balancete_Oficial[[#Headers],[Abril]]='Balancete MLN_WebPosto'!$G$2,
SUMIFS('Balancete MLN_WebPosto'!$J:$J,'Balancete MLN_WebPosto'!$C:$C,$A31,'Balancete MLN_WebPosto'!$B:$B,$B$2),
  "0"
)</f>
        <v>0</v>
      </c>
      <c r="N31" s="4" t="str">
        <f>IF(Balancete_Oficial[[#Headers],[Maio]]='Balancete MLN_WebPosto'!$G$2,
SUMIFS('Balancete MLN_WebPosto'!$I:$I,'Balancete MLN_WebPosto'!$C:$C,$A31,'Balancete MLN_WebPosto'!$B:$B,$B$2),
  "0"
)</f>
        <v>0</v>
      </c>
      <c r="O31" s="4" t="str">
        <f>IF(Balancete_Oficial[[#Headers],[Junho]]='Balancete MLN_WebPosto'!$G$2,
SUMIFS('Balancete MLN_WebPosto'!$I:$I,'Balancete MLN_WebPosto'!$C:$C,$A31,'Balancete MLN_WebPosto'!$B:$B,$B$2),
  "0"
)</f>
        <v>0</v>
      </c>
      <c r="P31" s="4" t="str">
        <f>IF(Balancete_Oficial[[#Headers],[Julho]]='Balancete MLN_WebPosto'!$G$2,
SUMIFS('Balancete MLN_WebPosto'!$I:$I,'Balancete MLN_WebPosto'!$C:$C,$A31,'Balancete MLN_WebPosto'!$B:$B,$B$2),
  "0"
)</f>
        <v>0</v>
      </c>
      <c r="Q31" s="4" t="str">
        <f>IF(Balancete_Oficial[[#Headers],[Agosto]]='Balancete MLN_WebPosto'!$G$2,
SUMIFS('Balancete MLN_WebPosto'!$I:$I,'Balancete MLN_WebPosto'!$C:$C,$A31,'Balancete MLN_WebPosto'!$B:$B,$B$2),
  "0"
)</f>
        <v>0</v>
      </c>
      <c r="R31" s="4">
        <f>IF(Balancete_Oficial[[#Headers],[Setembro]]='Balancete MLN_WebPosto'!$G$2,
SUMIFS('Balancete MLN_WebPosto'!$I:$I,'Balancete MLN_WebPosto'!$C:$C,$A31,'Balancete MLN_WebPosto'!$B:$B,$B$2),
  "0"
)</f>
        <v>0</v>
      </c>
      <c r="S31" s="4" t="str">
        <f>IF(Balancete_Oficial[[#Headers],[Outubro]]='Balancete MLN_WebPosto'!$G$2,
SUMIFS('Balancete MLN_WebPosto'!$I:$I,'Balancete MLN_WebPosto'!$C:$C,$A31,'Balancete MLN_WebPosto'!$B:$B,$B$2),
  "0"
)</f>
        <v>0</v>
      </c>
      <c r="T31" s="4" t="str">
        <f>IF(Balancete_Oficial[[#Headers],[Novembro]]='Balancete MLN_WebPosto'!$G$2,
SUMIFS('Balancete MLN_WebPosto'!$I:$I,'Balancete MLN_WebPosto'!$C:$C,$A31,'Balancete MLN_WebPosto'!$B:$B,$B$2),
  "0"
)</f>
        <v>0</v>
      </c>
      <c r="U31" s="4" t="str">
        <f>IF(Balancete_Oficial[[#Headers],[Dezembro]]='Balancete MLN_WebPosto'!$G$2,
SUMIFS('Balancete MLN_WebPosto'!$I:$I,'Balancete MLN_WebPosto'!$C:$C,$A31,'Balancete MLN_WebPosto'!$B:$B,$B$2),
  "0"
)</f>
        <v>0</v>
      </c>
    </row>
    <row r="32" spans="1:21" s="2" customFormat="1" x14ac:dyDescent="0.25">
      <c r="A32" s="2" t="str">
        <f>IF(Dados!H29="","",Dados!H29)</f>
        <v/>
      </c>
      <c r="B32" s="2" t="e">
        <f>VLOOKUP(Balancete_Oficial[[#This Row],[Conta]],'Balancete MLN_WebPosto'!C:E,3,0)</f>
        <v>#N/A</v>
      </c>
      <c r="C32" s="3" t="str">
        <f t="shared" si="3"/>
        <v>Sintética</v>
      </c>
      <c r="D32" s="6" t="str">
        <f t="shared" si="4"/>
        <v>R</v>
      </c>
      <c r="E32" s="6" t="str">
        <f t="shared" si="5"/>
        <v/>
      </c>
      <c r="F32" s="6"/>
      <c r="G32" s="6"/>
      <c r="H32" s="6"/>
      <c r="I32" s="6"/>
      <c r="J32" s="4" t="str">
        <f>IF(Balancete_Oficial[[#Headers],[Janeiro]]='Balancete MLN_WebPosto'!$G$2,
SUMIFS('Balancete MLN_WebPosto'!$J:$J,'Balancete MLN_WebPosto'!$C:$C,$A32,'Balancete MLN_WebPosto'!$B:$B,$B$2),
  "0"
)</f>
        <v>0</v>
      </c>
      <c r="K32" s="4" t="str">
        <f>IF(Balancete_Oficial[[#Headers],[Fevereiro]]='Balancete MLN_WebPosto'!$G$2,
SUMIFS('Balancete MLN_WebPosto'!$J:$J,'Balancete MLN_WebPosto'!$C:$C,$A32,'Balancete MLN_WebPosto'!$B:$B,$B$2),
  "0"
)</f>
        <v>0</v>
      </c>
      <c r="L32" s="4" t="str">
        <f>IF(Balancete_Oficial[[#Headers],[Março]]='Balancete MLN_WebPosto'!$G$2,
SUMIFS('Balancete MLN_WebPosto'!$J:$J,'Balancete MLN_WebPosto'!$C:$C,$A32,'Balancete MLN_WebPosto'!$B:$B,$B$2),
  "0"
)</f>
        <v>0</v>
      </c>
      <c r="M32" s="4" t="str">
        <f>IF(Balancete_Oficial[[#Headers],[Abril]]='Balancete MLN_WebPosto'!$G$2,
SUMIFS('Balancete MLN_WebPosto'!$J:$J,'Balancete MLN_WebPosto'!$C:$C,$A32,'Balancete MLN_WebPosto'!$B:$B,$B$2),
  "0"
)</f>
        <v>0</v>
      </c>
      <c r="N32" s="4" t="str">
        <f>IF(Balancete_Oficial[[#Headers],[Maio]]='Balancete MLN_WebPosto'!$G$2,
SUMIFS('Balancete MLN_WebPosto'!$I:$I,'Balancete MLN_WebPosto'!$C:$C,$A32,'Balancete MLN_WebPosto'!$B:$B,$B$2),
  "0"
)</f>
        <v>0</v>
      </c>
      <c r="O32" s="4" t="str">
        <f>IF(Balancete_Oficial[[#Headers],[Junho]]='Balancete MLN_WebPosto'!$G$2,
SUMIFS('Balancete MLN_WebPosto'!$I:$I,'Balancete MLN_WebPosto'!$C:$C,$A32,'Balancete MLN_WebPosto'!$B:$B,$B$2),
  "0"
)</f>
        <v>0</v>
      </c>
      <c r="P32" s="4" t="str">
        <f>IF(Balancete_Oficial[[#Headers],[Julho]]='Balancete MLN_WebPosto'!$G$2,
SUMIFS('Balancete MLN_WebPosto'!$I:$I,'Balancete MLN_WebPosto'!$C:$C,$A32,'Balancete MLN_WebPosto'!$B:$B,$B$2),
  "0"
)</f>
        <v>0</v>
      </c>
      <c r="Q32" s="4" t="str">
        <f>IF(Balancete_Oficial[[#Headers],[Agosto]]='Balancete MLN_WebPosto'!$G$2,
SUMIFS('Balancete MLN_WebPosto'!$I:$I,'Balancete MLN_WebPosto'!$C:$C,$A32,'Balancete MLN_WebPosto'!$B:$B,$B$2),
  "0"
)</f>
        <v>0</v>
      </c>
      <c r="R32" s="4">
        <f>IF(Balancete_Oficial[[#Headers],[Setembro]]='Balancete MLN_WebPosto'!$G$2,
SUMIFS('Balancete MLN_WebPosto'!$I:$I,'Balancete MLN_WebPosto'!$C:$C,$A32,'Balancete MLN_WebPosto'!$B:$B,$B$2),
  "0"
)</f>
        <v>0</v>
      </c>
      <c r="S32" s="4" t="str">
        <f>IF(Balancete_Oficial[[#Headers],[Outubro]]='Balancete MLN_WebPosto'!$G$2,
SUMIFS('Balancete MLN_WebPosto'!$I:$I,'Balancete MLN_WebPosto'!$C:$C,$A32,'Balancete MLN_WebPosto'!$B:$B,$B$2),
  "0"
)</f>
        <v>0</v>
      </c>
      <c r="T32" s="4" t="str">
        <f>IF(Balancete_Oficial[[#Headers],[Novembro]]='Balancete MLN_WebPosto'!$G$2,
SUMIFS('Balancete MLN_WebPosto'!$I:$I,'Balancete MLN_WebPosto'!$C:$C,$A32,'Balancete MLN_WebPosto'!$B:$B,$B$2),
  "0"
)</f>
        <v>0</v>
      </c>
      <c r="U32" s="4" t="str">
        <f>IF(Balancete_Oficial[[#Headers],[Dezembro]]='Balancete MLN_WebPosto'!$G$2,
SUMIFS('Balancete MLN_WebPosto'!$I:$I,'Balancete MLN_WebPosto'!$C:$C,$A32,'Balancete MLN_WebPosto'!$B:$B,$B$2),
  "0"
)</f>
        <v>0</v>
      </c>
    </row>
    <row r="33" spans="1:21" s="2" customFormat="1" x14ac:dyDescent="0.25">
      <c r="A33" s="2" t="str">
        <f>IF(Dados!H30="","",Dados!H30)</f>
        <v/>
      </c>
      <c r="B33" s="2" t="e">
        <f>VLOOKUP(Balancete_Oficial[[#This Row],[Conta]],'Balancete MLN_WebPosto'!C:E,3,0)</f>
        <v>#N/A</v>
      </c>
      <c r="C33" s="3" t="str">
        <f t="shared" si="3"/>
        <v>Sintética</v>
      </c>
      <c r="D33" s="6" t="str">
        <f t="shared" si="4"/>
        <v>R</v>
      </c>
      <c r="E33" s="6" t="str">
        <f t="shared" si="5"/>
        <v/>
      </c>
      <c r="F33" s="6"/>
      <c r="G33" s="6"/>
      <c r="H33" s="6"/>
      <c r="I33" s="6"/>
      <c r="J33" s="4" t="str">
        <f>IF(Balancete_Oficial[[#Headers],[Janeiro]]='Balancete MLN_WebPosto'!$G$2,
SUMIFS('Balancete MLN_WebPosto'!$J:$J,'Balancete MLN_WebPosto'!$C:$C,$A33,'Balancete MLN_WebPosto'!$B:$B,$B$2),
  "0"
)</f>
        <v>0</v>
      </c>
      <c r="K33" s="4" t="str">
        <f>IF(Balancete_Oficial[[#Headers],[Fevereiro]]='Balancete MLN_WebPosto'!$G$2,
SUMIFS('Balancete MLN_WebPosto'!$J:$J,'Balancete MLN_WebPosto'!$C:$C,$A33,'Balancete MLN_WebPosto'!$B:$B,$B$2),
  "0"
)</f>
        <v>0</v>
      </c>
      <c r="L33" s="4" t="str">
        <f>IF(Balancete_Oficial[[#Headers],[Março]]='Balancete MLN_WebPosto'!$G$2,
SUMIFS('Balancete MLN_WebPosto'!$J:$J,'Balancete MLN_WebPosto'!$C:$C,$A33,'Balancete MLN_WebPosto'!$B:$B,$B$2),
  "0"
)</f>
        <v>0</v>
      </c>
      <c r="M33" s="4" t="str">
        <f>IF(Balancete_Oficial[[#Headers],[Abril]]='Balancete MLN_WebPosto'!$G$2,
SUMIFS('Balancete MLN_WebPosto'!$J:$J,'Balancete MLN_WebPosto'!$C:$C,$A33,'Balancete MLN_WebPosto'!$B:$B,$B$2),
  "0"
)</f>
        <v>0</v>
      </c>
      <c r="N33" s="4" t="str">
        <f>IF(Balancete_Oficial[[#Headers],[Maio]]='Balancete MLN_WebPosto'!$G$2,
SUMIFS('Balancete MLN_WebPosto'!$I:$I,'Balancete MLN_WebPosto'!$C:$C,$A33,'Balancete MLN_WebPosto'!$B:$B,$B$2),
  "0"
)</f>
        <v>0</v>
      </c>
      <c r="O33" s="4" t="str">
        <f>IF(Balancete_Oficial[[#Headers],[Junho]]='Balancete MLN_WebPosto'!$G$2,
SUMIFS('Balancete MLN_WebPosto'!$I:$I,'Balancete MLN_WebPosto'!$C:$C,$A33,'Balancete MLN_WebPosto'!$B:$B,$B$2),
  "0"
)</f>
        <v>0</v>
      </c>
      <c r="P33" s="4" t="str">
        <f>IF(Balancete_Oficial[[#Headers],[Julho]]='Balancete MLN_WebPosto'!$G$2,
SUMIFS('Balancete MLN_WebPosto'!$I:$I,'Balancete MLN_WebPosto'!$C:$C,$A33,'Balancete MLN_WebPosto'!$B:$B,$B$2),
  "0"
)</f>
        <v>0</v>
      </c>
      <c r="Q33" s="4" t="str">
        <f>IF(Balancete_Oficial[[#Headers],[Agosto]]='Balancete MLN_WebPosto'!$G$2,
SUMIFS('Balancete MLN_WebPosto'!$I:$I,'Balancete MLN_WebPosto'!$C:$C,$A33,'Balancete MLN_WebPosto'!$B:$B,$B$2),
  "0"
)</f>
        <v>0</v>
      </c>
      <c r="R33" s="4">
        <f>IF(Balancete_Oficial[[#Headers],[Setembro]]='Balancete MLN_WebPosto'!$G$2,
SUMIFS('Balancete MLN_WebPosto'!$I:$I,'Balancete MLN_WebPosto'!$C:$C,$A33,'Balancete MLN_WebPosto'!$B:$B,$B$2),
  "0"
)</f>
        <v>0</v>
      </c>
      <c r="S33" s="4" t="str">
        <f>IF(Balancete_Oficial[[#Headers],[Outubro]]='Balancete MLN_WebPosto'!$G$2,
SUMIFS('Balancete MLN_WebPosto'!$I:$I,'Balancete MLN_WebPosto'!$C:$C,$A33,'Balancete MLN_WebPosto'!$B:$B,$B$2),
  "0"
)</f>
        <v>0</v>
      </c>
      <c r="T33" s="4" t="str">
        <f>IF(Balancete_Oficial[[#Headers],[Novembro]]='Balancete MLN_WebPosto'!$G$2,
SUMIFS('Balancete MLN_WebPosto'!$I:$I,'Balancete MLN_WebPosto'!$C:$C,$A33,'Balancete MLN_WebPosto'!$B:$B,$B$2),
  "0"
)</f>
        <v>0</v>
      </c>
      <c r="U33" s="4" t="str">
        <f>IF(Balancete_Oficial[[#Headers],[Dezembro]]='Balancete MLN_WebPosto'!$G$2,
SUMIFS('Balancete MLN_WebPosto'!$I:$I,'Balancete MLN_WebPosto'!$C:$C,$A33,'Balancete MLN_WebPosto'!$B:$B,$B$2),
  "0"
)</f>
        <v>0</v>
      </c>
    </row>
    <row r="34" spans="1:21" s="2" customFormat="1" x14ac:dyDescent="0.25">
      <c r="A34" s="2" t="str">
        <f>IF(Dados!H31="","",Dados!H31)</f>
        <v/>
      </c>
      <c r="B34" s="2" t="e">
        <f>VLOOKUP(Balancete_Oficial[[#This Row],[Conta]],'Balancete MLN_WebPosto'!C:E,3,0)</f>
        <v>#N/A</v>
      </c>
      <c r="C34" s="3" t="str">
        <f t="shared" si="3"/>
        <v>Sintética</v>
      </c>
      <c r="D34" s="6" t="str">
        <f t="shared" si="4"/>
        <v>R</v>
      </c>
      <c r="E34" s="6" t="str">
        <f t="shared" si="5"/>
        <v/>
      </c>
      <c r="F34" s="6"/>
      <c r="G34" s="6"/>
      <c r="H34" s="6"/>
      <c r="I34" s="6"/>
      <c r="J34" s="4" t="str">
        <f>IF(Balancete_Oficial[[#Headers],[Janeiro]]='Balancete MLN_WebPosto'!$G$2,
SUMIFS('Balancete MLN_WebPosto'!$J:$J,'Balancete MLN_WebPosto'!$C:$C,$A34,'Balancete MLN_WebPosto'!$B:$B,$B$2),
  "0"
)</f>
        <v>0</v>
      </c>
      <c r="K34" s="4" t="str">
        <f>IF(Balancete_Oficial[[#Headers],[Fevereiro]]='Balancete MLN_WebPosto'!$G$2,
SUMIFS('Balancete MLN_WebPosto'!$J:$J,'Balancete MLN_WebPosto'!$C:$C,$A34,'Balancete MLN_WebPosto'!$B:$B,$B$2),
  "0"
)</f>
        <v>0</v>
      </c>
      <c r="L34" s="4" t="str">
        <f>IF(Balancete_Oficial[[#Headers],[Março]]='Balancete MLN_WebPosto'!$G$2,
SUMIFS('Balancete MLN_WebPosto'!$J:$J,'Balancete MLN_WebPosto'!$C:$C,$A34,'Balancete MLN_WebPosto'!$B:$B,$B$2),
  "0"
)</f>
        <v>0</v>
      </c>
      <c r="M34" s="4" t="str">
        <f>IF(Balancete_Oficial[[#Headers],[Abril]]='Balancete MLN_WebPosto'!$G$2,
SUMIFS('Balancete MLN_WebPosto'!$J:$J,'Balancete MLN_WebPosto'!$C:$C,$A34,'Balancete MLN_WebPosto'!$B:$B,$B$2),
  "0"
)</f>
        <v>0</v>
      </c>
      <c r="N34" s="4" t="str">
        <f>IF(Balancete_Oficial[[#Headers],[Maio]]='Balancete MLN_WebPosto'!$G$2,
SUMIFS('Balancete MLN_WebPosto'!$I:$I,'Balancete MLN_WebPosto'!$C:$C,$A34,'Balancete MLN_WebPosto'!$B:$B,$B$2),
  "0"
)</f>
        <v>0</v>
      </c>
      <c r="O34" s="4" t="str">
        <f>IF(Balancete_Oficial[[#Headers],[Junho]]='Balancete MLN_WebPosto'!$G$2,
SUMIFS('Balancete MLN_WebPosto'!$I:$I,'Balancete MLN_WebPosto'!$C:$C,$A34,'Balancete MLN_WebPosto'!$B:$B,$B$2),
  "0"
)</f>
        <v>0</v>
      </c>
      <c r="P34" s="4" t="str">
        <f>IF(Balancete_Oficial[[#Headers],[Julho]]='Balancete MLN_WebPosto'!$G$2,
SUMIFS('Balancete MLN_WebPosto'!$I:$I,'Balancete MLN_WebPosto'!$C:$C,$A34,'Balancete MLN_WebPosto'!$B:$B,$B$2),
  "0"
)</f>
        <v>0</v>
      </c>
      <c r="Q34" s="4" t="str">
        <f>IF(Balancete_Oficial[[#Headers],[Agosto]]='Balancete MLN_WebPosto'!$G$2,
SUMIFS('Balancete MLN_WebPosto'!$I:$I,'Balancete MLN_WebPosto'!$C:$C,$A34,'Balancete MLN_WebPosto'!$B:$B,$B$2),
  "0"
)</f>
        <v>0</v>
      </c>
      <c r="R34" s="4">
        <f>IF(Balancete_Oficial[[#Headers],[Setembro]]='Balancete MLN_WebPosto'!$G$2,
SUMIFS('Balancete MLN_WebPosto'!$I:$I,'Balancete MLN_WebPosto'!$C:$C,$A34,'Balancete MLN_WebPosto'!$B:$B,$B$2),
  "0"
)</f>
        <v>0</v>
      </c>
      <c r="S34" s="4" t="str">
        <f>IF(Balancete_Oficial[[#Headers],[Outubro]]='Balancete MLN_WebPosto'!$G$2,
SUMIFS('Balancete MLN_WebPosto'!$I:$I,'Balancete MLN_WebPosto'!$C:$C,$A34,'Balancete MLN_WebPosto'!$B:$B,$B$2),
  "0"
)</f>
        <v>0</v>
      </c>
      <c r="T34" s="4" t="str">
        <f>IF(Balancete_Oficial[[#Headers],[Novembro]]='Balancete MLN_WebPosto'!$G$2,
SUMIFS('Balancete MLN_WebPosto'!$I:$I,'Balancete MLN_WebPosto'!$C:$C,$A34,'Balancete MLN_WebPosto'!$B:$B,$B$2),
  "0"
)</f>
        <v>0</v>
      </c>
      <c r="U34" s="4" t="str">
        <f>IF(Balancete_Oficial[[#Headers],[Dezembro]]='Balancete MLN_WebPosto'!$G$2,
SUMIFS('Balancete MLN_WebPosto'!$I:$I,'Balancete MLN_WebPosto'!$C:$C,$A34,'Balancete MLN_WebPosto'!$B:$B,$B$2),
  "0"
)</f>
        <v>0</v>
      </c>
    </row>
    <row r="35" spans="1:21" s="2" customFormat="1" x14ac:dyDescent="0.25">
      <c r="A35" s="2" t="str">
        <f>IF(Dados!H32="","",Dados!H32)</f>
        <v/>
      </c>
      <c r="B35" s="2" t="e">
        <f>VLOOKUP(Balancete_Oficial[[#This Row],[Conta]],'Balancete MLN_WebPosto'!C:E,3,0)</f>
        <v>#N/A</v>
      </c>
      <c r="C35" s="3" t="str">
        <f t="shared" si="3"/>
        <v>Sintética</v>
      </c>
      <c r="D35" s="6" t="str">
        <f t="shared" si="4"/>
        <v>R</v>
      </c>
      <c r="E35" s="6" t="str">
        <f t="shared" si="5"/>
        <v/>
      </c>
      <c r="F35" s="6"/>
      <c r="G35" s="6"/>
      <c r="H35" s="6"/>
      <c r="I35" s="6"/>
      <c r="J35" s="4" t="str">
        <f>IF(Balancete_Oficial[[#Headers],[Janeiro]]='Balancete MLN_WebPosto'!$G$2,
SUMIFS('Balancete MLN_WebPosto'!$J:$J,'Balancete MLN_WebPosto'!$C:$C,$A35,'Balancete MLN_WebPosto'!$B:$B,$B$2),
  "0"
)</f>
        <v>0</v>
      </c>
      <c r="K35" s="4" t="str">
        <f>IF(Balancete_Oficial[[#Headers],[Fevereiro]]='Balancete MLN_WebPosto'!$G$2,
SUMIFS('Balancete MLN_WebPosto'!$J:$J,'Balancete MLN_WebPosto'!$C:$C,$A35,'Balancete MLN_WebPosto'!$B:$B,$B$2),
  "0"
)</f>
        <v>0</v>
      </c>
      <c r="L35" s="4" t="str">
        <f>IF(Balancete_Oficial[[#Headers],[Março]]='Balancete MLN_WebPosto'!$G$2,
SUMIFS('Balancete MLN_WebPosto'!$J:$J,'Balancete MLN_WebPosto'!$C:$C,$A35,'Balancete MLN_WebPosto'!$B:$B,$B$2),
  "0"
)</f>
        <v>0</v>
      </c>
      <c r="M35" s="4" t="str">
        <f>IF(Balancete_Oficial[[#Headers],[Abril]]='Balancete MLN_WebPosto'!$G$2,
SUMIFS('Balancete MLN_WebPosto'!$J:$J,'Balancete MLN_WebPosto'!$C:$C,$A35,'Balancete MLN_WebPosto'!$B:$B,$B$2),
  "0"
)</f>
        <v>0</v>
      </c>
      <c r="N35" s="4" t="str">
        <f>IF(Balancete_Oficial[[#Headers],[Maio]]='Balancete MLN_WebPosto'!$G$2,
SUMIFS('Balancete MLN_WebPosto'!$I:$I,'Balancete MLN_WebPosto'!$C:$C,$A35,'Balancete MLN_WebPosto'!$B:$B,$B$2),
  "0"
)</f>
        <v>0</v>
      </c>
      <c r="O35" s="4" t="str">
        <f>IF(Balancete_Oficial[[#Headers],[Junho]]='Balancete MLN_WebPosto'!$G$2,
SUMIFS('Balancete MLN_WebPosto'!$I:$I,'Balancete MLN_WebPosto'!$C:$C,$A35,'Balancete MLN_WebPosto'!$B:$B,$B$2),
  "0"
)</f>
        <v>0</v>
      </c>
      <c r="P35" s="4" t="str">
        <f>IF(Balancete_Oficial[[#Headers],[Julho]]='Balancete MLN_WebPosto'!$G$2,
SUMIFS('Balancete MLN_WebPosto'!$I:$I,'Balancete MLN_WebPosto'!$C:$C,$A35,'Balancete MLN_WebPosto'!$B:$B,$B$2),
  "0"
)</f>
        <v>0</v>
      </c>
      <c r="Q35" s="4" t="str">
        <f>IF(Balancete_Oficial[[#Headers],[Agosto]]='Balancete MLN_WebPosto'!$G$2,
SUMIFS('Balancete MLN_WebPosto'!$I:$I,'Balancete MLN_WebPosto'!$C:$C,$A35,'Balancete MLN_WebPosto'!$B:$B,$B$2),
  "0"
)</f>
        <v>0</v>
      </c>
      <c r="R35" s="4">
        <f>IF(Balancete_Oficial[[#Headers],[Setembro]]='Balancete MLN_WebPosto'!$G$2,
SUMIFS('Balancete MLN_WebPosto'!$I:$I,'Balancete MLN_WebPosto'!$C:$C,$A35,'Balancete MLN_WebPosto'!$B:$B,$B$2),
  "0"
)</f>
        <v>0</v>
      </c>
      <c r="S35" s="4" t="str">
        <f>IF(Balancete_Oficial[[#Headers],[Outubro]]='Balancete MLN_WebPosto'!$G$2,
SUMIFS('Balancete MLN_WebPosto'!$I:$I,'Balancete MLN_WebPosto'!$C:$C,$A35,'Balancete MLN_WebPosto'!$B:$B,$B$2),
  "0"
)</f>
        <v>0</v>
      </c>
      <c r="T35" s="4" t="str">
        <f>IF(Balancete_Oficial[[#Headers],[Novembro]]='Balancete MLN_WebPosto'!$G$2,
SUMIFS('Balancete MLN_WebPosto'!$I:$I,'Balancete MLN_WebPosto'!$C:$C,$A35,'Balancete MLN_WebPosto'!$B:$B,$B$2),
  "0"
)</f>
        <v>0</v>
      </c>
      <c r="U35" s="4" t="str">
        <f>IF(Balancete_Oficial[[#Headers],[Dezembro]]='Balancete MLN_WebPosto'!$G$2,
SUMIFS('Balancete MLN_WebPosto'!$I:$I,'Balancete MLN_WebPosto'!$C:$C,$A35,'Balancete MLN_WebPosto'!$B:$B,$B$2),
  "0"
)</f>
        <v>0</v>
      </c>
    </row>
    <row r="36" spans="1:21" s="2" customFormat="1" x14ac:dyDescent="0.25">
      <c r="A36" s="2" t="str">
        <f>IF(Dados!H33="","",Dados!H33)</f>
        <v/>
      </c>
      <c r="B36" s="2" t="e">
        <f>VLOOKUP(Balancete_Oficial[[#This Row],[Conta]],'Balancete MLN_WebPosto'!C:E,3,0)</f>
        <v>#N/A</v>
      </c>
      <c r="C36" s="3" t="str">
        <f t="shared" si="3"/>
        <v>Sintética</v>
      </c>
      <c r="D36" s="6" t="str">
        <f t="shared" si="4"/>
        <v>R</v>
      </c>
      <c r="E36" s="6" t="str">
        <f t="shared" si="5"/>
        <v/>
      </c>
      <c r="F36" s="6"/>
      <c r="G36" s="6"/>
      <c r="H36" s="6"/>
      <c r="I36" s="6"/>
      <c r="J36" s="4" t="str">
        <f>IF(Balancete_Oficial[[#Headers],[Janeiro]]='Balancete MLN_WebPosto'!$G$2,
SUMIFS('Balancete MLN_WebPosto'!$J:$J,'Balancete MLN_WebPosto'!$C:$C,$A36,'Balancete MLN_WebPosto'!$B:$B,$B$2),
  "0"
)</f>
        <v>0</v>
      </c>
      <c r="K36" s="4" t="str">
        <f>IF(Balancete_Oficial[[#Headers],[Fevereiro]]='Balancete MLN_WebPosto'!$G$2,
SUMIFS('Balancete MLN_WebPosto'!$J:$J,'Balancete MLN_WebPosto'!$C:$C,$A36,'Balancete MLN_WebPosto'!$B:$B,$B$2),
  "0"
)</f>
        <v>0</v>
      </c>
      <c r="L36" s="4" t="str">
        <f>IF(Balancete_Oficial[[#Headers],[Março]]='Balancete MLN_WebPosto'!$G$2,
SUMIFS('Balancete MLN_WebPosto'!$J:$J,'Balancete MLN_WebPosto'!$C:$C,$A36,'Balancete MLN_WebPosto'!$B:$B,$B$2),
  "0"
)</f>
        <v>0</v>
      </c>
      <c r="M36" s="4" t="str">
        <f>IF(Balancete_Oficial[[#Headers],[Abril]]='Balancete MLN_WebPosto'!$G$2,
SUMIFS('Balancete MLN_WebPosto'!$J:$J,'Balancete MLN_WebPosto'!$C:$C,$A36,'Balancete MLN_WebPosto'!$B:$B,$B$2),
  "0"
)</f>
        <v>0</v>
      </c>
      <c r="N36" s="4" t="str">
        <f>IF(Balancete_Oficial[[#Headers],[Maio]]='Balancete MLN_WebPosto'!$G$2,
SUMIFS('Balancete MLN_WebPosto'!$I:$I,'Balancete MLN_WebPosto'!$C:$C,$A36,'Balancete MLN_WebPosto'!$B:$B,$B$2),
  "0"
)</f>
        <v>0</v>
      </c>
      <c r="O36" s="4" t="str">
        <f>IF(Balancete_Oficial[[#Headers],[Junho]]='Balancete MLN_WebPosto'!$G$2,
SUMIFS('Balancete MLN_WebPosto'!$I:$I,'Balancete MLN_WebPosto'!$C:$C,$A36,'Balancete MLN_WebPosto'!$B:$B,$B$2),
  "0"
)</f>
        <v>0</v>
      </c>
      <c r="P36" s="4" t="str">
        <f>IF(Balancete_Oficial[[#Headers],[Julho]]='Balancete MLN_WebPosto'!$G$2,
SUMIFS('Balancete MLN_WebPosto'!$I:$I,'Balancete MLN_WebPosto'!$C:$C,$A36,'Balancete MLN_WebPosto'!$B:$B,$B$2),
  "0"
)</f>
        <v>0</v>
      </c>
      <c r="Q36" s="4" t="str">
        <f>IF(Balancete_Oficial[[#Headers],[Agosto]]='Balancete MLN_WebPosto'!$G$2,
SUMIFS('Balancete MLN_WebPosto'!$I:$I,'Balancete MLN_WebPosto'!$C:$C,$A36,'Balancete MLN_WebPosto'!$B:$B,$B$2),
  "0"
)</f>
        <v>0</v>
      </c>
      <c r="R36" s="4">
        <f>IF(Balancete_Oficial[[#Headers],[Setembro]]='Balancete MLN_WebPosto'!$G$2,
SUMIFS('Balancete MLN_WebPosto'!$I:$I,'Balancete MLN_WebPosto'!$C:$C,$A36,'Balancete MLN_WebPosto'!$B:$B,$B$2),
  "0"
)</f>
        <v>0</v>
      </c>
      <c r="S36" s="4" t="str">
        <f>IF(Balancete_Oficial[[#Headers],[Outubro]]='Balancete MLN_WebPosto'!$G$2,
SUMIFS('Balancete MLN_WebPosto'!$I:$I,'Balancete MLN_WebPosto'!$C:$C,$A36,'Balancete MLN_WebPosto'!$B:$B,$B$2),
  "0"
)</f>
        <v>0</v>
      </c>
      <c r="T36" s="4" t="str">
        <f>IF(Balancete_Oficial[[#Headers],[Novembro]]='Balancete MLN_WebPosto'!$G$2,
SUMIFS('Balancete MLN_WebPosto'!$I:$I,'Balancete MLN_WebPosto'!$C:$C,$A36,'Balancete MLN_WebPosto'!$B:$B,$B$2),
  "0"
)</f>
        <v>0</v>
      </c>
      <c r="U36" s="4" t="str">
        <f>IF(Balancete_Oficial[[#Headers],[Dezembro]]='Balancete MLN_WebPosto'!$G$2,
SUMIFS('Balancete MLN_WebPosto'!$I:$I,'Balancete MLN_WebPosto'!$C:$C,$A36,'Balancete MLN_WebPosto'!$B:$B,$B$2),
  "0"
)</f>
        <v>0</v>
      </c>
    </row>
    <row r="37" spans="1:21" s="2" customFormat="1" x14ac:dyDescent="0.25">
      <c r="A37" s="2" t="str">
        <f>IF(Dados!H34="","",Dados!H34)</f>
        <v/>
      </c>
      <c r="B37" s="2" t="e">
        <f>VLOOKUP(Balancete_Oficial[[#This Row],[Conta]],'Balancete MLN_WebPosto'!C:E,3,0)</f>
        <v>#N/A</v>
      </c>
      <c r="C37" s="3" t="str">
        <f t="shared" si="3"/>
        <v>Sintética</v>
      </c>
      <c r="D37" s="6" t="str">
        <f t="shared" si="4"/>
        <v>R</v>
      </c>
      <c r="E37" s="6" t="str">
        <f t="shared" si="5"/>
        <v/>
      </c>
      <c r="F37" s="6"/>
      <c r="G37" s="6"/>
      <c r="H37" s="6"/>
      <c r="I37" s="6"/>
      <c r="J37" s="4" t="str">
        <f>IF(Balancete_Oficial[[#Headers],[Janeiro]]='Balancete MLN_WebPosto'!$G$2,
SUMIFS('Balancete MLN_WebPosto'!$J:$J,'Balancete MLN_WebPosto'!$C:$C,$A37,'Balancete MLN_WebPosto'!$B:$B,$B$2),
  "0"
)</f>
        <v>0</v>
      </c>
      <c r="K37" s="4" t="str">
        <f>IF(Balancete_Oficial[[#Headers],[Fevereiro]]='Balancete MLN_WebPosto'!$G$2,
SUMIFS('Balancete MLN_WebPosto'!$J:$J,'Balancete MLN_WebPosto'!$C:$C,$A37,'Balancete MLN_WebPosto'!$B:$B,$B$2),
  "0"
)</f>
        <v>0</v>
      </c>
      <c r="L37" s="4" t="str">
        <f>IF(Balancete_Oficial[[#Headers],[Março]]='Balancete MLN_WebPosto'!$G$2,
SUMIFS('Balancete MLN_WebPosto'!$J:$J,'Balancete MLN_WebPosto'!$C:$C,$A37,'Balancete MLN_WebPosto'!$B:$B,$B$2),
  "0"
)</f>
        <v>0</v>
      </c>
      <c r="M37" s="4" t="str">
        <f>IF(Balancete_Oficial[[#Headers],[Abril]]='Balancete MLN_WebPosto'!$G$2,
SUMIFS('Balancete MLN_WebPosto'!$J:$J,'Balancete MLN_WebPosto'!$C:$C,$A37,'Balancete MLN_WebPosto'!$B:$B,$B$2),
  "0"
)</f>
        <v>0</v>
      </c>
      <c r="N37" s="4" t="str">
        <f>IF(Balancete_Oficial[[#Headers],[Maio]]='Balancete MLN_WebPosto'!$G$2,
SUMIFS('Balancete MLN_WebPosto'!$I:$I,'Balancete MLN_WebPosto'!$C:$C,$A37,'Balancete MLN_WebPosto'!$B:$B,$B$2),
  "0"
)</f>
        <v>0</v>
      </c>
      <c r="O37" s="4" t="str">
        <f>IF(Balancete_Oficial[[#Headers],[Junho]]='Balancete MLN_WebPosto'!$G$2,
SUMIFS('Balancete MLN_WebPosto'!$I:$I,'Balancete MLN_WebPosto'!$C:$C,$A37,'Balancete MLN_WebPosto'!$B:$B,$B$2),
  "0"
)</f>
        <v>0</v>
      </c>
      <c r="P37" s="4" t="str">
        <f>IF(Balancete_Oficial[[#Headers],[Julho]]='Balancete MLN_WebPosto'!$G$2,
SUMIFS('Balancete MLN_WebPosto'!$I:$I,'Balancete MLN_WebPosto'!$C:$C,$A37,'Balancete MLN_WebPosto'!$B:$B,$B$2),
  "0"
)</f>
        <v>0</v>
      </c>
      <c r="Q37" s="4" t="str">
        <f>IF(Balancete_Oficial[[#Headers],[Agosto]]='Balancete MLN_WebPosto'!$G$2,
SUMIFS('Balancete MLN_WebPosto'!$I:$I,'Balancete MLN_WebPosto'!$C:$C,$A37,'Balancete MLN_WebPosto'!$B:$B,$B$2),
  "0"
)</f>
        <v>0</v>
      </c>
      <c r="R37" s="4">
        <f>IF(Balancete_Oficial[[#Headers],[Setembro]]='Balancete MLN_WebPosto'!$G$2,
SUMIFS('Balancete MLN_WebPosto'!$I:$I,'Balancete MLN_WebPosto'!$C:$C,$A37,'Balancete MLN_WebPosto'!$B:$B,$B$2),
  "0"
)</f>
        <v>0</v>
      </c>
      <c r="S37" s="4" t="str">
        <f>IF(Balancete_Oficial[[#Headers],[Outubro]]='Balancete MLN_WebPosto'!$G$2,
SUMIFS('Balancete MLN_WebPosto'!$I:$I,'Balancete MLN_WebPosto'!$C:$C,$A37,'Balancete MLN_WebPosto'!$B:$B,$B$2),
  "0"
)</f>
        <v>0</v>
      </c>
      <c r="T37" s="4" t="str">
        <f>IF(Balancete_Oficial[[#Headers],[Novembro]]='Balancete MLN_WebPosto'!$G$2,
SUMIFS('Balancete MLN_WebPosto'!$I:$I,'Balancete MLN_WebPosto'!$C:$C,$A37,'Balancete MLN_WebPosto'!$B:$B,$B$2),
  "0"
)</f>
        <v>0</v>
      </c>
      <c r="U37" s="4" t="str">
        <f>IF(Balancete_Oficial[[#Headers],[Dezembro]]='Balancete MLN_WebPosto'!$G$2,
SUMIFS('Balancete MLN_WebPosto'!$I:$I,'Balancete MLN_WebPosto'!$C:$C,$A37,'Balancete MLN_WebPosto'!$B:$B,$B$2),
  "0"
)</f>
        <v>0</v>
      </c>
    </row>
    <row r="38" spans="1:21" s="2" customFormat="1" x14ac:dyDescent="0.25">
      <c r="A38" s="2" t="str">
        <f>IF(Dados!H35="","",Dados!H35)</f>
        <v/>
      </c>
      <c r="B38" s="2" t="e">
        <f>VLOOKUP(Balancete_Oficial[[#This Row],[Conta]],'Balancete MLN_WebPosto'!C:E,3,0)</f>
        <v>#N/A</v>
      </c>
      <c r="C38" s="3" t="str">
        <f t="shared" si="3"/>
        <v>Sintética</v>
      </c>
      <c r="D38" s="6" t="str">
        <f t="shared" si="4"/>
        <v>R</v>
      </c>
      <c r="E38" s="6" t="str">
        <f t="shared" si="5"/>
        <v/>
      </c>
      <c r="F38" s="6"/>
      <c r="G38" s="6"/>
      <c r="H38" s="6"/>
      <c r="I38" s="6"/>
      <c r="J38" s="4" t="str">
        <f>IF(Balancete_Oficial[[#Headers],[Janeiro]]='Balancete MLN_WebPosto'!$G$2,
SUMIFS('Balancete MLN_WebPosto'!$J:$J,'Balancete MLN_WebPosto'!$C:$C,$A38,'Balancete MLN_WebPosto'!$B:$B,$B$2),
  "0"
)</f>
        <v>0</v>
      </c>
      <c r="K38" s="4" t="str">
        <f>IF(Balancete_Oficial[[#Headers],[Fevereiro]]='Balancete MLN_WebPosto'!$G$2,
SUMIFS('Balancete MLN_WebPosto'!$J:$J,'Balancete MLN_WebPosto'!$C:$C,$A38,'Balancete MLN_WebPosto'!$B:$B,$B$2),
  "0"
)</f>
        <v>0</v>
      </c>
      <c r="L38" s="4" t="str">
        <f>IF(Balancete_Oficial[[#Headers],[Março]]='Balancete MLN_WebPosto'!$G$2,
SUMIFS('Balancete MLN_WebPosto'!$J:$J,'Balancete MLN_WebPosto'!$C:$C,$A38,'Balancete MLN_WebPosto'!$B:$B,$B$2),
  "0"
)</f>
        <v>0</v>
      </c>
      <c r="M38" s="4" t="str">
        <f>IF(Balancete_Oficial[[#Headers],[Abril]]='Balancete MLN_WebPosto'!$G$2,
SUMIFS('Balancete MLN_WebPosto'!$J:$J,'Balancete MLN_WebPosto'!$C:$C,$A38,'Balancete MLN_WebPosto'!$B:$B,$B$2),
  "0"
)</f>
        <v>0</v>
      </c>
      <c r="N38" s="4" t="str">
        <f>IF(Balancete_Oficial[[#Headers],[Maio]]='Balancete MLN_WebPosto'!$G$2,
SUMIFS('Balancete MLN_WebPosto'!$I:$I,'Balancete MLN_WebPosto'!$C:$C,$A38,'Balancete MLN_WebPosto'!$B:$B,$B$2),
  "0"
)</f>
        <v>0</v>
      </c>
      <c r="O38" s="4" t="str">
        <f>IF(Balancete_Oficial[[#Headers],[Junho]]='Balancete MLN_WebPosto'!$G$2,
SUMIFS('Balancete MLN_WebPosto'!$I:$I,'Balancete MLN_WebPosto'!$C:$C,$A38,'Balancete MLN_WebPosto'!$B:$B,$B$2),
  "0"
)</f>
        <v>0</v>
      </c>
      <c r="P38" s="4" t="str">
        <f>IF(Balancete_Oficial[[#Headers],[Julho]]='Balancete MLN_WebPosto'!$G$2,
SUMIFS('Balancete MLN_WebPosto'!$I:$I,'Balancete MLN_WebPosto'!$C:$C,$A38,'Balancete MLN_WebPosto'!$B:$B,$B$2),
  "0"
)</f>
        <v>0</v>
      </c>
      <c r="Q38" s="4" t="str">
        <f>IF(Balancete_Oficial[[#Headers],[Agosto]]='Balancete MLN_WebPosto'!$G$2,
SUMIFS('Balancete MLN_WebPosto'!$I:$I,'Balancete MLN_WebPosto'!$C:$C,$A38,'Balancete MLN_WebPosto'!$B:$B,$B$2),
  "0"
)</f>
        <v>0</v>
      </c>
      <c r="R38" s="4">
        <f>IF(Balancete_Oficial[[#Headers],[Setembro]]='Balancete MLN_WebPosto'!$G$2,
SUMIFS('Balancete MLN_WebPosto'!$I:$I,'Balancete MLN_WebPosto'!$C:$C,$A38,'Balancete MLN_WebPosto'!$B:$B,$B$2),
  "0"
)</f>
        <v>0</v>
      </c>
      <c r="S38" s="4" t="str">
        <f>IF(Balancete_Oficial[[#Headers],[Outubro]]='Balancete MLN_WebPosto'!$G$2,
SUMIFS('Balancete MLN_WebPosto'!$I:$I,'Balancete MLN_WebPosto'!$C:$C,$A38,'Balancete MLN_WebPosto'!$B:$B,$B$2),
  "0"
)</f>
        <v>0</v>
      </c>
      <c r="T38" s="4" t="str">
        <f>IF(Balancete_Oficial[[#Headers],[Novembro]]='Balancete MLN_WebPosto'!$G$2,
SUMIFS('Balancete MLN_WebPosto'!$I:$I,'Balancete MLN_WebPosto'!$C:$C,$A38,'Balancete MLN_WebPosto'!$B:$B,$B$2),
  "0"
)</f>
        <v>0</v>
      </c>
      <c r="U38" s="4" t="str">
        <f>IF(Balancete_Oficial[[#Headers],[Dezembro]]='Balancete MLN_WebPosto'!$G$2,
SUMIFS('Balancete MLN_WebPosto'!$I:$I,'Balancete MLN_WebPosto'!$C:$C,$A38,'Balancete MLN_WebPosto'!$B:$B,$B$2),
  "0"
)</f>
        <v>0</v>
      </c>
    </row>
    <row r="39" spans="1:21" s="2" customFormat="1" x14ac:dyDescent="0.25">
      <c r="A39" s="2" t="str">
        <f>IF(Dados!H36="","",Dados!H36)</f>
        <v/>
      </c>
      <c r="B39" s="2" t="e">
        <f>VLOOKUP(Balancete_Oficial[[#This Row],[Conta]],'Balancete MLN_WebPosto'!C:E,3,0)</f>
        <v>#N/A</v>
      </c>
      <c r="C39" s="3" t="str">
        <f t="shared" si="3"/>
        <v>Sintética</v>
      </c>
      <c r="D39" s="6" t="str">
        <f t="shared" si="4"/>
        <v>R</v>
      </c>
      <c r="E39" s="6" t="str">
        <f t="shared" si="5"/>
        <v/>
      </c>
      <c r="F39" s="6"/>
      <c r="G39" s="6"/>
      <c r="H39" s="6"/>
      <c r="I39" s="6"/>
      <c r="J39" s="4" t="str">
        <f>IF(Balancete_Oficial[[#Headers],[Janeiro]]='Balancete MLN_WebPosto'!$G$2,
SUMIFS('Balancete MLN_WebPosto'!$J:$J,'Balancete MLN_WebPosto'!$C:$C,$A39,'Balancete MLN_WebPosto'!$B:$B,$B$2),
  "0"
)</f>
        <v>0</v>
      </c>
      <c r="K39" s="4" t="str">
        <f>IF(Balancete_Oficial[[#Headers],[Fevereiro]]='Balancete MLN_WebPosto'!$G$2,
SUMIFS('Balancete MLN_WebPosto'!$J:$J,'Balancete MLN_WebPosto'!$C:$C,$A39,'Balancete MLN_WebPosto'!$B:$B,$B$2),
  "0"
)</f>
        <v>0</v>
      </c>
      <c r="L39" s="4" t="str">
        <f>IF(Balancete_Oficial[[#Headers],[Março]]='Balancete MLN_WebPosto'!$G$2,
SUMIFS('Balancete MLN_WebPosto'!$J:$J,'Balancete MLN_WebPosto'!$C:$C,$A39,'Balancete MLN_WebPosto'!$B:$B,$B$2),
  "0"
)</f>
        <v>0</v>
      </c>
      <c r="M39" s="4" t="str">
        <f>IF(Balancete_Oficial[[#Headers],[Abril]]='Balancete MLN_WebPosto'!$G$2,
SUMIFS('Balancete MLN_WebPosto'!$J:$J,'Balancete MLN_WebPosto'!$C:$C,$A39,'Balancete MLN_WebPosto'!$B:$B,$B$2),
  "0"
)</f>
        <v>0</v>
      </c>
      <c r="N39" s="4" t="str">
        <f>IF(Balancete_Oficial[[#Headers],[Maio]]='Balancete MLN_WebPosto'!$G$2,
SUMIFS('Balancete MLN_WebPosto'!$I:$I,'Balancete MLN_WebPosto'!$C:$C,$A39,'Balancete MLN_WebPosto'!$B:$B,$B$2),
  "0"
)</f>
        <v>0</v>
      </c>
      <c r="O39" s="4" t="str">
        <f>IF(Balancete_Oficial[[#Headers],[Junho]]='Balancete MLN_WebPosto'!$G$2,
SUMIFS('Balancete MLN_WebPosto'!$I:$I,'Balancete MLN_WebPosto'!$C:$C,$A39,'Balancete MLN_WebPosto'!$B:$B,$B$2),
  "0"
)</f>
        <v>0</v>
      </c>
      <c r="P39" s="4" t="str">
        <f>IF(Balancete_Oficial[[#Headers],[Julho]]='Balancete MLN_WebPosto'!$G$2,
SUMIFS('Balancete MLN_WebPosto'!$I:$I,'Balancete MLN_WebPosto'!$C:$C,$A39,'Balancete MLN_WebPosto'!$B:$B,$B$2),
  "0"
)</f>
        <v>0</v>
      </c>
      <c r="Q39" s="4" t="str">
        <f>IF(Balancete_Oficial[[#Headers],[Agosto]]='Balancete MLN_WebPosto'!$G$2,
SUMIFS('Balancete MLN_WebPosto'!$I:$I,'Balancete MLN_WebPosto'!$C:$C,$A39,'Balancete MLN_WebPosto'!$B:$B,$B$2),
  "0"
)</f>
        <v>0</v>
      </c>
      <c r="R39" s="4">
        <f>IF(Balancete_Oficial[[#Headers],[Setembro]]='Balancete MLN_WebPosto'!$G$2,
SUMIFS('Balancete MLN_WebPosto'!$I:$I,'Balancete MLN_WebPosto'!$C:$C,$A39,'Balancete MLN_WebPosto'!$B:$B,$B$2),
  "0"
)</f>
        <v>0</v>
      </c>
      <c r="S39" s="4" t="str">
        <f>IF(Balancete_Oficial[[#Headers],[Outubro]]='Balancete MLN_WebPosto'!$G$2,
SUMIFS('Balancete MLN_WebPosto'!$I:$I,'Balancete MLN_WebPosto'!$C:$C,$A39,'Balancete MLN_WebPosto'!$B:$B,$B$2),
  "0"
)</f>
        <v>0</v>
      </c>
      <c r="T39" s="4" t="str">
        <f>IF(Balancete_Oficial[[#Headers],[Novembro]]='Balancete MLN_WebPosto'!$G$2,
SUMIFS('Balancete MLN_WebPosto'!$I:$I,'Balancete MLN_WebPosto'!$C:$C,$A39,'Balancete MLN_WebPosto'!$B:$B,$B$2),
  "0"
)</f>
        <v>0</v>
      </c>
      <c r="U39" s="4" t="str">
        <f>IF(Balancete_Oficial[[#Headers],[Dezembro]]='Balancete MLN_WebPosto'!$G$2,
SUMIFS('Balancete MLN_WebPosto'!$I:$I,'Balancete MLN_WebPosto'!$C:$C,$A39,'Balancete MLN_WebPosto'!$B:$B,$B$2),
  "0"
)</f>
        <v>0</v>
      </c>
    </row>
    <row r="40" spans="1:21" s="2" customFormat="1" x14ac:dyDescent="0.25">
      <c r="A40" s="2" t="str">
        <f>IF(Dados!H37="","",Dados!H37)</f>
        <v/>
      </c>
      <c r="B40" s="2" t="e">
        <f>VLOOKUP(Balancete_Oficial[[#This Row],[Conta]],'Balancete MLN_WebPosto'!C:E,3,0)</f>
        <v>#N/A</v>
      </c>
      <c r="C40" s="3" t="str">
        <f t="shared" si="3"/>
        <v>Sintética</v>
      </c>
      <c r="D40" s="6" t="str">
        <f t="shared" si="4"/>
        <v>R</v>
      </c>
      <c r="E40" s="6" t="str">
        <f t="shared" si="5"/>
        <v/>
      </c>
      <c r="F40" s="6"/>
      <c r="G40" s="6"/>
      <c r="H40" s="6"/>
      <c r="I40" s="6"/>
      <c r="J40" s="4" t="str">
        <f>IF(Balancete_Oficial[[#Headers],[Janeiro]]='Balancete MLN_WebPosto'!$G$2,
SUMIFS('Balancete MLN_WebPosto'!$J:$J,'Balancete MLN_WebPosto'!$C:$C,$A40,'Balancete MLN_WebPosto'!$B:$B,$B$2),
  "0"
)</f>
        <v>0</v>
      </c>
      <c r="K40" s="4" t="str">
        <f>IF(Balancete_Oficial[[#Headers],[Fevereiro]]='Balancete MLN_WebPosto'!$G$2,
SUMIFS('Balancete MLN_WebPosto'!$J:$J,'Balancete MLN_WebPosto'!$C:$C,$A40,'Balancete MLN_WebPosto'!$B:$B,$B$2),
  "0"
)</f>
        <v>0</v>
      </c>
      <c r="L40" s="4" t="str">
        <f>IF(Balancete_Oficial[[#Headers],[Março]]='Balancete MLN_WebPosto'!$G$2,
SUMIFS('Balancete MLN_WebPosto'!$J:$J,'Balancete MLN_WebPosto'!$C:$C,$A40,'Balancete MLN_WebPosto'!$B:$B,$B$2),
  "0"
)</f>
        <v>0</v>
      </c>
      <c r="M40" s="4" t="str">
        <f>IF(Balancete_Oficial[[#Headers],[Abril]]='Balancete MLN_WebPosto'!$G$2,
SUMIFS('Balancete MLN_WebPosto'!$J:$J,'Balancete MLN_WebPosto'!$C:$C,$A40,'Balancete MLN_WebPosto'!$B:$B,$B$2),
  "0"
)</f>
        <v>0</v>
      </c>
      <c r="N40" s="4" t="str">
        <f>IF(Balancete_Oficial[[#Headers],[Maio]]='Balancete MLN_WebPosto'!$G$2,
SUMIFS('Balancete MLN_WebPosto'!$I:$I,'Balancete MLN_WebPosto'!$C:$C,$A40,'Balancete MLN_WebPosto'!$B:$B,$B$2),
  "0"
)</f>
        <v>0</v>
      </c>
      <c r="O40" s="4" t="str">
        <f>IF(Balancete_Oficial[[#Headers],[Junho]]='Balancete MLN_WebPosto'!$G$2,
SUMIFS('Balancete MLN_WebPosto'!$I:$I,'Balancete MLN_WebPosto'!$C:$C,$A40,'Balancete MLN_WebPosto'!$B:$B,$B$2),
  "0"
)</f>
        <v>0</v>
      </c>
      <c r="P40" s="4" t="str">
        <f>IF(Balancete_Oficial[[#Headers],[Julho]]='Balancete MLN_WebPosto'!$G$2,
SUMIFS('Balancete MLN_WebPosto'!$I:$I,'Balancete MLN_WebPosto'!$C:$C,$A40,'Balancete MLN_WebPosto'!$B:$B,$B$2),
  "0"
)</f>
        <v>0</v>
      </c>
      <c r="Q40" s="4" t="str">
        <f>IF(Balancete_Oficial[[#Headers],[Agosto]]='Balancete MLN_WebPosto'!$G$2,
SUMIFS('Balancete MLN_WebPosto'!$I:$I,'Balancete MLN_WebPosto'!$C:$C,$A40,'Balancete MLN_WebPosto'!$B:$B,$B$2),
  "0"
)</f>
        <v>0</v>
      </c>
      <c r="R40" s="4">
        <f>IF(Balancete_Oficial[[#Headers],[Setembro]]='Balancete MLN_WebPosto'!$G$2,
SUMIFS('Balancete MLN_WebPosto'!$I:$I,'Balancete MLN_WebPosto'!$C:$C,$A40,'Balancete MLN_WebPosto'!$B:$B,$B$2),
  "0"
)</f>
        <v>0</v>
      </c>
      <c r="S40" s="4" t="str">
        <f>IF(Balancete_Oficial[[#Headers],[Outubro]]='Balancete MLN_WebPosto'!$G$2,
SUMIFS('Balancete MLN_WebPosto'!$I:$I,'Balancete MLN_WebPosto'!$C:$C,$A40,'Balancete MLN_WebPosto'!$B:$B,$B$2),
  "0"
)</f>
        <v>0</v>
      </c>
      <c r="T40" s="4" t="str">
        <f>IF(Balancete_Oficial[[#Headers],[Novembro]]='Balancete MLN_WebPosto'!$G$2,
SUMIFS('Balancete MLN_WebPosto'!$I:$I,'Balancete MLN_WebPosto'!$C:$C,$A40,'Balancete MLN_WebPosto'!$B:$B,$B$2),
  "0"
)</f>
        <v>0</v>
      </c>
      <c r="U40" s="4" t="str">
        <f>IF(Balancete_Oficial[[#Headers],[Dezembro]]='Balancete MLN_WebPosto'!$G$2,
SUMIFS('Balancete MLN_WebPosto'!$I:$I,'Balancete MLN_WebPosto'!$C:$C,$A40,'Balancete MLN_WebPosto'!$B:$B,$B$2),
  "0"
)</f>
        <v>0</v>
      </c>
    </row>
    <row r="41" spans="1:21" s="2" customFormat="1" x14ac:dyDescent="0.25">
      <c r="A41" s="2" t="str">
        <f>IF(Dados!H38="","",Dados!H38)</f>
        <v/>
      </c>
      <c r="B41" s="2" t="e">
        <f>VLOOKUP(Balancete_Oficial[[#This Row],[Conta]],'Balancete MLN_WebPosto'!C:E,3,0)</f>
        <v>#N/A</v>
      </c>
      <c r="C41" s="3" t="str">
        <f t="shared" si="3"/>
        <v>Sintética</v>
      </c>
      <c r="D41" s="6" t="str">
        <f t="shared" si="4"/>
        <v>R</v>
      </c>
      <c r="E41" s="6" t="str">
        <f t="shared" si="5"/>
        <v/>
      </c>
      <c r="F41" s="6"/>
      <c r="G41" s="6"/>
      <c r="H41" s="6"/>
      <c r="I41" s="6"/>
      <c r="J41" s="4" t="str">
        <f>IF(Balancete_Oficial[[#Headers],[Janeiro]]='Balancete MLN_WebPosto'!$G$2,
SUMIFS('Balancete MLN_WebPosto'!$J:$J,'Balancete MLN_WebPosto'!$C:$C,$A41,'Balancete MLN_WebPosto'!$B:$B,$B$2),
  "0"
)</f>
        <v>0</v>
      </c>
      <c r="K41" s="4" t="str">
        <f>IF(Balancete_Oficial[[#Headers],[Fevereiro]]='Balancete MLN_WebPosto'!$G$2,
SUMIFS('Balancete MLN_WebPosto'!$J:$J,'Balancete MLN_WebPosto'!$C:$C,$A41,'Balancete MLN_WebPosto'!$B:$B,$B$2),
  "0"
)</f>
        <v>0</v>
      </c>
      <c r="L41" s="4" t="str">
        <f>IF(Balancete_Oficial[[#Headers],[Março]]='Balancete MLN_WebPosto'!$G$2,
SUMIFS('Balancete MLN_WebPosto'!$J:$J,'Balancete MLN_WebPosto'!$C:$C,$A41,'Balancete MLN_WebPosto'!$B:$B,$B$2),
  "0"
)</f>
        <v>0</v>
      </c>
      <c r="M41" s="4" t="str">
        <f>IF(Balancete_Oficial[[#Headers],[Abril]]='Balancete MLN_WebPosto'!$G$2,
SUMIFS('Balancete MLN_WebPosto'!$J:$J,'Balancete MLN_WebPosto'!$C:$C,$A41,'Balancete MLN_WebPosto'!$B:$B,$B$2),
  "0"
)</f>
        <v>0</v>
      </c>
      <c r="N41" s="4" t="str">
        <f>IF(Balancete_Oficial[[#Headers],[Maio]]='Balancete MLN_WebPosto'!$G$2,
SUMIFS('Balancete MLN_WebPosto'!$I:$I,'Balancete MLN_WebPosto'!$C:$C,$A41,'Balancete MLN_WebPosto'!$B:$B,$B$2),
  "0"
)</f>
        <v>0</v>
      </c>
      <c r="O41" s="4" t="str">
        <f>IF(Balancete_Oficial[[#Headers],[Junho]]='Balancete MLN_WebPosto'!$G$2,
SUMIFS('Balancete MLN_WebPosto'!$I:$I,'Balancete MLN_WebPosto'!$C:$C,$A41,'Balancete MLN_WebPosto'!$B:$B,$B$2),
  "0"
)</f>
        <v>0</v>
      </c>
      <c r="P41" s="4" t="str">
        <f>IF(Balancete_Oficial[[#Headers],[Julho]]='Balancete MLN_WebPosto'!$G$2,
SUMIFS('Balancete MLN_WebPosto'!$I:$I,'Balancete MLN_WebPosto'!$C:$C,$A41,'Balancete MLN_WebPosto'!$B:$B,$B$2),
  "0"
)</f>
        <v>0</v>
      </c>
      <c r="Q41" s="4" t="str">
        <f>IF(Balancete_Oficial[[#Headers],[Agosto]]='Balancete MLN_WebPosto'!$G$2,
SUMIFS('Balancete MLN_WebPosto'!$I:$I,'Balancete MLN_WebPosto'!$C:$C,$A41,'Balancete MLN_WebPosto'!$B:$B,$B$2),
  "0"
)</f>
        <v>0</v>
      </c>
      <c r="R41" s="4">
        <f>IF(Balancete_Oficial[[#Headers],[Setembro]]='Balancete MLN_WebPosto'!$G$2,
SUMIFS('Balancete MLN_WebPosto'!$I:$I,'Balancete MLN_WebPosto'!$C:$C,$A41,'Balancete MLN_WebPosto'!$B:$B,$B$2),
  "0"
)</f>
        <v>0</v>
      </c>
      <c r="S41" s="4" t="str">
        <f>IF(Balancete_Oficial[[#Headers],[Outubro]]='Balancete MLN_WebPosto'!$G$2,
SUMIFS('Balancete MLN_WebPosto'!$I:$I,'Balancete MLN_WebPosto'!$C:$C,$A41,'Balancete MLN_WebPosto'!$B:$B,$B$2),
  "0"
)</f>
        <v>0</v>
      </c>
      <c r="T41" s="4" t="str">
        <f>IF(Balancete_Oficial[[#Headers],[Novembro]]='Balancete MLN_WebPosto'!$G$2,
SUMIFS('Balancete MLN_WebPosto'!$I:$I,'Balancete MLN_WebPosto'!$C:$C,$A41,'Balancete MLN_WebPosto'!$B:$B,$B$2),
  "0"
)</f>
        <v>0</v>
      </c>
      <c r="U41" s="4" t="str">
        <f>IF(Balancete_Oficial[[#Headers],[Dezembro]]='Balancete MLN_WebPosto'!$G$2,
SUMIFS('Balancete MLN_WebPosto'!$I:$I,'Balancete MLN_WebPosto'!$C:$C,$A41,'Balancete MLN_WebPosto'!$B:$B,$B$2),
  "0"
)</f>
        <v>0</v>
      </c>
    </row>
    <row r="42" spans="1:21" s="2" customFormat="1" x14ac:dyDescent="0.25">
      <c r="A42" s="2" t="str">
        <f>IF(Dados!H39="","",Dados!H39)</f>
        <v/>
      </c>
      <c r="B42" s="2" t="e">
        <f>VLOOKUP(Balancete_Oficial[[#This Row],[Conta]],'Balancete MLN_WebPosto'!C:E,3,0)</f>
        <v>#N/A</v>
      </c>
      <c r="C42" s="3" t="str">
        <f t="shared" si="3"/>
        <v>Sintética</v>
      </c>
      <c r="D42" s="6" t="str">
        <f t="shared" si="4"/>
        <v>R</v>
      </c>
      <c r="E42" s="6" t="str">
        <f t="shared" si="5"/>
        <v/>
      </c>
      <c r="F42" s="6"/>
      <c r="G42" s="6"/>
      <c r="H42" s="6"/>
      <c r="I42" s="6"/>
      <c r="J42" s="4" t="str">
        <f>IF(Balancete_Oficial[[#Headers],[Janeiro]]='Balancete MLN_WebPosto'!$G$2,
SUMIFS('Balancete MLN_WebPosto'!$J:$J,'Balancete MLN_WebPosto'!$C:$C,$A42,'Balancete MLN_WebPosto'!$B:$B,$B$2),
  "0"
)</f>
        <v>0</v>
      </c>
      <c r="K42" s="4" t="str">
        <f>IF(Balancete_Oficial[[#Headers],[Fevereiro]]='Balancete MLN_WebPosto'!$G$2,
SUMIFS('Balancete MLN_WebPosto'!$J:$J,'Balancete MLN_WebPosto'!$C:$C,$A42,'Balancete MLN_WebPosto'!$B:$B,$B$2),
  "0"
)</f>
        <v>0</v>
      </c>
      <c r="L42" s="4" t="str">
        <f>IF(Balancete_Oficial[[#Headers],[Março]]='Balancete MLN_WebPosto'!$G$2,
SUMIFS('Balancete MLN_WebPosto'!$J:$J,'Balancete MLN_WebPosto'!$C:$C,$A42,'Balancete MLN_WebPosto'!$B:$B,$B$2),
  "0"
)</f>
        <v>0</v>
      </c>
      <c r="M42" s="4" t="str">
        <f>IF(Balancete_Oficial[[#Headers],[Abril]]='Balancete MLN_WebPosto'!$G$2,
SUMIFS('Balancete MLN_WebPosto'!$J:$J,'Balancete MLN_WebPosto'!$C:$C,$A42,'Balancete MLN_WebPosto'!$B:$B,$B$2),
  "0"
)</f>
        <v>0</v>
      </c>
      <c r="N42" s="4" t="str">
        <f>IF(Balancete_Oficial[[#Headers],[Maio]]='Balancete MLN_WebPosto'!$G$2,
SUMIFS('Balancete MLN_WebPosto'!$I:$I,'Balancete MLN_WebPosto'!$C:$C,$A42,'Balancete MLN_WebPosto'!$B:$B,$B$2),
  "0"
)</f>
        <v>0</v>
      </c>
      <c r="O42" s="4" t="str">
        <f>IF(Balancete_Oficial[[#Headers],[Junho]]='Balancete MLN_WebPosto'!$G$2,
SUMIFS('Balancete MLN_WebPosto'!$I:$I,'Balancete MLN_WebPosto'!$C:$C,$A42,'Balancete MLN_WebPosto'!$B:$B,$B$2),
  "0"
)</f>
        <v>0</v>
      </c>
      <c r="P42" s="4" t="str">
        <f>IF(Balancete_Oficial[[#Headers],[Julho]]='Balancete MLN_WebPosto'!$G$2,
SUMIFS('Balancete MLN_WebPosto'!$I:$I,'Balancete MLN_WebPosto'!$C:$C,$A42,'Balancete MLN_WebPosto'!$B:$B,$B$2),
  "0"
)</f>
        <v>0</v>
      </c>
      <c r="Q42" s="4" t="str">
        <f>IF(Balancete_Oficial[[#Headers],[Agosto]]='Balancete MLN_WebPosto'!$G$2,
SUMIFS('Balancete MLN_WebPosto'!$I:$I,'Balancete MLN_WebPosto'!$C:$C,$A42,'Balancete MLN_WebPosto'!$B:$B,$B$2),
  "0"
)</f>
        <v>0</v>
      </c>
      <c r="R42" s="4">
        <f>IF(Balancete_Oficial[[#Headers],[Setembro]]='Balancete MLN_WebPosto'!$G$2,
SUMIFS('Balancete MLN_WebPosto'!$I:$I,'Balancete MLN_WebPosto'!$C:$C,$A42,'Balancete MLN_WebPosto'!$B:$B,$B$2),
  "0"
)</f>
        <v>0</v>
      </c>
      <c r="S42" s="4" t="str">
        <f>IF(Balancete_Oficial[[#Headers],[Outubro]]='Balancete MLN_WebPosto'!$G$2,
SUMIFS('Balancete MLN_WebPosto'!$I:$I,'Balancete MLN_WebPosto'!$C:$C,$A42,'Balancete MLN_WebPosto'!$B:$B,$B$2),
  "0"
)</f>
        <v>0</v>
      </c>
      <c r="T42" s="4" t="str">
        <f>IF(Balancete_Oficial[[#Headers],[Novembro]]='Balancete MLN_WebPosto'!$G$2,
SUMIFS('Balancete MLN_WebPosto'!$I:$I,'Balancete MLN_WebPosto'!$C:$C,$A42,'Balancete MLN_WebPosto'!$B:$B,$B$2),
  "0"
)</f>
        <v>0</v>
      </c>
      <c r="U42" s="4" t="str">
        <f>IF(Balancete_Oficial[[#Headers],[Dezembro]]='Balancete MLN_WebPosto'!$G$2,
SUMIFS('Balancete MLN_WebPosto'!$I:$I,'Balancete MLN_WebPosto'!$C:$C,$A42,'Balancete MLN_WebPosto'!$B:$B,$B$2),
  "0"
)</f>
        <v>0</v>
      </c>
    </row>
    <row r="43" spans="1:21" s="2" customFormat="1" x14ac:dyDescent="0.25">
      <c r="A43" s="2" t="str">
        <f>IF(Dados!H40="","",Dados!H40)</f>
        <v/>
      </c>
      <c r="B43" s="2" t="e">
        <f>VLOOKUP(Balancete_Oficial[[#This Row],[Conta]],'Balancete MLN_WebPosto'!C:E,3,0)</f>
        <v>#N/A</v>
      </c>
      <c r="C43" s="3" t="str">
        <f t="shared" si="3"/>
        <v>Sintética</v>
      </c>
      <c r="D43" s="6" t="str">
        <f t="shared" si="4"/>
        <v>R</v>
      </c>
      <c r="E43" s="6" t="str">
        <f t="shared" si="5"/>
        <v/>
      </c>
      <c r="F43" s="6"/>
      <c r="G43" s="6"/>
      <c r="H43" s="6"/>
      <c r="I43" s="6"/>
      <c r="J43" s="4" t="str">
        <f>IF(Balancete_Oficial[[#Headers],[Janeiro]]='Balancete MLN_WebPosto'!$G$2,
SUMIFS('Balancete MLN_WebPosto'!$J:$J,'Balancete MLN_WebPosto'!$C:$C,$A43,'Balancete MLN_WebPosto'!$B:$B,$B$2),
  "0"
)</f>
        <v>0</v>
      </c>
      <c r="K43" s="4" t="str">
        <f>IF(Balancete_Oficial[[#Headers],[Fevereiro]]='Balancete MLN_WebPosto'!$G$2,
SUMIFS('Balancete MLN_WebPosto'!$J:$J,'Balancete MLN_WebPosto'!$C:$C,$A43,'Balancete MLN_WebPosto'!$B:$B,$B$2),
  "0"
)</f>
        <v>0</v>
      </c>
      <c r="L43" s="4" t="str">
        <f>IF(Balancete_Oficial[[#Headers],[Março]]='Balancete MLN_WebPosto'!$G$2,
SUMIFS('Balancete MLN_WebPosto'!$J:$J,'Balancete MLN_WebPosto'!$C:$C,$A43,'Balancete MLN_WebPosto'!$B:$B,$B$2),
  "0"
)</f>
        <v>0</v>
      </c>
      <c r="M43" s="4" t="str">
        <f>IF(Balancete_Oficial[[#Headers],[Abril]]='Balancete MLN_WebPosto'!$G$2,
SUMIFS('Balancete MLN_WebPosto'!$J:$J,'Balancete MLN_WebPosto'!$C:$C,$A43,'Balancete MLN_WebPosto'!$B:$B,$B$2),
  "0"
)</f>
        <v>0</v>
      </c>
      <c r="N43" s="4" t="str">
        <f>IF(Balancete_Oficial[[#Headers],[Maio]]='Balancete MLN_WebPosto'!$G$2,
SUMIFS('Balancete MLN_WebPosto'!$I:$I,'Balancete MLN_WebPosto'!$C:$C,$A43,'Balancete MLN_WebPosto'!$B:$B,$B$2),
  "0"
)</f>
        <v>0</v>
      </c>
      <c r="O43" s="4" t="str">
        <f>IF(Balancete_Oficial[[#Headers],[Junho]]='Balancete MLN_WebPosto'!$G$2,
SUMIFS('Balancete MLN_WebPosto'!$I:$I,'Balancete MLN_WebPosto'!$C:$C,$A43,'Balancete MLN_WebPosto'!$B:$B,$B$2),
  "0"
)</f>
        <v>0</v>
      </c>
      <c r="P43" s="4" t="str">
        <f>IF(Balancete_Oficial[[#Headers],[Julho]]='Balancete MLN_WebPosto'!$G$2,
SUMIFS('Balancete MLN_WebPosto'!$I:$I,'Balancete MLN_WebPosto'!$C:$C,$A43,'Balancete MLN_WebPosto'!$B:$B,$B$2),
  "0"
)</f>
        <v>0</v>
      </c>
      <c r="Q43" s="4" t="str">
        <f>IF(Balancete_Oficial[[#Headers],[Agosto]]='Balancete MLN_WebPosto'!$G$2,
SUMIFS('Balancete MLN_WebPosto'!$I:$I,'Balancete MLN_WebPosto'!$C:$C,$A43,'Balancete MLN_WebPosto'!$B:$B,$B$2),
  "0"
)</f>
        <v>0</v>
      </c>
      <c r="R43" s="4">
        <f>IF(Balancete_Oficial[[#Headers],[Setembro]]='Balancete MLN_WebPosto'!$G$2,
SUMIFS('Balancete MLN_WebPosto'!$I:$I,'Balancete MLN_WebPosto'!$C:$C,$A43,'Balancete MLN_WebPosto'!$B:$B,$B$2),
  "0"
)</f>
        <v>0</v>
      </c>
      <c r="S43" s="4" t="str">
        <f>IF(Balancete_Oficial[[#Headers],[Outubro]]='Balancete MLN_WebPosto'!$G$2,
SUMIFS('Balancete MLN_WebPosto'!$I:$I,'Balancete MLN_WebPosto'!$C:$C,$A43,'Balancete MLN_WebPosto'!$B:$B,$B$2),
  "0"
)</f>
        <v>0</v>
      </c>
      <c r="T43" s="4" t="str">
        <f>IF(Balancete_Oficial[[#Headers],[Novembro]]='Balancete MLN_WebPosto'!$G$2,
SUMIFS('Balancete MLN_WebPosto'!$I:$I,'Balancete MLN_WebPosto'!$C:$C,$A43,'Balancete MLN_WebPosto'!$B:$B,$B$2),
  "0"
)</f>
        <v>0</v>
      </c>
      <c r="U43" s="4" t="str">
        <f>IF(Balancete_Oficial[[#Headers],[Dezembro]]='Balancete MLN_WebPosto'!$G$2,
SUMIFS('Balancete MLN_WebPosto'!$I:$I,'Balancete MLN_WebPosto'!$C:$C,$A43,'Balancete MLN_WebPosto'!$B:$B,$B$2),
  "0"
)</f>
        <v>0</v>
      </c>
    </row>
    <row r="44" spans="1:21" s="2" customFormat="1" x14ac:dyDescent="0.25">
      <c r="A44" s="2" t="str">
        <f>IF(Dados!H41="","",Dados!H41)</f>
        <v/>
      </c>
      <c r="B44" s="2" t="e">
        <f>VLOOKUP(Balancete_Oficial[[#This Row],[Conta]],'Balancete MLN_WebPosto'!C:E,3,0)</f>
        <v>#N/A</v>
      </c>
      <c r="C44" s="3" t="str">
        <f t="shared" si="3"/>
        <v>Sintética</v>
      </c>
      <c r="D44" s="6" t="str">
        <f t="shared" si="4"/>
        <v>R</v>
      </c>
      <c r="E44" s="6" t="str">
        <f t="shared" si="5"/>
        <v/>
      </c>
      <c r="F44" s="6"/>
      <c r="G44" s="6"/>
      <c r="H44" s="6"/>
      <c r="I44" s="6"/>
      <c r="J44" s="4" t="str">
        <f>IF(Balancete_Oficial[[#Headers],[Janeiro]]='Balancete MLN_WebPosto'!$G$2,
SUMIFS('Balancete MLN_WebPosto'!$J:$J,'Balancete MLN_WebPosto'!$C:$C,$A44,'Balancete MLN_WebPosto'!$B:$B,$B$2),
  "0"
)</f>
        <v>0</v>
      </c>
      <c r="K44" s="4" t="str">
        <f>IF(Balancete_Oficial[[#Headers],[Fevereiro]]='Balancete MLN_WebPosto'!$G$2,
SUMIFS('Balancete MLN_WebPosto'!$J:$J,'Balancete MLN_WebPosto'!$C:$C,$A44,'Balancete MLN_WebPosto'!$B:$B,$B$2),
  "0"
)</f>
        <v>0</v>
      </c>
      <c r="L44" s="4" t="str">
        <f>IF(Balancete_Oficial[[#Headers],[Março]]='Balancete MLN_WebPosto'!$G$2,
SUMIFS('Balancete MLN_WebPosto'!$J:$J,'Balancete MLN_WebPosto'!$C:$C,$A44,'Balancete MLN_WebPosto'!$B:$B,$B$2),
  "0"
)</f>
        <v>0</v>
      </c>
      <c r="M44" s="4" t="str">
        <f>IF(Balancete_Oficial[[#Headers],[Abril]]='Balancete MLN_WebPosto'!$G$2,
SUMIFS('Balancete MLN_WebPosto'!$J:$J,'Balancete MLN_WebPosto'!$C:$C,$A44,'Balancete MLN_WebPosto'!$B:$B,$B$2),
  "0"
)</f>
        <v>0</v>
      </c>
      <c r="N44" s="4" t="str">
        <f>IF(Balancete_Oficial[[#Headers],[Maio]]='Balancete MLN_WebPosto'!$G$2,
SUMIFS('Balancete MLN_WebPosto'!$I:$I,'Balancete MLN_WebPosto'!$C:$C,$A44,'Balancete MLN_WebPosto'!$B:$B,$B$2),
  "0"
)</f>
        <v>0</v>
      </c>
      <c r="O44" s="4" t="str">
        <f>IF(Balancete_Oficial[[#Headers],[Junho]]='Balancete MLN_WebPosto'!$G$2,
SUMIFS('Balancete MLN_WebPosto'!$I:$I,'Balancete MLN_WebPosto'!$C:$C,$A44,'Balancete MLN_WebPosto'!$B:$B,$B$2),
  "0"
)</f>
        <v>0</v>
      </c>
      <c r="P44" s="4" t="str">
        <f>IF(Balancete_Oficial[[#Headers],[Julho]]='Balancete MLN_WebPosto'!$G$2,
SUMIFS('Balancete MLN_WebPosto'!$I:$I,'Balancete MLN_WebPosto'!$C:$C,$A44,'Balancete MLN_WebPosto'!$B:$B,$B$2),
  "0"
)</f>
        <v>0</v>
      </c>
      <c r="Q44" s="4" t="str">
        <f>IF(Balancete_Oficial[[#Headers],[Agosto]]='Balancete MLN_WebPosto'!$G$2,
SUMIFS('Balancete MLN_WebPosto'!$I:$I,'Balancete MLN_WebPosto'!$C:$C,$A44,'Balancete MLN_WebPosto'!$B:$B,$B$2),
  "0"
)</f>
        <v>0</v>
      </c>
      <c r="R44" s="4">
        <f>IF(Balancete_Oficial[[#Headers],[Setembro]]='Balancete MLN_WebPosto'!$G$2,
SUMIFS('Balancete MLN_WebPosto'!$I:$I,'Balancete MLN_WebPosto'!$C:$C,$A44,'Balancete MLN_WebPosto'!$B:$B,$B$2),
  "0"
)</f>
        <v>0</v>
      </c>
      <c r="S44" s="4" t="str">
        <f>IF(Balancete_Oficial[[#Headers],[Outubro]]='Balancete MLN_WebPosto'!$G$2,
SUMIFS('Balancete MLN_WebPosto'!$I:$I,'Balancete MLN_WebPosto'!$C:$C,$A44,'Balancete MLN_WebPosto'!$B:$B,$B$2),
  "0"
)</f>
        <v>0</v>
      </c>
      <c r="T44" s="4" t="str">
        <f>IF(Balancete_Oficial[[#Headers],[Novembro]]='Balancete MLN_WebPosto'!$G$2,
SUMIFS('Balancete MLN_WebPosto'!$I:$I,'Balancete MLN_WebPosto'!$C:$C,$A44,'Balancete MLN_WebPosto'!$B:$B,$B$2),
  "0"
)</f>
        <v>0</v>
      </c>
      <c r="U44" s="4" t="str">
        <f>IF(Balancete_Oficial[[#Headers],[Dezembro]]='Balancete MLN_WebPosto'!$G$2,
SUMIFS('Balancete MLN_WebPosto'!$I:$I,'Balancete MLN_WebPosto'!$C:$C,$A44,'Balancete MLN_WebPosto'!$B:$B,$B$2),
  "0"
)</f>
        <v>0</v>
      </c>
    </row>
    <row r="45" spans="1:21" s="2" customFormat="1" x14ac:dyDescent="0.25">
      <c r="A45" s="2" t="str">
        <f>IF(Dados!H42="","",Dados!H42)</f>
        <v/>
      </c>
      <c r="B45" s="2" t="e">
        <f>VLOOKUP(Balancete_Oficial[[#This Row],[Conta]],'Balancete MLN_WebPosto'!C:E,3,0)</f>
        <v>#N/A</v>
      </c>
      <c r="C45" s="3" t="str">
        <f t="shared" si="3"/>
        <v>Sintética</v>
      </c>
      <c r="D45" s="6" t="str">
        <f t="shared" si="4"/>
        <v>R</v>
      </c>
      <c r="E45" s="6" t="str">
        <f t="shared" si="5"/>
        <v/>
      </c>
      <c r="F45" s="6"/>
      <c r="G45" s="6"/>
      <c r="H45" s="6"/>
      <c r="I45" s="6"/>
      <c r="J45" s="4" t="str">
        <f>IF(Balancete_Oficial[[#Headers],[Janeiro]]='Balancete MLN_WebPosto'!$G$2,
SUMIFS('Balancete MLN_WebPosto'!$J:$J,'Balancete MLN_WebPosto'!$C:$C,$A45,'Balancete MLN_WebPosto'!$B:$B,$B$2),
  "0"
)</f>
        <v>0</v>
      </c>
      <c r="K45" s="4" t="str">
        <f>IF(Balancete_Oficial[[#Headers],[Fevereiro]]='Balancete MLN_WebPosto'!$G$2,
SUMIFS('Balancete MLN_WebPosto'!$J:$J,'Balancete MLN_WebPosto'!$C:$C,$A45,'Balancete MLN_WebPosto'!$B:$B,$B$2),
  "0"
)</f>
        <v>0</v>
      </c>
      <c r="L45" s="4" t="str">
        <f>IF(Balancete_Oficial[[#Headers],[Março]]='Balancete MLN_WebPosto'!$G$2,
SUMIFS('Balancete MLN_WebPosto'!$J:$J,'Balancete MLN_WebPosto'!$C:$C,$A45,'Balancete MLN_WebPosto'!$B:$B,$B$2),
  "0"
)</f>
        <v>0</v>
      </c>
      <c r="M45" s="4" t="str">
        <f>IF(Balancete_Oficial[[#Headers],[Abril]]='Balancete MLN_WebPosto'!$G$2,
SUMIFS('Balancete MLN_WebPosto'!$J:$J,'Balancete MLN_WebPosto'!$C:$C,$A45,'Balancete MLN_WebPosto'!$B:$B,$B$2),
  "0"
)</f>
        <v>0</v>
      </c>
      <c r="N45" s="4" t="str">
        <f>IF(Balancete_Oficial[[#Headers],[Maio]]='Balancete MLN_WebPosto'!$G$2,
SUMIFS('Balancete MLN_WebPosto'!$I:$I,'Balancete MLN_WebPosto'!$C:$C,$A45,'Balancete MLN_WebPosto'!$B:$B,$B$2),
  "0"
)</f>
        <v>0</v>
      </c>
      <c r="O45" s="4" t="str">
        <f>IF(Balancete_Oficial[[#Headers],[Junho]]='Balancete MLN_WebPosto'!$G$2,
SUMIFS('Balancete MLN_WebPosto'!$I:$I,'Balancete MLN_WebPosto'!$C:$C,$A45,'Balancete MLN_WebPosto'!$B:$B,$B$2),
  "0"
)</f>
        <v>0</v>
      </c>
      <c r="P45" s="4" t="str">
        <f>IF(Balancete_Oficial[[#Headers],[Julho]]='Balancete MLN_WebPosto'!$G$2,
SUMIFS('Balancete MLN_WebPosto'!$I:$I,'Balancete MLN_WebPosto'!$C:$C,$A45,'Balancete MLN_WebPosto'!$B:$B,$B$2),
  "0"
)</f>
        <v>0</v>
      </c>
      <c r="Q45" s="4" t="str">
        <f>IF(Balancete_Oficial[[#Headers],[Agosto]]='Balancete MLN_WebPosto'!$G$2,
SUMIFS('Balancete MLN_WebPosto'!$I:$I,'Balancete MLN_WebPosto'!$C:$C,$A45,'Balancete MLN_WebPosto'!$B:$B,$B$2),
  "0"
)</f>
        <v>0</v>
      </c>
      <c r="R45" s="4">
        <f>IF(Balancete_Oficial[[#Headers],[Setembro]]='Balancete MLN_WebPosto'!$G$2,
SUMIFS('Balancete MLN_WebPosto'!$I:$I,'Balancete MLN_WebPosto'!$C:$C,$A45,'Balancete MLN_WebPosto'!$B:$B,$B$2),
  "0"
)</f>
        <v>0</v>
      </c>
      <c r="S45" s="4" t="str">
        <f>IF(Balancete_Oficial[[#Headers],[Outubro]]='Balancete MLN_WebPosto'!$G$2,
SUMIFS('Balancete MLN_WebPosto'!$I:$I,'Balancete MLN_WebPosto'!$C:$C,$A45,'Balancete MLN_WebPosto'!$B:$B,$B$2),
  "0"
)</f>
        <v>0</v>
      </c>
      <c r="T45" s="4" t="str">
        <f>IF(Balancete_Oficial[[#Headers],[Novembro]]='Balancete MLN_WebPosto'!$G$2,
SUMIFS('Balancete MLN_WebPosto'!$I:$I,'Balancete MLN_WebPosto'!$C:$C,$A45,'Balancete MLN_WebPosto'!$B:$B,$B$2),
  "0"
)</f>
        <v>0</v>
      </c>
      <c r="U45" s="4" t="str">
        <f>IF(Balancete_Oficial[[#Headers],[Dezembro]]='Balancete MLN_WebPosto'!$G$2,
SUMIFS('Balancete MLN_WebPosto'!$I:$I,'Balancete MLN_WebPosto'!$C:$C,$A45,'Balancete MLN_WebPosto'!$B:$B,$B$2),
  "0"
)</f>
        <v>0</v>
      </c>
    </row>
    <row r="46" spans="1:21" s="2" customFormat="1" x14ac:dyDescent="0.25">
      <c r="A46" s="2" t="str">
        <f>IF(Dados!H43="","",Dados!H43)</f>
        <v/>
      </c>
      <c r="B46" s="2" t="e">
        <f>VLOOKUP(Balancete_Oficial[[#This Row],[Conta]],'Balancete MLN_WebPosto'!C:E,3,0)</f>
        <v>#N/A</v>
      </c>
      <c r="C46" s="3" t="str">
        <f t="shared" si="3"/>
        <v>Sintética</v>
      </c>
      <c r="D46" s="6" t="str">
        <f t="shared" si="4"/>
        <v>R</v>
      </c>
      <c r="E46" s="6" t="str">
        <f t="shared" si="5"/>
        <v/>
      </c>
      <c r="F46" s="6"/>
      <c r="G46" s="6"/>
      <c r="H46" s="6"/>
      <c r="I46" s="6"/>
      <c r="J46" s="4" t="str">
        <f>IF(Balancete_Oficial[[#Headers],[Janeiro]]='Balancete MLN_WebPosto'!$G$2,
SUMIFS('Balancete MLN_WebPosto'!$J:$J,'Balancete MLN_WebPosto'!$C:$C,$A46,'Balancete MLN_WebPosto'!$B:$B,$B$2),
  "0"
)</f>
        <v>0</v>
      </c>
      <c r="K46" s="4" t="str">
        <f>IF(Balancete_Oficial[[#Headers],[Fevereiro]]='Balancete MLN_WebPosto'!$G$2,
SUMIFS('Balancete MLN_WebPosto'!$J:$J,'Balancete MLN_WebPosto'!$C:$C,$A46,'Balancete MLN_WebPosto'!$B:$B,$B$2),
  "0"
)</f>
        <v>0</v>
      </c>
      <c r="L46" s="4" t="str">
        <f>IF(Balancete_Oficial[[#Headers],[Março]]='Balancete MLN_WebPosto'!$G$2,
SUMIFS('Balancete MLN_WebPosto'!$J:$J,'Balancete MLN_WebPosto'!$C:$C,$A46,'Balancete MLN_WebPosto'!$B:$B,$B$2),
  "0"
)</f>
        <v>0</v>
      </c>
      <c r="M46" s="4" t="str">
        <f>IF(Balancete_Oficial[[#Headers],[Abril]]='Balancete MLN_WebPosto'!$G$2,
SUMIFS('Balancete MLN_WebPosto'!$J:$J,'Balancete MLN_WebPosto'!$C:$C,$A46,'Balancete MLN_WebPosto'!$B:$B,$B$2),
  "0"
)</f>
        <v>0</v>
      </c>
      <c r="N46" s="4" t="str">
        <f>IF(Balancete_Oficial[[#Headers],[Maio]]='Balancete MLN_WebPosto'!$G$2,
SUMIFS('Balancete MLN_WebPosto'!$I:$I,'Balancete MLN_WebPosto'!$C:$C,$A46,'Balancete MLN_WebPosto'!$B:$B,$B$2),
  "0"
)</f>
        <v>0</v>
      </c>
      <c r="O46" s="4" t="str">
        <f>IF(Balancete_Oficial[[#Headers],[Junho]]='Balancete MLN_WebPosto'!$G$2,
SUMIFS('Balancete MLN_WebPosto'!$I:$I,'Balancete MLN_WebPosto'!$C:$C,$A46,'Balancete MLN_WebPosto'!$B:$B,$B$2),
  "0"
)</f>
        <v>0</v>
      </c>
      <c r="P46" s="4" t="str">
        <f>IF(Balancete_Oficial[[#Headers],[Julho]]='Balancete MLN_WebPosto'!$G$2,
SUMIFS('Balancete MLN_WebPosto'!$I:$I,'Balancete MLN_WebPosto'!$C:$C,$A46,'Balancete MLN_WebPosto'!$B:$B,$B$2),
  "0"
)</f>
        <v>0</v>
      </c>
      <c r="Q46" s="4" t="str">
        <f>IF(Balancete_Oficial[[#Headers],[Agosto]]='Balancete MLN_WebPosto'!$G$2,
SUMIFS('Balancete MLN_WebPosto'!$I:$I,'Balancete MLN_WebPosto'!$C:$C,$A46,'Balancete MLN_WebPosto'!$B:$B,$B$2),
  "0"
)</f>
        <v>0</v>
      </c>
      <c r="R46" s="4">
        <f>IF(Balancete_Oficial[[#Headers],[Setembro]]='Balancete MLN_WebPosto'!$G$2,
SUMIFS('Balancete MLN_WebPosto'!$I:$I,'Balancete MLN_WebPosto'!$C:$C,$A46,'Balancete MLN_WebPosto'!$B:$B,$B$2),
  "0"
)</f>
        <v>0</v>
      </c>
      <c r="S46" s="4" t="str">
        <f>IF(Balancete_Oficial[[#Headers],[Outubro]]='Balancete MLN_WebPosto'!$G$2,
SUMIFS('Balancete MLN_WebPosto'!$I:$I,'Balancete MLN_WebPosto'!$C:$C,$A46,'Balancete MLN_WebPosto'!$B:$B,$B$2),
  "0"
)</f>
        <v>0</v>
      </c>
      <c r="T46" s="4" t="str">
        <f>IF(Balancete_Oficial[[#Headers],[Novembro]]='Balancete MLN_WebPosto'!$G$2,
SUMIFS('Balancete MLN_WebPosto'!$I:$I,'Balancete MLN_WebPosto'!$C:$C,$A46,'Balancete MLN_WebPosto'!$B:$B,$B$2),
  "0"
)</f>
        <v>0</v>
      </c>
      <c r="U46" s="4" t="str">
        <f>IF(Balancete_Oficial[[#Headers],[Dezembro]]='Balancete MLN_WebPosto'!$G$2,
SUMIFS('Balancete MLN_WebPosto'!$I:$I,'Balancete MLN_WebPosto'!$C:$C,$A46,'Balancete MLN_WebPosto'!$B:$B,$B$2),
  "0"
)</f>
        <v>0</v>
      </c>
    </row>
    <row r="47" spans="1:21" s="2" customFormat="1" x14ac:dyDescent="0.25">
      <c r="A47" s="2" t="str">
        <f>IF(Dados!H44="","",Dados!H44)</f>
        <v/>
      </c>
      <c r="B47" s="2" t="e">
        <f>VLOOKUP(Balancete_Oficial[[#This Row],[Conta]],'Balancete MLN_WebPosto'!C:E,3,0)</f>
        <v>#N/A</v>
      </c>
      <c r="C47" s="3" t="str">
        <f t="shared" si="3"/>
        <v>Sintética</v>
      </c>
      <c r="D47" s="6" t="str">
        <f t="shared" si="4"/>
        <v>R</v>
      </c>
      <c r="E47" s="6" t="str">
        <f t="shared" si="5"/>
        <v/>
      </c>
      <c r="F47" s="6"/>
      <c r="G47" s="6"/>
      <c r="H47" s="6"/>
      <c r="I47" s="6"/>
      <c r="J47" s="4" t="str">
        <f>IF(Balancete_Oficial[[#Headers],[Janeiro]]='Balancete MLN_WebPosto'!$G$2,
SUMIFS('Balancete MLN_WebPosto'!$J:$J,'Balancete MLN_WebPosto'!$C:$C,$A47,'Balancete MLN_WebPosto'!$B:$B,$B$2),
  "0"
)</f>
        <v>0</v>
      </c>
      <c r="K47" s="4" t="str">
        <f>IF(Balancete_Oficial[[#Headers],[Fevereiro]]='Balancete MLN_WebPosto'!$G$2,
SUMIFS('Balancete MLN_WebPosto'!$J:$J,'Balancete MLN_WebPosto'!$C:$C,$A47,'Balancete MLN_WebPosto'!$B:$B,$B$2),
  "0"
)</f>
        <v>0</v>
      </c>
      <c r="L47" s="4" t="str">
        <f>IF(Balancete_Oficial[[#Headers],[Março]]='Balancete MLN_WebPosto'!$G$2,
SUMIFS('Balancete MLN_WebPosto'!$J:$J,'Balancete MLN_WebPosto'!$C:$C,$A47,'Balancete MLN_WebPosto'!$B:$B,$B$2),
  "0"
)</f>
        <v>0</v>
      </c>
      <c r="M47" s="4" t="str">
        <f>IF(Balancete_Oficial[[#Headers],[Abril]]='Balancete MLN_WebPosto'!$G$2,
SUMIFS('Balancete MLN_WebPosto'!$J:$J,'Balancete MLN_WebPosto'!$C:$C,$A47,'Balancete MLN_WebPosto'!$B:$B,$B$2),
  "0"
)</f>
        <v>0</v>
      </c>
      <c r="N47" s="4" t="str">
        <f>IF(Balancete_Oficial[[#Headers],[Maio]]='Balancete MLN_WebPosto'!$G$2,
SUMIFS('Balancete MLN_WebPosto'!$I:$I,'Balancete MLN_WebPosto'!$C:$C,$A47,'Balancete MLN_WebPosto'!$B:$B,$B$2),
  "0"
)</f>
        <v>0</v>
      </c>
      <c r="O47" s="4" t="str">
        <f>IF(Balancete_Oficial[[#Headers],[Junho]]='Balancete MLN_WebPosto'!$G$2,
SUMIFS('Balancete MLN_WebPosto'!$I:$I,'Balancete MLN_WebPosto'!$C:$C,$A47,'Balancete MLN_WebPosto'!$B:$B,$B$2),
  "0"
)</f>
        <v>0</v>
      </c>
      <c r="P47" s="4" t="str">
        <f>IF(Balancete_Oficial[[#Headers],[Julho]]='Balancete MLN_WebPosto'!$G$2,
SUMIFS('Balancete MLN_WebPosto'!$I:$I,'Balancete MLN_WebPosto'!$C:$C,$A47,'Balancete MLN_WebPosto'!$B:$B,$B$2),
  "0"
)</f>
        <v>0</v>
      </c>
      <c r="Q47" s="4" t="str">
        <f>IF(Balancete_Oficial[[#Headers],[Agosto]]='Balancete MLN_WebPosto'!$G$2,
SUMIFS('Balancete MLN_WebPosto'!$I:$I,'Balancete MLN_WebPosto'!$C:$C,$A47,'Balancete MLN_WebPosto'!$B:$B,$B$2),
  "0"
)</f>
        <v>0</v>
      </c>
      <c r="R47" s="4">
        <f>IF(Balancete_Oficial[[#Headers],[Setembro]]='Balancete MLN_WebPosto'!$G$2,
SUMIFS('Balancete MLN_WebPosto'!$I:$I,'Balancete MLN_WebPosto'!$C:$C,$A47,'Balancete MLN_WebPosto'!$B:$B,$B$2),
  "0"
)</f>
        <v>0</v>
      </c>
      <c r="S47" s="4" t="str">
        <f>IF(Balancete_Oficial[[#Headers],[Outubro]]='Balancete MLN_WebPosto'!$G$2,
SUMIFS('Balancete MLN_WebPosto'!$I:$I,'Balancete MLN_WebPosto'!$C:$C,$A47,'Balancete MLN_WebPosto'!$B:$B,$B$2),
  "0"
)</f>
        <v>0</v>
      </c>
      <c r="T47" s="4" t="str">
        <f>IF(Balancete_Oficial[[#Headers],[Novembro]]='Balancete MLN_WebPosto'!$G$2,
SUMIFS('Balancete MLN_WebPosto'!$I:$I,'Balancete MLN_WebPosto'!$C:$C,$A47,'Balancete MLN_WebPosto'!$B:$B,$B$2),
  "0"
)</f>
        <v>0</v>
      </c>
      <c r="U47" s="4" t="str">
        <f>IF(Balancete_Oficial[[#Headers],[Dezembro]]='Balancete MLN_WebPosto'!$G$2,
SUMIFS('Balancete MLN_WebPosto'!$I:$I,'Balancete MLN_WebPosto'!$C:$C,$A47,'Balancete MLN_WebPosto'!$B:$B,$B$2),
  "0"
)</f>
        <v>0</v>
      </c>
    </row>
    <row r="48" spans="1:21" s="2" customFormat="1" x14ac:dyDescent="0.25">
      <c r="A48" s="2" t="str">
        <f>IF(Dados!H45="","",Dados!H45)</f>
        <v/>
      </c>
      <c r="B48" s="2" t="e">
        <f>VLOOKUP(Balancete_Oficial[[#This Row],[Conta]],'Balancete MLN_WebPosto'!C:E,3,0)</f>
        <v>#N/A</v>
      </c>
      <c r="C48" s="3" t="str">
        <f t="shared" si="3"/>
        <v>Sintética</v>
      </c>
      <c r="D48" s="6" t="str">
        <f t="shared" si="4"/>
        <v>R</v>
      </c>
      <c r="E48" s="6" t="str">
        <f t="shared" si="5"/>
        <v/>
      </c>
      <c r="F48" s="6"/>
      <c r="G48" s="6"/>
      <c r="H48" s="6"/>
      <c r="I48" s="6"/>
      <c r="J48" s="4" t="str">
        <f>IF(Balancete_Oficial[[#Headers],[Janeiro]]='Balancete MLN_WebPosto'!$G$2,
SUMIFS('Balancete MLN_WebPosto'!$J:$J,'Balancete MLN_WebPosto'!$C:$C,$A48,'Balancete MLN_WebPosto'!$B:$B,$B$2),
  "0"
)</f>
        <v>0</v>
      </c>
      <c r="K48" s="4" t="str">
        <f>IF(Balancete_Oficial[[#Headers],[Fevereiro]]='Balancete MLN_WebPosto'!$G$2,
SUMIFS('Balancete MLN_WebPosto'!$J:$J,'Balancete MLN_WebPosto'!$C:$C,$A48,'Balancete MLN_WebPosto'!$B:$B,$B$2),
  "0"
)</f>
        <v>0</v>
      </c>
      <c r="L48" s="4" t="str">
        <f>IF(Balancete_Oficial[[#Headers],[Março]]='Balancete MLN_WebPosto'!$G$2,
SUMIFS('Balancete MLN_WebPosto'!$J:$J,'Balancete MLN_WebPosto'!$C:$C,$A48,'Balancete MLN_WebPosto'!$B:$B,$B$2),
  "0"
)</f>
        <v>0</v>
      </c>
      <c r="M48" s="4" t="str">
        <f>IF(Balancete_Oficial[[#Headers],[Abril]]='Balancete MLN_WebPosto'!$G$2,
SUMIFS('Balancete MLN_WebPosto'!$J:$J,'Balancete MLN_WebPosto'!$C:$C,$A48,'Balancete MLN_WebPosto'!$B:$B,$B$2),
  "0"
)</f>
        <v>0</v>
      </c>
      <c r="N48" s="4" t="str">
        <f>IF(Balancete_Oficial[[#Headers],[Maio]]='Balancete MLN_WebPosto'!$G$2,
SUMIFS('Balancete MLN_WebPosto'!$I:$I,'Balancete MLN_WebPosto'!$C:$C,$A48,'Balancete MLN_WebPosto'!$B:$B,$B$2),
  "0"
)</f>
        <v>0</v>
      </c>
      <c r="O48" s="4" t="str">
        <f>IF(Balancete_Oficial[[#Headers],[Junho]]='Balancete MLN_WebPosto'!$G$2,
SUMIFS('Balancete MLN_WebPosto'!$I:$I,'Balancete MLN_WebPosto'!$C:$C,$A48,'Balancete MLN_WebPosto'!$B:$B,$B$2),
  "0"
)</f>
        <v>0</v>
      </c>
      <c r="P48" s="4" t="str">
        <f>IF(Balancete_Oficial[[#Headers],[Julho]]='Balancete MLN_WebPosto'!$G$2,
SUMIFS('Balancete MLN_WebPosto'!$I:$I,'Balancete MLN_WebPosto'!$C:$C,$A48,'Balancete MLN_WebPosto'!$B:$B,$B$2),
  "0"
)</f>
        <v>0</v>
      </c>
      <c r="Q48" s="4" t="str">
        <f>IF(Balancete_Oficial[[#Headers],[Agosto]]='Balancete MLN_WebPosto'!$G$2,
SUMIFS('Balancete MLN_WebPosto'!$I:$I,'Balancete MLN_WebPosto'!$C:$C,$A48,'Balancete MLN_WebPosto'!$B:$B,$B$2),
  "0"
)</f>
        <v>0</v>
      </c>
      <c r="R48" s="4">
        <f>IF(Balancete_Oficial[[#Headers],[Setembro]]='Balancete MLN_WebPosto'!$G$2,
SUMIFS('Balancete MLN_WebPosto'!$I:$I,'Balancete MLN_WebPosto'!$C:$C,$A48,'Balancete MLN_WebPosto'!$B:$B,$B$2),
  "0"
)</f>
        <v>0</v>
      </c>
      <c r="S48" s="4" t="str">
        <f>IF(Balancete_Oficial[[#Headers],[Outubro]]='Balancete MLN_WebPosto'!$G$2,
SUMIFS('Balancete MLN_WebPosto'!$I:$I,'Balancete MLN_WebPosto'!$C:$C,$A48,'Balancete MLN_WebPosto'!$B:$B,$B$2),
  "0"
)</f>
        <v>0</v>
      </c>
      <c r="T48" s="4" t="str">
        <f>IF(Balancete_Oficial[[#Headers],[Novembro]]='Balancete MLN_WebPosto'!$G$2,
SUMIFS('Balancete MLN_WebPosto'!$I:$I,'Balancete MLN_WebPosto'!$C:$C,$A48,'Balancete MLN_WebPosto'!$B:$B,$B$2),
  "0"
)</f>
        <v>0</v>
      </c>
      <c r="U48" s="4" t="str">
        <f>IF(Balancete_Oficial[[#Headers],[Dezembro]]='Balancete MLN_WebPosto'!$G$2,
SUMIFS('Balancete MLN_WebPosto'!$I:$I,'Balancete MLN_WebPosto'!$C:$C,$A48,'Balancete MLN_WebPosto'!$B:$B,$B$2),
  "0"
)</f>
        <v>0</v>
      </c>
    </row>
    <row r="49" spans="1:21" s="2" customFormat="1" x14ac:dyDescent="0.25">
      <c r="A49" s="2" t="str">
        <f>IF(Dados!H46="","",Dados!H46)</f>
        <v/>
      </c>
      <c r="B49" s="2" t="e">
        <f>VLOOKUP(Balancete_Oficial[[#This Row],[Conta]],'Balancete MLN_WebPosto'!C:E,3,0)</f>
        <v>#N/A</v>
      </c>
      <c r="C49" s="3" t="str">
        <f t="shared" si="3"/>
        <v>Sintética</v>
      </c>
      <c r="D49" s="6" t="str">
        <f t="shared" si="4"/>
        <v>R</v>
      </c>
      <c r="E49" s="6" t="str">
        <f t="shared" si="5"/>
        <v/>
      </c>
      <c r="F49" s="6"/>
      <c r="G49" s="6"/>
      <c r="H49" s="6"/>
      <c r="I49" s="6"/>
      <c r="J49" s="4" t="str">
        <f>IF(Balancete_Oficial[[#Headers],[Janeiro]]='Balancete MLN_WebPosto'!$G$2,
SUMIFS('Balancete MLN_WebPosto'!$J:$J,'Balancete MLN_WebPosto'!$C:$C,$A49,'Balancete MLN_WebPosto'!$B:$B,$B$2),
  "0"
)</f>
        <v>0</v>
      </c>
      <c r="K49" s="4" t="str">
        <f>IF(Balancete_Oficial[[#Headers],[Fevereiro]]='Balancete MLN_WebPosto'!$G$2,
SUMIFS('Balancete MLN_WebPosto'!$J:$J,'Balancete MLN_WebPosto'!$C:$C,$A49,'Balancete MLN_WebPosto'!$B:$B,$B$2),
  "0"
)</f>
        <v>0</v>
      </c>
      <c r="L49" s="4" t="str">
        <f>IF(Balancete_Oficial[[#Headers],[Março]]='Balancete MLN_WebPosto'!$G$2,
SUMIFS('Balancete MLN_WebPosto'!$J:$J,'Balancete MLN_WebPosto'!$C:$C,$A49,'Balancete MLN_WebPosto'!$B:$B,$B$2),
  "0"
)</f>
        <v>0</v>
      </c>
      <c r="M49" s="4" t="str">
        <f>IF(Balancete_Oficial[[#Headers],[Abril]]='Balancete MLN_WebPosto'!$G$2,
SUMIFS('Balancete MLN_WebPosto'!$J:$J,'Balancete MLN_WebPosto'!$C:$C,$A49,'Balancete MLN_WebPosto'!$B:$B,$B$2),
  "0"
)</f>
        <v>0</v>
      </c>
      <c r="N49" s="4" t="str">
        <f>IF(Balancete_Oficial[[#Headers],[Maio]]='Balancete MLN_WebPosto'!$G$2,
SUMIFS('Balancete MLN_WebPosto'!$I:$I,'Balancete MLN_WebPosto'!$C:$C,$A49,'Balancete MLN_WebPosto'!$B:$B,$B$2),
  "0"
)</f>
        <v>0</v>
      </c>
      <c r="O49" s="4" t="str">
        <f>IF(Balancete_Oficial[[#Headers],[Junho]]='Balancete MLN_WebPosto'!$G$2,
SUMIFS('Balancete MLN_WebPosto'!$I:$I,'Balancete MLN_WebPosto'!$C:$C,$A49,'Balancete MLN_WebPosto'!$B:$B,$B$2),
  "0"
)</f>
        <v>0</v>
      </c>
      <c r="P49" s="4" t="str">
        <f>IF(Balancete_Oficial[[#Headers],[Julho]]='Balancete MLN_WebPosto'!$G$2,
SUMIFS('Balancete MLN_WebPosto'!$I:$I,'Balancete MLN_WebPosto'!$C:$C,$A49,'Balancete MLN_WebPosto'!$B:$B,$B$2),
  "0"
)</f>
        <v>0</v>
      </c>
      <c r="Q49" s="4" t="str">
        <f>IF(Balancete_Oficial[[#Headers],[Agosto]]='Balancete MLN_WebPosto'!$G$2,
SUMIFS('Balancete MLN_WebPosto'!$I:$I,'Balancete MLN_WebPosto'!$C:$C,$A49,'Balancete MLN_WebPosto'!$B:$B,$B$2),
  "0"
)</f>
        <v>0</v>
      </c>
      <c r="R49" s="4">
        <f>IF(Balancete_Oficial[[#Headers],[Setembro]]='Balancete MLN_WebPosto'!$G$2,
SUMIFS('Balancete MLN_WebPosto'!$I:$I,'Balancete MLN_WebPosto'!$C:$C,$A49,'Balancete MLN_WebPosto'!$B:$B,$B$2),
  "0"
)</f>
        <v>0</v>
      </c>
      <c r="S49" s="4" t="str">
        <f>IF(Balancete_Oficial[[#Headers],[Outubro]]='Balancete MLN_WebPosto'!$G$2,
SUMIFS('Balancete MLN_WebPosto'!$I:$I,'Balancete MLN_WebPosto'!$C:$C,$A49,'Balancete MLN_WebPosto'!$B:$B,$B$2),
  "0"
)</f>
        <v>0</v>
      </c>
      <c r="T49" s="4" t="str">
        <f>IF(Balancete_Oficial[[#Headers],[Novembro]]='Balancete MLN_WebPosto'!$G$2,
SUMIFS('Balancete MLN_WebPosto'!$I:$I,'Balancete MLN_WebPosto'!$C:$C,$A49,'Balancete MLN_WebPosto'!$B:$B,$B$2),
  "0"
)</f>
        <v>0</v>
      </c>
      <c r="U49" s="4" t="str">
        <f>IF(Balancete_Oficial[[#Headers],[Dezembro]]='Balancete MLN_WebPosto'!$G$2,
SUMIFS('Balancete MLN_WebPosto'!$I:$I,'Balancete MLN_WebPosto'!$C:$C,$A49,'Balancete MLN_WebPosto'!$B:$B,$B$2),
  "0"
)</f>
        <v>0</v>
      </c>
    </row>
    <row r="50" spans="1:21" s="2" customFormat="1" x14ac:dyDescent="0.25">
      <c r="A50" s="2" t="str">
        <f>IF(Dados!H47="","",Dados!H47)</f>
        <v/>
      </c>
      <c r="B50" s="2" t="e">
        <f>VLOOKUP(Balancete_Oficial[[#This Row],[Conta]],'Balancete MLN_WebPosto'!C:E,3,0)</f>
        <v>#N/A</v>
      </c>
      <c r="C50" s="3" t="str">
        <f t="shared" si="3"/>
        <v>Sintética</v>
      </c>
      <c r="D50" s="6" t="str">
        <f t="shared" si="4"/>
        <v>R</v>
      </c>
      <c r="E50" s="6" t="str">
        <f t="shared" si="5"/>
        <v/>
      </c>
      <c r="F50" s="6"/>
      <c r="G50" s="6"/>
      <c r="H50" s="6"/>
      <c r="I50" s="6"/>
      <c r="J50" s="4" t="str">
        <f>IF(Balancete_Oficial[[#Headers],[Janeiro]]='Balancete MLN_WebPosto'!$G$2,
SUMIFS('Balancete MLN_WebPosto'!$J:$J,'Balancete MLN_WebPosto'!$C:$C,$A50,'Balancete MLN_WebPosto'!$B:$B,$B$2),
  "0"
)</f>
        <v>0</v>
      </c>
      <c r="K50" s="4" t="str">
        <f>IF(Balancete_Oficial[[#Headers],[Fevereiro]]='Balancete MLN_WebPosto'!$G$2,
SUMIFS('Balancete MLN_WebPosto'!$J:$J,'Balancete MLN_WebPosto'!$C:$C,$A50,'Balancete MLN_WebPosto'!$B:$B,$B$2),
  "0"
)</f>
        <v>0</v>
      </c>
      <c r="L50" s="4" t="str">
        <f>IF(Balancete_Oficial[[#Headers],[Março]]='Balancete MLN_WebPosto'!$G$2,
SUMIFS('Balancete MLN_WebPosto'!$J:$J,'Balancete MLN_WebPosto'!$C:$C,$A50,'Balancete MLN_WebPosto'!$B:$B,$B$2),
  "0"
)</f>
        <v>0</v>
      </c>
      <c r="M50" s="4" t="str">
        <f>IF(Balancete_Oficial[[#Headers],[Abril]]='Balancete MLN_WebPosto'!$G$2,
SUMIFS('Balancete MLN_WebPosto'!$J:$J,'Balancete MLN_WebPosto'!$C:$C,$A50,'Balancete MLN_WebPosto'!$B:$B,$B$2),
  "0"
)</f>
        <v>0</v>
      </c>
      <c r="N50" s="4" t="str">
        <f>IF(Balancete_Oficial[[#Headers],[Maio]]='Balancete MLN_WebPosto'!$G$2,
SUMIFS('Balancete MLN_WebPosto'!$I:$I,'Balancete MLN_WebPosto'!$C:$C,$A50,'Balancete MLN_WebPosto'!$B:$B,$B$2),
  "0"
)</f>
        <v>0</v>
      </c>
      <c r="O50" s="4" t="str">
        <f>IF(Balancete_Oficial[[#Headers],[Junho]]='Balancete MLN_WebPosto'!$G$2,
SUMIFS('Balancete MLN_WebPosto'!$I:$I,'Balancete MLN_WebPosto'!$C:$C,$A50,'Balancete MLN_WebPosto'!$B:$B,$B$2),
  "0"
)</f>
        <v>0</v>
      </c>
      <c r="P50" s="4" t="str">
        <f>IF(Balancete_Oficial[[#Headers],[Julho]]='Balancete MLN_WebPosto'!$G$2,
SUMIFS('Balancete MLN_WebPosto'!$I:$I,'Balancete MLN_WebPosto'!$C:$C,$A50,'Balancete MLN_WebPosto'!$B:$B,$B$2),
  "0"
)</f>
        <v>0</v>
      </c>
      <c r="Q50" s="4" t="str">
        <f>IF(Balancete_Oficial[[#Headers],[Agosto]]='Balancete MLN_WebPosto'!$G$2,
SUMIFS('Balancete MLN_WebPosto'!$I:$I,'Balancete MLN_WebPosto'!$C:$C,$A50,'Balancete MLN_WebPosto'!$B:$B,$B$2),
  "0"
)</f>
        <v>0</v>
      </c>
      <c r="R50" s="4">
        <f>IF(Balancete_Oficial[[#Headers],[Setembro]]='Balancete MLN_WebPosto'!$G$2,
SUMIFS('Balancete MLN_WebPosto'!$I:$I,'Balancete MLN_WebPosto'!$C:$C,$A50,'Balancete MLN_WebPosto'!$B:$B,$B$2),
  "0"
)</f>
        <v>0</v>
      </c>
      <c r="S50" s="4" t="str">
        <f>IF(Balancete_Oficial[[#Headers],[Outubro]]='Balancete MLN_WebPosto'!$G$2,
SUMIFS('Balancete MLN_WebPosto'!$I:$I,'Balancete MLN_WebPosto'!$C:$C,$A50,'Balancete MLN_WebPosto'!$B:$B,$B$2),
  "0"
)</f>
        <v>0</v>
      </c>
      <c r="T50" s="4" t="str">
        <f>IF(Balancete_Oficial[[#Headers],[Novembro]]='Balancete MLN_WebPosto'!$G$2,
SUMIFS('Balancete MLN_WebPosto'!$I:$I,'Balancete MLN_WebPosto'!$C:$C,$A50,'Balancete MLN_WebPosto'!$B:$B,$B$2),
  "0"
)</f>
        <v>0</v>
      </c>
      <c r="U50" s="4" t="str">
        <f>IF(Balancete_Oficial[[#Headers],[Dezembro]]='Balancete MLN_WebPosto'!$G$2,
SUMIFS('Balancete MLN_WebPosto'!$I:$I,'Balancete MLN_WebPosto'!$C:$C,$A50,'Balancete MLN_WebPosto'!$B:$B,$B$2),
  "0"
)</f>
        <v>0</v>
      </c>
    </row>
    <row r="51" spans="1:21" s="2" customFormat="1" x14ac:dyDescent="0.25">
      <c r="A51" s="2" t="str">
        <f>IF(Dados!H48="","",Dados!H48)</f>
        <v/>
      </c>
      <c r="B51" s="2" t="e">
        <f>VLOOKUP(Balancete_Oficial[[#This Row],[Conta]],'Balancete MLN_WebPosto'!C:E,3,0)</f>
        <v>#N/A</v>
      </c>
      <c r="C51" s="3" t="str">
        <f t="shared" si="3"/>
        <v>Sintética</v>
      </c>
      <c r="D51" s="6" t="str">
        <f t="shared" si="4"/>
        <v>R</v>
      </c>
      <c r="E51" s="6" t="str">
        <f t="shared" si="5"/>
        <v/>
      </c>
      <c r="F51" s="6"/>
      <c r="G51" s="6"/>
      <c r="H51" s="6"/>
      <c r="I51" s="6"/>
      <c r="J51" s="4" t="str">
        <f>IF(Balancete_Oficial[[#Headers],[Janeiro]]='Balancete MLN_WebPosto'!$G$2,
SUMIFS('Balancete MLN_WebPosto'!$J:$J,'Balancete MLN_WebPosto'!$C:$C,$A51,'Balancete MLN_WebPosto'!$B:$B,$B$2),
  "0"
)</f>
        <v>0</v>
      </c>
      <c r="K51" s="4" t="str">
        <f>IF(Balancete_Oficial[[#Headers],[Fevereiro]]='Balancete MLN_WebPosto'!$G$2,
SUMIFS('Balancete MLN_WebPosto'!$J:$J,'Balancete MLN_WebPosto'!$C:$C,$A51,'Balancete MLN_WebPosto'!$B:$B,$B$2),
  "0"
)</f>
        <v>0</v>
      </c>
      <c r="L51" s="4" t="str">
        <f>IF(Balancete_Oficial[[#Headers],[Março]]='Balancete MLN_WebPosto'!$G$2,
SUMIFS('Balancete MLN_WebPosto'!$J:$J,'Balancete MLN_WebPosto'!$C:$C,$A51,'Balancete MLN_WebPosto'!$B:$B,$B$2),
  "0"
)</f>
        <v>0</v>
      </c>
      <c r="M51" s="4" t="str">
        <f>IF(Balancete_Oficial[[#Headers],[Abril]]='Balancete MLN_WebPosto'!$G$2,
SUMIFS('Balancete MLN_WebPosto'!$J:$J,'Balancete MLN_WebPosto'!$C:$C,$A51,'Balancete MLN_WebPosto'!$B:$B,$B$2),
  "0"
)</f>
        <v>0</v>
      </c>
      <c r="N51" s="4" t="str">
        <f>IF(Balancete_Oficial[[#Headers],[Maio]]='Balancete MLN_WebPosto'!$G$2,
SUMIFS('Balancete MLN_WebPosto'!$I:$I,'Balancete MLN_WebPosto'!$C:$C,$A51,'Balancete MLN_WebPosto'!$B:$B,$B$2),
  "0"
)</f>
        <v>0</v>
      </c>
      <c r="O51" s="4" t="str">
        <f>IF(Balancete_Oficial[[#Headers],[Junho]]='Balancete MLN_WebPosto'!$G$2,
SUMIFS('Balancete MLN_WebPosto'!$I:$I,'Balancete MLN_WebPosto'!$C:$C,$A51,'Balancete MLN_WebPosto'!$B:$B,$B$2),
  "0"
)</f>
        <v>0</v>
      </c>
      <c r="P51" s="4" t="str">
        <f>IF(Balancete_Oficial[[#Headers],[Julho]]='Balancete MLN_WebPosto'!$G$2,
SUMIFS('Balancete MLN_WebPosto'!$I:$I,'Balancete MLN_WebPosto'!$C:$C,$A51,'Balancete MLN_WebPosto'!$B:$B,$B$2),
  "0"
)</f>
        <v>0</v>
      </c>
      <c r="Q51" s="4" t="str">
        <f>IF(Balancete_Oficial[[#Headers],[Agosto]]='Balancete MLN_WebPosto'!$G$2,
SUMIFS('Balancete MLN_WebPosto'!$I:$I,'Balancete MLN_WebPosto'!$C:$C,$A51,'Balancete MLN_WebPosto'!$B:$B,$B$2),
  "0"
)</f>
        <v>0</v>
      </c>
      <c r="R51" s="4">
        <f>IF(Balancete_Oficial[[#Headers],[Setembro]]='Balancete MLN_WebPosto'!$G$2,
SUMIFS('Balancete MLN_WebPosto'!$I:$I,'Balancete MLN_WebPosto'!$C:$C,$A51,'Balancete MLN_WebPosto'!$B:$B,$B$2),
  "0"
)</f>
        <v>0</v>
      </c>
      <c r="S51" s="4" t="str">
        <f>IF(Balancete_Oficial[[#Headers],[Outubro]]='Balancete MLN_WebPosto'!$G$2,
SUMIFS('Balancete MLN_WebPosto'!$I:$I,'Balancete MLN_WebPosto'!$C:$C,$A51,'Balancete MLN_WebPosto'!$B:$B,$B$2),
  "0"
)</f>
        <v>0</v>
      </c>
      <c r="T51" s="4" t="str">
        <f>IF(Balancete_Oficial[[#Headers],[Novembro]]='Balancete MLN_WebPosto'!$G$2,
SUMIFS('Balancete MLN_WebPosto'!$I:$I,'Balancete MLN_WebPosto'!$C:$C,$A51,'Balancete MLN_WebPosto'!$B:$B,$B$2),
  "0"
)</f>
        <v>0</v>
      </c>
      <c r="U51" s="4" t="str">
        <f>IF(Balancete_Oficial[[#Headers],[Dezembro]]='Balancete MLN_WebPosto'!$G$2,
SUMIFS('Balancete MLN_WebPosto'!$I:$I,'Balancete MLN_WebPosto'!$C:$C,$A51,'Balancete MLN_WebPosto'!$B:$B,$B$2),
  "0"
)</f>
        <v>0</v>
      </c>
    </row>
    <row r="52" spans="1:21" s="2" customFormat="1" x14ac:dyDescent="0.25">
      <c r="A52" s="2" t="str">
        <f>IF(Dados!H49="","",Dados!H49)</f>
        <v/>
      </c>
      <c r="B52" s="2" t="e">
        <f>VLOOKUP(Balancete_Oficial[[#This Row],[Conta]],'Balancete MLN_WebPosto'!C:E,3,0)</f>
        <v>#N/A</v>
      </c>
      <c r="C52" s="3" t="str">
        <f t="shared" si="3"/>
        <v>Sintética</v>
      </c>
      <c r="D52" s="6" t="str">
        <f t="shared" si="4"/>
        <v>R</v>
      </c>
      <c r="E52" s="6" t="str">
        <f t="shared" si="5"/>
        <v/>
      </c>
      <c r="F52" s="6"/>
      <c r="G52" s="6"/>
      <c r="H52" s="6"/>
      <c r="I52" s="6"/>
      <c r="J52" s="4" t="str">
        <f>IF(Balancete_Oficial[[#Headers],[Janeiro]]='Balancete MLN_WebPosto'!$G$2,
SUMIFS('Balancete MLN_WebPosto'!$J:$J,'Balancete MLN_WebPosto'!$C:$C,$A52,'Balancete MLN_WebPosto'!$B:$B,$B$2),
  "0"
)</f>
        <v>0</v>
      </c>
      <c r="K52" s="4" t="str">
        <f>IF(Balancete_Oficial[[#Headers],[Fevereiro]]='Balancete MLN_WebPosto'!$G$2,
SUMIFS('Balancete MLN_WebPosto'!$J:$J,'Balancete MLN_WebPosto'!$C:$C,$A52,'Balancete MLN_WebPosto'!$B:$B,$B$2),
  "0"
)</f>
        <v>0</v>
      </c>
      <c r="L52" s="4" t="str">
        <f>IF(Balancete_Oficial[[#Headers],[Março]]='Balancete MLN_WebPosto'!$G$2,
SUMIFS('Balancete MLN_WebPosto'!$J:$J,'Balancete MLN_WebPosto'!$C:$C,$A52,'Balancete MLN_WebPosto'!$B:$B,$B$2),
  "0"
)</f>
        <v>0</v>
      </c>
      <c r="M52" s="4" t="str">
        <f>IF(Balancete_Oficial[[#Headers],[Abril]]='Balancete MLN_WebPosto'!$G$2,
SUMIFS('Balancete MLN_WebPosto'!$J:$J,'Balancete MLN_WebPosto'!$C:$C,$A52,'Balancete MLN_WebPosto'!$B:$B,$B$2),
  "0"
)</f>
        <v>0</v>
      </c>
      <c r="N52" s="4" t="str">
        <f>IF(Balancete_Oficial[[#Headers],[Maio]]='Balancete MLN_WebPosto'!$G$2,
SUMIFS('Balancete MLN_WebPosto'!$I:$I,'Balancete MLN_WebPosto'!$C:$C,$A52,'Balancete MLN_WebPosto'!$B:$B,$B$2),
  "0"
)</f>
        <v>0</v>
      </c>
      <c r="O52" s="4" t="str">
        <f>IF(Balancete_Oficial[[#Headers],[Junho]]='Balancete MLN_WebPosto'!$G$2,
SUMIFS('Balancete MLN_WebPosto'!$I:$I,'Balancete MLN_WebPosto'!$C:$C,$A52,'Balancete MLN_WebPosto'!$B:$B,$B$2),
  "0"
)</f>
        <v>0</v>
      </c>
      <c r="P52" s="4" t="str">
        <f>IF(Balancete_Oficial[[#Headers],[Julho]]='Balancete MLN_WebPosto'!$G$2,
SUMIFS('Balancete MLN_WebPosto'!$I:$I,'Balancete MLN_WebPosto'!$C:$C,$A52,'Balancete MLN_WebPosto'!$B:$B,$B$2),
  "0"
)</f>
        <v>0</v>
      </c>
      <c r="Q52" s="4" t="str">
        <f>IF(Balancete_Oficial[[#Headers],[Agosto]]='Balancete MLN_WebPosto'!$G$2,
SUMIFS('Balancete MLN_WebPosto'!$I:$I,'Balancete MLN_WebPosto'!$C:$C,$A52,'Balancete MLN_WebPosto'!$B:$B,$B$2),
  "0"
)</f>
        <v>0</v>
      </c>
      <c r="R52" s="4">
        <f>IF(Balancete_Oficial[[#Headers],[Setembro]]='Balancete MLN_WebPosto'!$G$2,
SUMIFS('Balancete MLN_WebPosto'!$I:$I,'Balancete MLN_WebPosto'!$C:$C,$A52,'Balancete MLN_WebPosto'!$B:$B,$B$2),
  "0"
)</f>
        <v>0</v>
      </c>
      <c r="S52" s="4" t="str">
        <f>IF(Balancete_Oficial[[#Headers],[Outubro]]='Balancete MLN_WebPosto'!$G$2,
SUMIFS('Balancete MLN_WebPosto'!$I:$I,'Balancete MLN_WebPosto'!$C:$C,$A52,'Balancete MLN_WebPosto'!$B:$B,$B$2),
  "0"
)</f>
        <v>0</v>
      </c>
      <c r="T52" s="4" t="str">
        <f>IF(Balancete_Oficial[[#Headers],[Novembro]]='Balancete MLN_WebPosto'!$G$2,
SUMIFS('Balancete MLN_WebPosto'!$I:$I,'Balancete MLN_WebPosto'!$C:$C,$A52,'Balancete MLN_WebPosto'!$B:$B,$B$2),
  "0"
)</f>
        <v>0</v>
      </c>
      <c r="U52" s="4" t="str">
        <f>IF(Balancete_Oficial[[#Headers],[Dezembro]]='Balancete MLN_WebPosto'!$G$2,
SUMIFS('Balancete MLN_WebPosto'!$I:$I,'Balancete MLN_WebPosto'!$C:$C,$A52,'Balancete MLN_WebPosto'!$B:$B,$B$2),
  "0"
)</f>
        <v>0</v>
      </c>
    </row>
    <row r="53" spans="1:21" s="2" customFormat="1" x14ac:dyDescent="0.25">
      <c r="A53" s="2" t="str">
        <f>IF(Dados!H50="","",Dados!H50)</f>
        <v/>
      </c>
      <c r="B53" s="2" t="e">
        <f>VLOOKUP(Balancete_Oficial[[#This Row],[Conta]],'Balancete MLN_WebPosto'!C:E,3,0)</f>
        <v>#N/A</v>
      </c>
      <c r="C53" s="3" t="str">
        <f t="shared" si="3"/>
        <v>Sintética</v>
      </c>
      <c r="D53" s="6" t="str">
        <f t="shared" si="4"/>
        <v>R</v>
      </c>
      <c r="E53" s="6" t="str">
        <f t="shared" si="5"/>
        <v/>
      </c>
      <c r="F53" s="6"/>
      <c r="G53" s="6"/>
      <c r="H53" s="6"/>
      <c r="I53" s="6"/>
      <c r="J53" s="4" t="str">
        <f>IF(Balancete_Oficial[[#Headers],[Janeiro]]='Balancete MLN_WebPosto'!$G$2,
SUMIFS('Balancete MLN_WebPosto'!$J:$J,'Balancete MLN_WebPosto'!$C:$C,$A53,'Balancete MLN_WebPosto'!$B:$B,$B$2),
  "0"
)</f>
        <v>0</v>
      </c>
      <c r="K53" s="4" t="str">
        <f>IF(Balancete_Oficial[[#Headers],[Fevereiro]]='Balancete MLN_WebPosto'!$G$2,
SUMIFS('Balancete MLN_WebPosto'!$J:$J,'Balancete MLN_WebPosto'!$C:$C,$A53,'Balancete MLN_WebPosto'!$B:$B,$B$2),
  "0"
)</f>
        <v>0</v>
      </c>
      <c r="L53" s="4" t="str">
        <f>IF(Balancete_Oficial[[#Headers],[Março]]='Balancete MLN_WebPosto'!$G$2,
SUMIFS('Balancete MLN_WebPosto'!$J:$J,'Balancete MLN_WebPosto'!$C:$C,$A53,'Balancete MLN_WebPosto'!$B:$B,$B$2),
  "0"
)</f>
        <v>0</v>
      </c>
      <c r="M53" s="4" t="str">
        <f>IF(Balancete_Oficial[[#Headers],[Abril]]='Balancete MLN_WebPosto'!$G$2,
SUMIFS('Balancete MLN_WebPosto'!$J:$J,'Balancete MLN_WebPosto'!$C:$C,$A53,'Balancete MLN_WebPosto'!$B:$B,$B$2),
  "0"
)</f>
        <v>0</v>
      </c>
      <c r="N53" s="4" t="str">
        <f>IF(Balancete_Oficial[[#Headers],[Maio]]='Balancete MLN_WebPosto'!$G$2,
SUMIFS('Balancete MLN_WebPosto'!$I:$I,'Balancete MLN_WebPosto'!$C:$C,$A53,'Balancete MLN_WebPosto'!$B:$B,$B$2),
  "0"
)</f>
        <v>0</v>
      </c>
      <c r="O53" s="4" t="str">
        <f>IF(Balancete_Oficial[[#Headers],[Junho]]='Balancete MLN_WebPosto'!$G$2,
SUMIFS('Balancete MLN_WebPosto'!$I:$I,'Balancete MLN_WebPosto'!$C:$C,$A53,'Balancete MLN_WebPosto'!$B:$B,$B$2),
  "0"
)</f>
        <v>0</v>
      </c>
      <c r="P53" s="4" t="str">
        <f>IF(Balancete_Oficial[[#Headers],[Julho]]='Balancete MLN_WebPosto'!$G$2,
SUMIFS('Balancete MLN_WebPosto'!$I:$I,'Balancete MLN_WebPosto'!$C:$C,$A53,'Balancete MLN_WebPosto'!$B:$B,$B$2),
  "0"
)</f>
        <v>0</v>
      </c>
      <c r="Q53" s="4" t="str">
        <f>IF(Balancete_Oficial[[#Headers],[Agosto]]='Balancete MLN_WebPosto'!$G$2,
SUMIFS('Balancete MLN_WebPosto'!$I:$I,'Balancete MLN_WebPosto'!$C:$C,$A53,'Balancete MLN_WebPosto'!$B:$B,$B$2),
  "0"
)</f>
        <v>0</v>
      </c>
      <c r="R53" s="4">
        <f>IF(Balancete_Oficial[[#Headers],[Setembro]]='Balancete MLN_WebPosto'!$G$2,
SUMIFS('Balancete MLN_WebPosto'!$I:$I,'Balancete MLN_WebPosto'!$C:$C,$A53,'Balancete MLN_WebPosto'!$B:$B,$B$2),
  "0"
)</f>
        <v>0</v>
      </c>
      <c r="S53" s="4" t="str">
        <f>IF(Balancete_Oficial[[#Headers],[Outubro]]='Balancete MLN_WebPosto'!$G$2,
SUMIFS('Balancete MLN_WebPosto'!$I:$I,'Balancete MLN_WebPosto'!$C:$C,$A53,'Balancete MLN_WebPosto'!$B:$B,$B$2),
  "0"
)</f>
        <v>0</v>
      </c>
      <c r="T53" s="4" t="str">
        <f>IF(Balancete_Oficial[[#Headers],[Novembro]]='Balancete MLN_WebPosto'!$G$2,
SUMIFS('Balancete MLN_WebPosto'!$I:$I,'Balancete MLN_WebPosto'!$C:$C,$A53,'Balancete MLN_WebPosto'!$B:$B,$B$2),
  "0"
)</f>
        <v>0</v>
      </c>
      <c r="U53" s="4" t="str">
        <f>IF(Balancete_Oficial[[#Headers],[Dezembro]]='Balancete MLN_WebPosto'!$G$2,
SUMIFS('Balancete MLN_WebPosto'!$I:$I,'Balancete MLN_WebPosto'!$C:$C,$A53,'Balancete MLN_WebPosto'!$B:$B,$B$2),
  "0"
)</f>
        <v>0</v>
      </c>
    </row>
    <row r="54" spans="1:21" s="2" customFormat="1" x14ac:dyDescent="0.25">
      <c r="A54" s="2" t="str">
        <f>IF(Dados!H51="","",Dados!H51)</f>
        <v/>
      </c>
      <c r="B54" s="2" t="e">
        <f>VLOOKUP(Balancete_Oficial[[#This Row],[Conta]],'Balancete MLN_WebPosto'!C:E,3,0)</f>
        <v>#N/A</v>
      </c>
      <c r="C54" s="3" t="str">
        <f t="shared" si="3"/>
        <v>Sintética</v>
      </c>
      <c r="D54" s="6" t="str">
        <f t="shared" si="4"/>
        <v>R</v>
      </c>
      <c r="E54" s="6" t="str">
        <f t="shared" si="5"/>
        <v/>
      </c>
      <c r="F54" s="6"/>
      <c r="G54" s="6"/>
      <c r="H54" s="6"/>
      <c r="I54" s="6"/>
      <c r="J54" s="4" t="str">
        <f>IF(Balancete_Oficial[[#Headers],[Janeiro]]='Balancete MLN_WebPosto'!$G$2,
SUMIFS('Balancete MLN_WebPosto'!$J:$J,'Balancete MLN_WebPosto'!$C:$C,$A54,'Balancete MLN_WebPosto'!$B:$B,$B$2),
  "0"
)</f>
        <v>0</v>
      </c>
      <c r="K54" s="4" t="str">
        <f>IF(Balancete_Oficial[[#Headers],[Fevereiro]]='Balancete MLN_WebPosto'!$G$2,
SUMIFS('Balancete MLN_WebPosto'!$J:$J,'Balancete MLN_WebPosto'!$C:$C,$A54,'Balancete MLN_WebPosto'!$B:$B,$B$2),
  "0"
)</f>
        <v>0</v>
      </c>
      <c r="L54" s="4" t="str">
        <f>IF(Balancete_Oficial[[#Headers],[Março]]='Balancete MLN_WebPosto'!$G$2,
SUMIFS('Balancete MLN_WebPosto'!$J:$J,'Balancete MLN_WebPosto'!$C:$C,$A54,'Balancete MLN_WebPosto'!$B:$B,$B$2),
  "0"
)</f>
        <v>0</v>
      </c>
      <c r="M54" s="4" t="str">
        <f>IF(Balancete_Oficial[[#Headers],[Abril]]='Balancete MLN_WebPosto'!$G$2,
SUMIFS('Balancete MLN_WebPosto'!$J:$J,'Balancete MLN_WebPosto'!$C:$C,$A54,'Balancete MLN_WebPosto'!$B:$B,$B$2),
  "0"
)</f>
        <v>0</v>
      </c>
      <c r="N54" s="4" t="str">
        <f>IF(Balancete_Oficial[[#Headers],[Maio]]='Balancete MLN_WebPosto'!$G$2,
SUMIFS('Balancete MLN_WebPosto'!$I:$I,'Balancete MLN_WebPosto'!$C:$C,$A54,'Balancete MLN_WebPosto'!$B:$B,$B$2),
  "0"
)</f>
        <v>0</v>
      </c>
      <c r="O54" s="4" t="str">
        <f>IF(Balancete_Oficial[[#Headers],[Junho]]='Balancete MLN_WebPosto'!$G$2,
SUMIFS('Balancete MLN_WebPosto'!$I:$I,'Balancete MLN_WebPosto'!$C:$C,$A54,'Balancete MLN_WebPosto'!$B:$B,$B$2),
  "0"
)</f>
        <v>0</v>
      </c>
      <c r="P54" s="4" t="str">
        <f>IF(Balancete_Oficial[[#Headers],[Julho]]='Balancete MLN_WebPosto'!$G$2,
SUMIFS('Balancete MLN_WebPosto'!$I:$I,'Balancete MLN_WebPosto'!$C:$C,$A54,'Balancete MLN_WebPosto'!$B:$B,$B$2),
  "0"
)</f>
        <v>0</v>
      </c>
      <c r="Q54" s="4" t="str">
        <f>IF(Balancete_Oficial[[#Headers],[Agosto]]='Balancete MLN_WebPosto'!$G$2,
SUMIFS('Balancete MLN_WebPosto'!$I:$I,'Balancete MLN_WebPosto'!$C:$C,$A54,'Balancete MLN_WebPosto'!$B:$B,$B$2),
  "0"
)</f>
        <v>0</v>
      </c>
      <c r="R54" s="4">
        <f>IF(Balancete_Oficial[[#Headers],[Setembro]]='Balancete MLN_WebPosto'!$G$2,
SUMIFS('Balancete MLN_WebPosto'!$I:$I,'Balancete MLN_WebPosto'!$C:$C,$A54,'Balancete MLN_WebPosto'!$B:$B,$B$2),
  "0"
)</f>
        <v>0</v>
      </c>
      <c r="S54" s="4" t="str">
        <f>IF(Balancete_Oficial[[#Headers],[Outubro]]='Balancete MLN_WebPosto'!$G$2,
SUMIFS('Balancete MLN_WebPosto'!$I:$I,'Balancete MLN_WebPosto'!$C:$C,$A54,'Balancete MLN_WebPosto'!$B:$B,$B$2),
  "0"
)</f>
        <v>0</v>
      </c>
      <c r="T54" s="4" t="str">
        <f>IF(Balancete_Oficial[[#Headers],[Novembro]]='Balancete MLN_WebPosto'!$G$2,
SUMIFS('Balancete MLN_WebPosto'!$I:$I,'Balancete MLN_WebPosto'!$C:$C,$A54,'Balancete MLN_WebPosto'!$B:$B,$B$2),
  "0"
)</f>
        <v>0</v>
      </c>
      <c r="U54" s="4" t="str">
        <f>IF(Balancete_Oficial[[#Headers],[Dezembro]]='Balancete MLN_WebPosto'!$G$2,
SUMIFS('Balancete MLN_WebPosto'!$I:$I,'Balancete MLN_WebPosto'!$C:$C,$A54,'Balancete MLN_WebPosto'!$B:$B,$B$2),
  "0"
)</f>
        <v>0</v>
      </c>
    </row>
    <row r="55" spans="1:21" s="2" customFormat="1" x14ac:dyDescent="0.25">
      <c r="A55" s="2" t="str">
        <f>IF(Dados!H52="","",Dados!H52)</f>
        <v/>
      </c>
      <c r="B55" s="2" t="e">
        <f>VLOOKUP(Balancete_Oficial[[#This Row],[Conta]],'Balancete MLN_WebPosto'!C:E,3,0)</f>
        <v>#N/A</v>
      </c>
      <c r="C55" s="3" t="str">
        <f t="shared" si="3"/>
        <v>Sintética</v>
      </c>
      <c r="D55" s="6" t="str">
        <f t="shared" si="4"/>
        <v>R</v>
      </c>
      <c r="E55" s="6" t="str">
        <f t="shared" si="5"/>
        <v/>
      </c>
      <c r="F55" s="6"/>
      <c r="G55" s="6"/>
      <c r="H55" s="6"/>
      <c r="I55" s="6"/>
      <c r="J55" s="4" t="str">
        <f>IF(Balancete_Oficial[[#Headers],[Janeiro]]='Balancete MLN_WebPosto'!$G$2,
SUMIFS('Balancete MLN_WebPosto'!$J:$J,'Balancete MLN_WebPosto'!$C:$C,$A55,'Balancete MLN_WebPosto'!$B:$B,$B$2),
  "0"
)</f>
        <v>0</v>
      </c>
      <c r="K55" s="4" t="str">
        <f>IF(Balancete_Oficial[[#Headers],[Fevereiro]]='Balancete MLN_WebPosto'!$G$2,
SUMIFS('Balancete MLN_WebPosto'!$J:$J,'Balancete MLN_WebPosto'!$C:$C,$A55,'Balancete MLN_WebPosto'!$B:$B,$B$2),
  "0"
)</f>
        <v>0</v>
      </c>
      <c r="L55" s="4" t="str">
        <f>IF(Balancete_Oficial[[#Headers],[Março]]='Balancete MLN_WebPosto'!$G$2,
SUMIFS('Balancete MLN_WebPosto'!$J:$J,'Balancete MLN_WebPosto'!$C:$C,$A55,'Balancete MLN_WebPosto'!$B:$B,$B$2),
  "0"
)</f>
        <v>0</v>
      </c>
      <c r="M55" s="4" t="str">
        <f>IF(Balancete_Oficial[[#Headers],[Abril]]='Balancete MLN_WebPosto'!$G$2,
SUMIFS('Balancete MLN_WebPosto'!$J:$J,'Balancete MLN_WebPosto'!$C:$C,$A55,'Balancete MLN_WebPosto'!$B:$B,$B$2),
  "0"
)</f>
        <v>0</v>
      </c>
      <c r="N55" s="4" t="str">
        <f>IF(Balancete_Oficial[[#Headers],[Maio]]='Balancete MLN_WebPosto'!$G$2,
SUMIFS('Balancete MLN_WebPosto'!$I:$I,'Balancete MLN_WebPosto'!$C:$C,$A55,'Balancete MLN_WebPosto'!$B:$B,$B$2),
  "0"
)</f>
        <v>0</v>
      </c>
      <c r="O55" s="4" t="str">
        <f>IF(Balancete_Oficial[[#Headers],[Junho]]='Balancete MLN_WebPosto'!$G$2,
SUMIFS('Balancete MLN_WebPosto'!$I:$I,'Balancete MLN_WebPosto'!$C:$C,$A55,'Balancete MLN_WebPosto'!$B:$B,$B$2),
  "0"
)</f>
        <v>0</v>
      </c>
      <c r="P55" s="4" t="str">
        <f>IF(Balancete_Oficial[[#Headers],[Julho]]='Balancete MLN_WebPosto'!$G$2,
SUMIFS('Balancete MLN_WebPosto'!$I:$I,'Balancete MLN_WebPosto'!$C:$C,$A55,'Balancete MLN_WebPosto'!$B:$B,$B$2),
  "0"
)</f>
        <v>0</v>
      </c>
      <c r="Q55" s="4" t="str">
        <f>IF(Balancete_Oficial[[#Headers],[Agosto]]='Balancete MLN_WebPosto'!$G$2,
SUMIFS('Balancete MLN_WebPosto'!$I:$I,'Balancete MLN_WebPosto'!$C:$C,$A55,'Balancete MLN_WebPosto'!$B:$B,$B$2),
  "0"
)</f>
        <v>0</v>
      </c>
      <c r="R55" s="4">
        <f>IF(Balancete_Oficial[[#Headers],[Setembro]]='Balancete MLN_WebPosto'!$G$2,
SUMIFS('Balancete MLN_WebPosto'!$I:$I,'Balancete MLN_WebPosto'!$C:$C,$A55,'Balancete MLN_WebPosto'!$B:$B,$B$2),
  "0"
)</f>
        <v>0</v>
      </c>
      <c r="S55" s="4" t="str">
        <f>IF(Balancete_Oficial[[#Headers],[Outubro]]='Balancete MLN_WebPosto'!$G$2,
SUMIFS('Balancete MLN_WebPosto'!$I:$I,'Balancete MLN_WebPosto'!$C:$C,$A55,'Balancete MLN_WebPosto'!$B:$B,$B$2),
  "0"
)</f>
        <v>0</v>
      </c>
      <c r="T55" s="4" t="str">
        <f>IF(Balancete_Oficial[[#Headers],[Novembro]]='Balancete MLN_WebPosto'!$G$2,
SUMIFS('Balancete MLN_WebPosto'!$I:$I,'Balancete MLN_WebPosto'!$C:$C,$A55,'Balancete MLN_WebPosto'!$B:$B,$B$2),
  "0"
)</f>
        <v>0</v>
      </c>
      <c r="U55" s="4" t="str">
        <f>IF(Balancete_Oficial[[#Headers],[Dezembro]]='Balancete MLN_WebPosto'!$G$2,
SUMIFS('Balancete MLN_WebPosto'!$I:$I,'Balancete MLN_WebPosto'!$C:$C,$A55,'Balancete MLN_WebPosto'!$B:$B,$B$2),
  "0"
)</f>
        <v>0</v>
      </c>
    </row>
    <row r="56" spans="1:21" s="2" customFormat="1" x14ac:dyDescent="0.25">
      <c r="A56" s="2" t="str">
        <f>IF(Dados!H53="","",Dados!H53)</f>
        <v/>
      </c>
      <c r="B56" s="2" t="e">
        <f>VLOOKUP(Balancete_Oficial[[#This Row],[Conta]],'Balancete MLN_WebPosto'!C:E,3,0)</f>
        <v>#N/A</v>
      </c>
      <c r="C56" s="3" t="str">
        <f t="shared" si="3"/>
        <v>Sintética</v>
      </c>
      <c r="D56" s="6" t="str">
        <f t="shared" si="4"/>
        <v>R</v>
      </c>
      <c r="E56" s="6" t="str">
        <f t="shared" si="5"/>
        <v/>
      </c>
      <c r="F56" s="6"/>
      <c r="G56" s="6"/>
      <c r="H56" s="6"/>
      <c r="I56" s="6"/>
      <c r="J56" s="4" t="str">
        <f>IF(Balancete_Oficial[[#Headers],[Janeiro]]='Balancete MLN_WebPosto'!$G$2,
SUMIFS('Balancete MLN_WebPosto'!$J:$J,'Balancete MLN_WebPosto'!$C:$C,$A56,'Balancete MLN_WebPosto'!$B:$B,$B$2),
  "0"
)</f>
        <v>0</v>
      </c>
      <c r="K56" s="4" t="str">
        <f>IF(Balancete_Oficial[[#Headers],[Fevereiro]]='Balancete MLN_WebPosto'!$G$2,
SUMIFS('Balancete MLN_WebPosto'!$J:$J,'Balancete MLN_WebPosto'!$C:$C,$A56,'Balancete MLN_WebPosto'!$B:$B,$B$2),
  "0"
)</f>
        <v>0</v>
      </c>
      <c r="L56" s="4" t="str">
        <f>IF(Balancete_Oficial[[#Headers],[Março]]='Balancete MLN_WebPosto'!$G$2,
SUMIFS('Balancete MLN_WebPosto'!$J:$J,'Balancete MLN_WebPosto'!$C:$C,$A56,'Balancete MLN_WebPosto'!$B:$B,$B$2),
  "0"
)</f>
        <v>0</v>
      </c>
      <c r="M56" s="4" t="str">
        <f>IF(Balancete_Oficial[[#Headers],[Abril]]='Balancete MLN_WebPosto'!$G$2,
SUMIFS('Balancete MLN_WebPosto'!$J:$J,'Balancete MLN_WebPosto'!$C:$C,$A56,'Balancete MLN_WebPosto'!$B:$B,$B$2),
  "0"
)</f>
        <v>0</v>
      </c>
      <c r="N56" s="4" t="str">
        <f>IF(Balancete_Oficial[[#Headers],[Maio]]='Balancete MLN_WebPosto'!$G$2,
SUMIFS('Balancete MLN_WebPosto'!$I:$I,'Balancete MLN_WebPosto'!$C:$C,$A56,'Balancete MLN_WebPosto'!$B:$B,$B$2),
  "0"
)</f>
        <v>0</v>
      </c>
      <c r="O56" s="4" t="str">
        <f>IF(Balancete_Oficial[[#Headers],[Junho]]='Balancete MLN_WebPosto'!$G$2,
SUMIFS('Balancete MLN_WebPosto'!$I:$I,'Balancete MLN_WebPosto'!$C:$C,$A56,'Balancete MLN_WebPosto'!$B:$B,$B$2),
  "0"
)</f>
        <v>0</v>
      </c>
      <c r="P56" s="4" t="str">
        <f>IF(Balancete_Oficial[[#Headers],[Julho]]='Balancete MLN_WebPosto'!$G$2,
SUMIFS('Balancete MLN_WebPosto'!$I:$I,'Balancete MLN_WebPosto'!$C:$C,$A56,'Balancete MLN_WebPosto'!$B:$B,$B$2),
  "0"
)</f>
        <v>0</v>
      </c>
      <c r="Q56" s="4" t="str">
        <f>IF(Balancete_Oficial[[#Headers],[Agosto]]='Balancete MLN_WebPosto'!$G$2,
SUMIFS('Balancete MLN_WebPosto'!$I:$I,'Balancete MLN_WebPosto'!$C:$C,$A56,'Balancete MLN_WebPosto'!$B:$B,$B$2),
  "0"
)</f>
        <v>0</v>
      </c>
      <c r="R56" s="4">
        <f>IF(Balancete_Oficial[[#Headers],[Setembro]]='Balancete MLN_WebPosto'!$G$2,
SUMIFS('Balancete MLN_WebPosto'!$I:$I,'Balancete MLN_WebPosto'!$C:$C,$A56,'Balancete MLN_WebPosto'!$B:$B,$B$2),
  "0"
)</f>
        <v>0</v>
      </c>
      <c r="S56" s="4" t="str">
        <f>IF(Balancete_Oficial[[#Headers],[Outubro]]='Balancete MLN_WebPosto'!$G$2,
SUMIFS('Balancete MLN_WebPosto'!$I:$I,'Balancete MLN_WebPosto'!$C:$C,$A56,'Balancete MLN_WebPosto'!$B:$B,$B$2),
  "0"
)</f>
        <v>0</v>
      </c>
      <c r="T56" s="4" t="str">
        <f>IF(Balancete_Oficial[[#Headers],[Novembro]]='Balancete MLN_WebPosto'!$G$2,
SUMIFS('Balancete MLN_WebPosto'!$I:$I,'Balancete MLN_WebPosto'!$C:$C,$A56,'Balancete MLN_WebPosto'!$B:$B,$B$2),
  "0"
)</f>
        <v>0</v>
      </c>
      <c r="U56" s="4" t="str">
        <f>IF(Balancete_Oficial[[#Headers],[Dezembro]]='Balancete MLN_WebPosto'!$G$2,
SUMIFS('Balancete MLN_WebPosto'!$I:$I,'Balancete MLN_WebPosto'!$C:$C,$A56,'Balancete MLN_WebPosto'!$B:$B,$B$2),
  "0"
)</f>
        <v>0</v>
      </c>
    </row>
    <row r="57" spans="1:21" s="2" customFormat="1" x14ac:dyDescent="0.25">
      <c r="A57" s="2" t="str">
        <f>IF(Dados!H54="","",Dados!H54)</f>
        <v/>
      </c>
      <c r="B57" s="2" t="e">
        <f>VLOOKUP(Balancete_Oficial[[#This Row],[Conta]],'Balancete MLN_WebPosto'!C:E,3,0)</f>
        <v>#N/A</v>
      </c>
      <c r="C57" s="3" t="str">
        <f t="shared" si="3"/>
        <v>Sintética</v>
      </c>
      <c r="D57" s="6" t="str">
        <f t="shared" si="4"/>
        <v>R</v>
      </c>
      <c r="E57" s="6" t="str">
        <f t="shared" si="5"/>
        <v/>
      </c>
      <c r="F57" s="6"/>
      <c r="G57" s="6"/>
      <c r="H57" s="6"/>
      <c r="I57" s="6"/>
      <c r="J57" s="4" t="str">
        <f>IF(Balancete_Oficial[[#Headers],[Janeiro]]='Balancete MLN_WebPosto'!$G$2,
SUMIFS('Balancete MLN_WebPosto'!$J:$J,'Balancete MLN_WebPosto'!$C:$C,$A57,'Balancete MLN_WebPosto'!$B:$B,$B$2),
  "0"
)</f>
        <v>0</v>
      </c>
      <c r="K57" s="4" t="str">
        <f>IF(Balancete_Oficial[[#Headers],[Fevereiro]]='Balancete MLN_WebPosto'!$G$2,
SUMIFS('Balancete MLN_WebPosto'!$J:$J,'Balancete MLN_WebPosto'!$C:$C,$A57,'Balancete MLN_WebPosto'!$B:$B,$B$2),
  "0"
)</f>
        <v>0</v>
      </c>
      <c r="L57" s="4" t="str">
        <f>IF(Balancete_Oficial[[#Headers],[Março]]='Balancete MLN_WebPosto'!$G$2,
SUMIFS('Balancete MLN_WebPosto'!$J:$J,'Balancete MLN_WebPosto'!$C:$C,$A57,'Balancete MLN_WebPosto'!$B:$B,$B$2),
  "0"
)</f>
        <v>0</v>
      </c>
      <c r="M57" s="4" t="str">
        <f>IF(Balancete_Oficial[[#Headers],[Abril]]='Balancete MLN_WebPosto'!$G$2,
SUMIFS('Balancete MLN_WebPosto'!$J:$J,'Balancete MLN_WebPosto'!$C:$C,$A57,'Balancete MLN_WebPosto'!$B:$B,$B$2),
  "0"
)</f>
        <v>0</v>
      </c>
      <c r="N57" s="4" t="str">
        <f>IF(Balancete_Oficial[[#Headers],[Maio]]='Balancete MLN_WebPosto'!$G$2,
SUMIFS('Balancete MLN_WebPosto'!$I:$I,'Balancete MLN_WebPosto'!$C:$C,$A57,'Balancete MLN_WebPosto'!$B:$B,$B$2),
  "0"
)</f>
        <v>0</v>
      </c>
      <c r="O57" s="4" t="str">
        <f>IF(Balancete_Oficial[[#Headers],[Junho]]='Balancete MLN_WebPosto'!$G$2,
SUMIFS('Balancete MLN_WebPosto'!$I:$I,'Balancete MLN_WebPosto'!$C:$C,$A57,'Balancete MLN_WebPosto'!$B:$B,$B$2),
  "0"
)</f>
        <v>0</v>
      </c>
      <c r="P57" s="4" t="str">
        <f>IF(Balancete_Oficial[[#Headers],[Julho]]='Balancete MLN_WebPosto'!$G$2,
SUMIFS('Balancete MLN_WebPosto'!$I:$I,'Balancete MLN_WebPosto'!$C:$C,$A57,'Balancete MLN_WebPosto'!$B:$B,$B$2),
  "0"
)</f>
        <v>0</v>
      </c>
      <c r="Q57" s="4" t="str">
        <f>IF(Balancete_Oficial[[#Headers],[Agosto]]='Balancete MLN_WebPosto'!$G$2,
SUMIFS('Balancete MLN_WebPosto'!$I:$I,'Balancete MLN_WebPosto'!$C:$C,$A57,'Balancete MLN_WebPosto'!$B:$B,$B$2),
  "0"
)</f>
        <v>0</v>
      </c>
      <c r="R57" s="4">
        <f>IF(Balancete_Oficial[[#Headers],[Setembro]]='Balancete MLN_WebPosto'!$G$2,
SUMIFS('Balancete MLN_WebPosto'!$I:$I,'Balancete MLN_WebPosto'!$C:$C,$A57,'Balancete MLN_WebPosto'!$B:$B,$B$2),
  "0"
)</f>
        <v>0</v>
      </c>
      <c r="S57" s="4" t="str">
        <f>IF(Balancete_Oficial[[#Headers],[Outubro]]='Balancete MLN_WebPosto'!$G$2,
SUMIFS('Balancete MLN_WebPosto'!$I:$I,'Balancete MLN_WebPosto'!$C:$C,$A57,'Balancete MLN_WebPosto'!$B:$B,$B$2),
  "0"
)</f>
        <v>0</v>
      </c>
      <c r="T57" s="4" t="str">
        <f>IF(Balancete_Oficial[[#Headers],[Novembro]]='Balancete MLN_WebPosto'!$G$2,
SUMIFS('Balancete MLN_WebPosto'!$I:$I,'Balancete MLN_WebPosto'!$C:$C,$A57,'Balancete MLN_WebPosto'!$B:$B,$B$2),
  "0"
)</f>
        <v>0</v>
      </c>
      <c r="U57" s="4" t="str">
        <f>IF(Balancete_Oficial[[#Headers],[Dezembro]]='Balancete MLN_WebPosto'!$G$2,
SUMIFS('Balancete MLN_WebPosto'!$I:$I,'Balancete MLN_WebPosto'!$C:$C,$A57,'Balancete MLN_WebPosto'!$B:$B,$B$2),
  "0"
)</f>
        <v>0</v>
      </c>
    </row>
    <row r="58" spans="1:21" s="2" customFormat="1" x14ac:dyDescent="0.25">
      <c r="A58" s="2" t="str">
        <f>IF(Dados!H55="","",Dados!H55)</f>
        <v/>
      </c>
      <c r="B58" s="2" t="e">
        <f>VLOOKUP(Balancete_Oficial[[#This Row],[Conta]],'Balancete MLN_WebPosto'!C:E,3,0)</f>
        <v>#N/A</v>
      </c>
      <c r="C58" s="3" t="str">
        <f t="shared" si="3"/>
        <v>Sintética</v>
      </c>
      <c r="D58" s="6" t="str">
        <f t="shared" si="4"/>
        <v>R</v>
      </c>
      <c r="E58" s="6" t="str">
        <f t="shared" si="5"/>
        <v/>
      </c>
      <c r="F58" s="6"/>
      <c r="G58" s="6"/>
      <c r="H58" s="6"/>
      <c r="I58" s="6"/>
      <c r="J58" s="4" t="str">
        <f>IF(Balancete_Oficial[[#Headers],[Janeiro]]='Balancete MLN_WebPosto'!$G$2,
SUMIFS('Balancete MLN_WebPosto'!$J:$J,'Balancete MLN_WebPosto'!$C:$C,$A58,'Balancete MLN_WebPosto'!$B:$B,$B$2),
  "0"
)</f>
        <v>0</v>
      </c>
      <c r="K58" s="4" t="str">
        <f>IF(Balancete_Oficial[[#Headers],[Fevereiro]]='Balancete MLN_WebPosto'!$G$2,
SUMIFS('Balancete MLN_WebPosto'!$J:$J,'Balancete MLN_WebPosto'!$C:$C,$A58,'Balancete MLN_WebPosto'!$B:$B,$B$2),
  "0"
)</f>
        <v>0</v>
      </c>
      <c r="L58" s="4" t="str">
        <f>IF(Balancete_Oficial[[#Headers],[Março]]='Balancete MLN_WebPosto'!$G$2,
SUMIFS('Balancete MLN_WebPosto'!$J:$J,'Balancete MLN_WebPosto'!$C:$C,$A58,'Balancete MLN_WebPosto'!$B:$B,$B$2),
  "0"
)</f>
        <v>0</v>
      </c>
      <c r="M58" s="4" t="str">
        <f>IF(Balancete_Oficial[[#Headers],[Abril]]='Balancete MLN_WebPosto'!$G$2,
SUMIFS('Balancete MLN_WebPosto'!$J:$J,'Balancete MLN_WebPosto'!$C:$C,$A58,'Balancete MLN_WebPosto'!$B:$B,$B$2),
  "0"
)</f>
        <v>0</v>
      </c>
      <c r="N58" s="4" t="str">
        <f>IF(Balancete_Oficial[[#Headers],[Maio]]='Balancete MLN_WebPosto'!$G$2,
SUMIFS('Balancete MLN_WebPosto'!$I:$I,'Balancete MLN_WebPosto'!$C:$C,$A58,'Balancete MLN_WebPosto'!$B:$B,$B$2),
  "0"
)</f>
        <v>0</v>
      </c>
      <c r="O58" s="4" t="str">
        <f>IF(Balancete_Oficial[[#Headers],[Junho]]='Balancete MLN_WebPosto'!$G$2,
SUMIFS('Balancete MLN_WebPosto'!$I:$I,'Balancete MLN_WebPosto'!$C:$C,$A58,'Balancete MLN_WebPosto'!$B:$B,$B$2),
  "0"
)</f>
        <v>0</v>
      </c>
      <c r="P58" s="4" t="str">
        <f>IF(Balancete_Oficial[[#Headers],[Julho]]='Balancete MLN_WebPosto'!$G$2,
SUMIFS('Balancete MLN_WebPosto'!$I:$I,'Balancete MLN_WebPosto'!$C:$C,$A58,'Balancete MLN_WebPosto'!$B:$B,$B$2),
  "0"
)</f>
        <v>0</v>
      </c>
      <c r="Q58" s="4" t="str">
        <f>IF(Balancete_Oficial[[#Headers],[Agosto]]='Balancete MLN_WebPosto'!$G$2,
SUMIFS('Balancete MLN_WebPosto'!$I:$I,'Balancete MLN_WebPosto'!$C:$C,$A58,'Balancete MLN_WebPosto'!$B:$B,$B$2),
  "0"
)</f>
        <v>0</v>
      </c>
      <c r="R58" s="4">
        <f>IF(Balancete_Oficial[[#Headers],[Setembro]]='Balancete MLN_WebPosto'!$G$2,
SUMIFS('Balancete MLN_WebPosto'!$I:$I,'Balancete MLN_WebPosto'!$C:$C,$A58,'Balancete MLN_WebPosto'!$B:$B,$B$2),
  "0"
)</f>
        <v>0</v>
      </c>
      <c r="S58" s="4" t="str">
        <f>IF(Balancete_Oficial[[#Headers],[Outubro]]='Balancete MLN_WebPosto'!$G$2,
SUMIFS('Balancete MLN_WebPosto'!$I:$I,'Balancete MLN_WebPosto'!$C:$C,$A58,'Balancete MLN_WebPosto'!$B:$B,$B$2),
  "0"
)</f>
        <v>0</v>
      </c>
      <c r="T58" s="4" t="str">
        <f>IF(Balancete_Oficial[[#Headers],[Novembro]]='Balancete MLN_WebPosto'!$G$2,
SUMIFS('Balancete MLN_WebPosto'!$I:$I,'Balancete MLN_WebPosto'!$C:$C,$A58,'Balancete MLN_WebPosto'!$B:$B,$B$2),
  "0"
)</f>
        <v>0</v>
      </c>
      <c r="U58" s="4" t="str">
        <f>IF(Balancete_Oficial[[#Headers],[Dezembro]]='Balancete MLN_WebPosto'!$G$2,
SUMIFS('Balancete MLN_WebPosto'!$I:$I,'Balancete MLN_WebPosto'!$C:$C,$A58,'Balancete MLN_WebPosto'!$B:$B,$B$2),
  "0"
)</f>
        <v>0</v>
      </c>
    </row>
    <row r="59" spans="1:21" s="2" customFormat="1" x14ac:dyDescent="0.25">
      <c r="A59" s="2" t="str">
        <f>IF(Dados!H56="","",Dados!H56)</f>
        <v/>
      </c>
      <c r="B59" s="2" t="e">
        <f>VLOOKUP(Balancete_Oficial[[#This Row],[Conta]],'Balancete MLN_WebPosto'!C:E,3,0)</f>
        <v>#N/A</v>
      </c>
      <c r="C59" s="3" t="str">
        <f t="shared" si="3"/>
        <v>Sintética</v>
      </c>
      <c r="D59" s="6" t="str">
        <f t="shared" si="4"/>
        <v>R</v>
      </c>
      <c r="E59" s="6" t="str">
        <f t="shared" si="5"/>
        <v/>
      </c>
      <c r="F59" s="6"/>
      <c r="G59" s="6"/>
      <c r="H59" s="6"/>
      <c r="I59" s="6"/>
      <c r="J59" s="4" t="str">
        <f>IF(Balancete_Oficial[[#Headers],[Janeiro]]='Balancete MLN_WebPosto'!$G$2,
SUMIFS('Balancete MLN_WebPosto'!$J:$J,'Balancete MLN_WebPosto'!$C:$C,$A59,'Balancete MLN_WebPosto'!$B:$B,$B$2),
  "0"
)</f>
        <v>0</v>
      </c>
      <c r="K59" s="4" t="str">
        <f>IF(Balancete_Oficial[[#Headers],[Fevereiro]]='Balancete MLN_WebPosto'!$G$2,
SUMIFS('Balancete MLN_WebPosto'!$J:$J,'Balancete MLN_WebPosto'!$C:$C,$A59,'Balancete MLN_WebPosto'!$B:$B,$B$2),
  "0"
)</f>
        <v>0</v>
      </c>
      <c r="L59" s="4" t="str">
        <f>IF(Balancete_Oficial[[#Headers],[Março]]='Balancete MLN_WebPosto'!$G$2,
SUMIFS('Balancete MLN_WebPosto'!$J:$J,'Balancete MLN_WebPosto'!$C:$C,$A59,'Balancete MLN_WebPosto'!$B:$B,$B$2),
  "0"
)</f>
        <v>0</v>
      </c>
      <c r="M59" s="4" t="str">
        <f>IF(Balancete_Oficial[[#Headers],[Abril]]='Balancete MLN_WebPosto'!$G$2,
SUMIFS('Balancete MLN_WebPosto'!$J:$J,'Balancete MLN_WebPosto'!$C:$C,$A59,'Balancete MLN_WebPosto'!$B:$B,$B$2),
  "0"
)</f>
        <v>0</v>
      </c>
      <c r="N59" s="4" t="str">
        <f>IF(Balancete_Oficial[[#Headers],[Maio]]='Balancete MLN_WebPosto'!$G$2,
SUMIFS('Balancete MLN_WebPosto'!$I:$I,'Balancete MLN_WebPosto'!$C:$C,$A59,'Balancete MLN_WebPosto'!$B:$B,$B$2),
  "0"
)</f>
        <v>0</v>
      </c>
      <c r="O59" s="4" t="str">
        <f>IF(Balancete_Oficial[[#Headers],[Junho]]='Balancete MLN_WebPosto'!$G$2,
SUMIFS('Balancete MLN_WebPosto'!$I:$I,'Balancete MLN_WebPosto'!$C:$C,$A59,'Balancete MLN_WebPosto'!$B:$B,$B$2),
  "0"
)</f>
        <v>0</v>
      </c>
      <c r="P59" s="4" t="str">
        <f>IF(Balancete_Oficial[[#Headers],[Julho]]='Balancete MLN_WebPosto'!$G$2,
SUMIFS('Balancete MLN_WebPosto'!$I:$I,'Balancete MLN_WebPosto'!$C:$C,$A59,'Balancete MLN_WebPosto'!$B:$B,$B$2),
  "0"
)</f>
        <v>0</v>
      </c>
      <c r="Q59" s="4" t="str">
        <f>IF(Balancete_Oficial[[#Headers],[Agosto]]='Balancete MLN_WebPosto'!$G$2,
SUMIFS('Balancete MLN_WebPosto'!$I:$I,'Balancete MLN_WebPosto'!$C:$C,$A59,'Balancete MLN_WebPosto'!$B:$B,$B$2),
  "0"
)</f>
        <v>0</v>
      </c>
      <c r="R59" s="4">
        <f>IF(Balancete_Oficial[[#Headers],[Setembro]]='Balancete MLN_WebPosto'!$G$2,
SUMIFS('Balancete MLN_WebPosto'!$I:$I,'Balancete MLN_WebPosto'!$C:$C,$A59,'Balancete MLN_WebPosto'!$B:$B,$B$2),
  "0"
)</f>
        <v>0</v>
      </c>
      <c r="S59" s="4" t="str">
        <f>IF(Balancete_Oficial[[#Headers],[Outubro]]='Balancete MLN_WebPosto'!$G$2,
SUMIFS('Balancete MLN_WebPosto'!$I:$I,'Balancete MLN_WebPosto'!$C:$C,$A59,'Balancete MLN_WebPosto'!$B:$B,$B$2),
  "0"
)</f>
        <v>0</v>
      </c>
      <c r="T59" s="4" t="str">
        <f>IF(Balancete_Oficial[[#Headers],[Novembro]]='Balancete MLN_WebPosto'!$G$2,
SUMIFS('Balancete MLN_WebPosto'!$I:$I,'Balancete MLN_WebPosto'!$C:$C,$A59,'Balancete MLN_WebPosto'!$B:$B,$B$2),
  "0"
)</f>
        <v>0</v>
      </c>
      <c r="U59" s="4" t="str">
        <f>IF(Balancete_Oficial[[#Headers],[Dezembro]]='Balancete MLN_WebPosto'!$G$2,
SUMIFS('Balancete MLN_WebPosto'!$I:$I,'Balancete MLN_WebPosto'!$C:$C,$A59,'Balancete MLN_WebPosto'!$B:$B,$B$2),
  "0"
)</f>
        <v>0</v>
      </c>
    </row>
    <row r="60" spans="1:21" s="2" customFormat="1" x14ac:dyDescent="0.25">
      <c r="A60" s="2" t="str">
        <f>IF(Dados!H57="","",Dados!H57)</f>
        <v/>
      </c>
      <c r="B60" s="2" t="e">
        <f>VLOOKUP(Balancete_Oficial[[#This Row],[Conta]],'Balancete MLN_WebPosto'!C:E,3,0)</f>
        <v>#N/A</v>
      </c>
      <c r="C60" s="3" t="str">
        <f t="shared" si="3"/>
        <v>Sintética</v>
      </c>
      <c r="D60" s="6" t="str">
        <f t="shared" si="4"/>
        <v>R</v>
      </c>
      <c r="E60" s="6" t="str">
        <f t="shared" si="5"/>
        <v/>
      </c>
      <c r="F60" s="6"/>
      <c r="G60" s="6"/>
      <c r="H60" s="6"/>
      <c r="I60" s="6"/>
      <c r="J60" s="4" t="str">
        <f>IF(Balancete_Oficial[[#Headers],[Janeiro]]='Balancete MLN_WebPosto'!$G$2,
SUMIFS('Balancete MLN_WebPosto'!$J:$J,'Balancete MLN_WebPosto'!$C:$C,$A60,'Balancete MLN_WebPosto'!$B:$B,$B$2),
  "0"
)</f>
        <v>0</v>
      </c>
      <c r="K60" s="4" t="str">
        <f>IF(Balancete_Oficial[[#Headers],[Fevereiro]]='Balancete MLN_WebPosto'!$G$2,
SUMIFS('Balancete MLN_WebPosto'!$J:$J,'Balancete MLN_WebPosto'!$C:$C,$A60,'Balancete MLN_WebPosto'!$B:$B,$B$2),
  "0"
)</f>
        <v>0</v>
      </c>
      <c r="L60" s="4" t="str">
        <f>IF(Balancete_Oficial[[#Headers],[Março]]='Balancete MLN_WebPosto'!$G$2,
SUMIFS('Balancete MLN_WebPosto'!$J:$J,'Balancete MLN_WebPosto'!$C:$C,$A60,'Balancete MLN_WebPosto'!$B:$B,$B$2),
  "0"
)</f>
        <v>0</v>
      </c>
      <c r="M60" s="4" t="str">
        <f>IF(Balancete_Oficial[[#Headers],[Abril]]='Balancete MLN_WebPosto'!$G$2,
SUMIFS('Balancete MLN_WebPosto'!$J:$J,'Balancete MLN_WebPosto'!$C:$C,$A60,'Balancete MLN_WebPosto'!$B:$B,$B$2),
  "0"
)</f>
        <v>0</v>
      </c>
      <c r="N60" s="4" t="str">
        <f>IF(Balancete_Oficial[[#Headers],[Maio]]='Balancete MLN_WebPosto'!$G$2,
SUMIFS('Balancete MLN_WebPosto'!$I:$I,'Balancete MLN_WebPosto'!$C:$C,$A60,'Balancete MLN_WebPosto'!$B:$B,$B$2),
  "0"
)</f>
        <v>0</v>
      </c>
      <c r="O60" s="4" t="str">
        <f>IF(Balancete_Oficial[[#Headers],[Junho]]='Balancete MLN_WebPosto'!$G$2,
SUMIFS('Balancete MLN_WebPosto'!$I:$I,'Balancete MLN_WebPosto'!$C:$C,$A60,'Balancete MLN_WebPosto'!$B:$B,$B$2),
  "0"
)</f>
        <v>0</v>
      </c>
      <c r="P60" s="4" t="str">
        <f>IF(Balancete_Oficial[[#Headers],[Julho]]='Balancete MLN_WebPosto'!$G$2,
SUMIFS('Balancete MLN_WebPosto'!$I:$I,'Balancete MLN_WebPosto'!$C:$C,$A60,'Balancete MLN_WebPosto'!$B:$B,$B$2),
  "0"
)</f>
        <v>0</v>
      </c>
      <c r="Q60" s="4" t="str">
        <f>IF(Balancete_Oficial[[#Headers],[Agosto]]='Balancete MLN_WebPosto'!$G$2,
SUMIFS('Balancete MLN_WebPosto'!$I:$I,'Balancete MLN_WebPosto'!$C:$C,$A60,'Balancete MLN_WebPosto'!$B:$B,$B$2),
  "0"
)</f>
        <v>0</v>
      </c>
      <c r="R60" s="4">
        <f>IF(Balancete_Oficial[[#Headers],[Setembro]]='Balancete MLN_WebPosto'!$G$2,
SUMIFS('Balancete MLN_WebPosto'!$I:$I,'Balancete MLN_WebPosto'!$C:$C,$A60,'Balancete MLN_WebPosto'!$B:$B,$B$2),
  "0"
)</f>
        <v>0</v>
      </c>
      <c r="S60" s="4" t="str">
        <f>IF(Balancete_Oficial[[#Headers],[Outubro]]='Balancete MLN_WebPosto'!$G$2,
SUMIFS('Balancete MLN_WebPosto'!$I:$I,'Balancete MLN_WebPosto'!$C:$C,$A60,'Balancete MLN_WebPosto'!$B:$B,$B$2),
  "0"
)</f>
        <v>0</v>
      </c>
      <c r="T60" s="4" t="str">
        <f>IF(Balancete_Oficial[[#Headers],[Novembro]]='Balancete MLN_WebPosto'!$G$2,
SUMIFS('Balancete MLN_WebPosto'!$I:$I,'Balancete MLN_WebPosto'!$C:$C,$A60,'Balancete MLN_WebPosto'!$B:$B,$B$2),
  "0"
)</f>
        <v>0</v>
      </c>
      <c r="U60" s="4" t="str">
        <f>IF(Balancete_Oficial[[#Headers],[Dezembro]]='Balancete MLN_WebPosto'!$G$2,
SUMIFS('Balancete MLN_WebPosto'!$I:$I,'Balancete MLN_WebPosto'!$C:$C,$A60,'Balancete MLN_WebPosto'!$B:$B,$B$2),
  "0"
)</f>
        <v>0</v>
      </c>
    </row>
    <row r="61" spans="1:21" s="2" customFormat="1" x14ac:dyDescent="0.25">
      <c r="A61" s="2" t="str">
        <f>IF(Dados!H58="","",Dados!H58)</f>
        <v/>
      </c>
      <c r="B61" s="2" t="e">
        <f>VLOOKUP(Balancete_Oficial[[#This Row],[Conta]],'Balancete MLN_WebPosto'!C:E,3,0)</f>
        <v>#N/A</v>
      </c>
      <c r="C61" s="3" t="str">
        <f t="shared" si="3"/>
        <v>Sintética</v>
      </c>
      <c r="D61" s="6" t="str">
        <f t="shared" si="4"/>
        <v>R</v>
      </c>
      <c r="E61" s="6" t="str">
        <f t="shared" si="5"/>
        <v/>
      </c>
      <c r="F61" s="6"/>
      <c r="G61" s="6"/>
      <c r="H61" s="6"/>
      <c r="I61" s="6"/>
      <c r="J61" s="4" t="str">
        <f>IF(Balancete_Oficial[[#Headers],[Janeiro]]='Balancete MLN_WebPosto'!$G$2,
SUMIFS('Balancete MLN_WebPosto'!$J:$J,'Balancete MLN_WebPosto'!$C:$C,$A61,'Balancete MLN_WebPosto'!$B:$B,$B$2),
  "0"
)</f>
        <v>0</v>
      </c>
      <c r="K61" s="4" t="str">
        <f>IF(Balancete_Oficial[[#Headers],[Fevereiro]]='Balancete MLN_WebPosto'!$G$2,
SUMIFS('Balancete MLN_WebPosto'!$J:$J,'Balancete MLN_WebPosto'!$C:$C,$A61,'Balancete MLN_WebPosto'!$B:$B,$B$2),
  "0"
)</f>
        <v>0</v>
      </c>
      <c r="L61" s="4" t="str">
        <f>IF(Balancete_Oficial[[#Headers],[Março]]='Balancete MLN_WebPosto'!$G$2,
SUMIFS('Balancete MLN_WebPosto'!$J:$J,'Balancete MLN_WebPosto'!$C:$C,$A61,'Balancete MLN_WebPosto'!$B:$B,$B$2),
  "0"
)</f>
        <v>0</v>
      </c>
      <c r="M61" s="4" t="str">
        <f>IF(Balancete_Oficial[[#Headers],[Abril]]='Balancete MLN_WebPosto'!$G$2,
SUMIFS('Balancete MLN_WebPosto'!$J:$J,'Balancete MLN_WebPosto'!$C:$C,$A61,'Balancete MLN_WebPosto'!$B:$B,$B$2),
  "0"
)</f>
        <v>0</v>
      </c>
      <c r="N61" s="4" t="str">
        <f>IF(Balancete_Oficial[[#Headers],[Maio]]='Balancete MLN_WebPosto'!$G$2,
SUMIFS('Balancete MLN_WebPosto'!$I:$I,'Balancete MLN_WebPosto'!$C:$C,$A61,'Balancete MLN_WebPosto'!$B:$B,$B$2),
  "0"
)</f>
        <v>0</v>
      </c>
      <c r="O61" s="4" t="str">
        <f>IF(Balancete_Oficial[[#Headers],[Junho]]='Balancete MLN_WebPosto'!$G$2,
SUMIFS('Balancete MLN_WebPosto'!$I:$I,'Balancete MLN_WebPosto'!$C:$C,$A61,'Balancete MLN_WebPosto'!$B:$B,$B$2),
  "0"
)</f>
        <v>0</v>
      </c>
      <c r="P61" s="4" t="str">
        <f>IF(Balancete_Oficial[[#Headers],[Julho]]='Balancete MLN_WebPosto'!$G$2,
SUMIFS('Balancete MLN_WebPosto'!$I:$I,'Balancete MLN_WebPosto'!$C:$C,$A61,'Balancete MLN_WebPosto'!$B:$B,$B$2),
  "0"
)</f>
        <v>0</v>
      </c>
      <c r="Q61" s="4" t="str">
        <f>IF(Balancete_Oficial[[#Headers],[Agosto]]='Balancete MLN_WebPosto'!$G$2,
SUMIFS('Balancete MLN_WebPosto'!$I:$I,'Balancete MLN_WebPosto'!$C:$C,$A61,'Balancete MLN_WebPosto'!$B:$B,$B$2),
  "0"
)</f>
        <v>0</v>
      </c>
      <c r="R61" s="4">
        <f>IF(Balancete_Oficial[[#Headers],[Setembro]]='Balancete MLN_WebPosto'!$G$2,
SUMIFS('Balancete MLN_WebPosto'!$I:$I,'Balancete MLN_WebPosto'!$C:$C,$A61,'Balancete MLN_WebPosto'!$B:$B,$B$2),
  "0"
)</f>
        <v>0</v>
      </c>
      <c r="S61" s="4" t="str">
        <f>IF(Balancete_Oficial[[#Headers],[Outubro]]='Balancete MLN_WebPosto'!$G$2,
SUMIFS('Balancete MLN_WebPosto'!$I:$I,'Balancete MLN_WebPosto'!$C:$C,$A61,'Balancete MLN_WebPosto'!$B:$B,$B$2),
  "0"
)</f>
        <v>0</v>
      </c>
      <c r="T61" s="4" t="str">
        <f>IF(Balancete_Oficial[[#Headers],[Novembro]]='Balancete MLN_WebPosto'!$G$2,
SUMIFS('Balancete MLN_WebPosto'!$I:$I,'Balancete MLN_WebPosto'!$C:$C,$A61,'Balancete MLN_WebPosto'!$B:$B,$B$2),
  "0"
)</f>
        <v>0</v>
      </c>
      <c r="U61" s="4" t="str">
        <f>IF(Balancete_Oficial[[#Headers],[Dezembro]]='Balancete MLN_WebPosto'!$G$2,
SUMIFS('Balancete MLN_WebPosto'!$I:$I,'Balancete MLN_WebPosto'!$C:$C,$A61,'Balancete MLN_WebPosto'!$B:$B,$B$2),
  "0"
)</f>
        <v>0</v>
      </c>
    </row>
    <row r="62" spans="1:21" s="2" customFormat="1" x14ac:dyDescent="0.25">
      <c r="A62" s="2" t="str">
        <f>IF(Dados!H59="","",Dados!H59)</f>
        <v/>
      </c>
      <c r="B62" s="2" t="e">
        <f>VLOOKUP(Balancete_Oficial[[#This Row],[Conta]],'Balancete MLN_WebPosto'!C:E,3,0)</f>
        <v>#N/A</v>
      </c>
      <c r="C62" s="3" t="str">
        <f t="shared" si="3"/>
        <v>Sintética</v>
      </c>
      <c r="D62" s="6" t="str">
        <f t="shared" si="4"/>
        <v>R</v>
      </c>
      <c r="E62" s="6" t="str">
        <f t="shared" si="5"/>
        <v/>
      </c>
      <c r="F62" s="6"/>
      <c r="G62" s="6"/>
      <c r="H62" s="6"/>
      <c r="I62" s="6"/>
      <c r="J62" s="4" t="str">
        <f>IF(Balancete_Oficial[[#Headers],[Janeiro]]='Balancete MLN_WebPosto'!$G$2,
SUMIFS('Balancete MLN_WebPosto'!$J:$J,'Balancete MLN_WebPosto'!$C:$C,$A62,'Balancete MLN_WebPosto'!$B:$B,$B$2),
  "0"
)</f>
        <v>0</v>
      </c>
      <c r="K62" s="4" t="str">
        <f>IF(Balancete_Oficial[[#Headers],[Fevereiro]]='Balancete MLN_WebPosto'!$G$2,
SUMIFS('Balancete MLN_WebPosto'!$J:$J,'Balancete MLN_WebPosto'!$C:$C,$A62,'Balancete MLN_WebPosto'!$B:$B,$B$2),
  "0"
)</f>
        <v>0</v>
      </c>
      <c r="L62" s="4" t="str">
        <f>IF(Balancete_Oficial[[#Headers],[Março]]='Balancete MLN_WebPosto'!$G$2,
SUMIFS('Balancete MLN_WebPosto'!$J:$J,'Balancete MLN_WebPosto'!$C:$C,$A62,'Balancete MLN_WebPosto'!$B:$B,$B$2),
  "0"
)</f>
        <v>0</v>
      </c>
      <c r="M62" s="4" t="str">
        <f>IF(Balancete_Oficial[[#Headers],[Abril]]='Balancete MLN_WebPosto'!$G$2,
SUMIFS('Balancete MLN_WebPosto'!$J:$J,'Balancete MLN_WebPosto'!$C:$C,$A62,'Balancete MLN_WebPosto'!$B:$B,$B$2),
  "0"
)</f>
        <v>0</v>
      </c>
      <c r="N62" s="4" t="str">
        <f>IF(Balancete_Oficial[[#Headers],[Maio]]='Balancete MLN_WebPosto'!$G$2,
SUMIFS('Balancete MLN_WebPosto'!$I:$I,'Balancete MLN_WebPosto'!$C:$C,$A62,'Balancete MLN_WebPosto'!$B:$B,$B$2),
  "0"
)</f>
        <v>0</v>
      </c>
      <c r="O62" s="4" t="str">
        <f>IF(Balancete_Oficial[[#Headers],[Junho]]='Balancete MLN_WebPosto'!$G$2,
SUMIFS('Balancete MLN_WebPosto'!$I:$I,'Balancete MLN_WebPosto'!$C:$C,$A62,'Balancete MLN_WebPosto'!$B:$B,$B$2),
  "0"
)</f>
        <v>0</v>
      </c>
      <c r="P62" s="4" t="str">
        <f>IF(Balancete_Oficial[[#Headers],[Julho]]='Balancete MLN_WebPosto'!$G$2,
SUMIFS('Balancete MLN_WebPosto'!$I:$I,'Balancete MLN_WebPosto'!$C:$C,$A62,'Balancete MLN_WebPosto'!$B:$B,$B$2),
  "0"
)</f>
        <v>0</v>
      </c>
      <c r="Q62" s="4" t="str">
        <f>IF(Balancete_Oficial[[#Headers],[Agosto]]='Balancete MLN_WebPosto'!$G$2,
SUMIFS('Balancete MLN_WebPosto'!$I:$I,'Balancete MLN_WebPosto'!$C:$C,$A62,'Balancete MLN_WebPosto'!$B:$B,$B$2),
  "0"
)</f>
        <v>0</v>
      </c>
      <c r="R62" s="4">
        <f>IF(Balancete_Oficial[[#Headers],[Setembro]]='Balancete MLN_WebPosto'!$G$2,
SUMIFS('Balancete MLN_WebPosto'!$I:$I,'Balancete MLN_WebPosto'!$C:$C,$A62,'Balancete MLN_WebPosto'!$B:$B,$B$2),
  "0"
)</f>
        <v>0</v>
      </c>
      <c r="S62" s="4" t="str">
        <f>IF(Balancete_Oficial[[#Headers],[Outubro]]='Balancete MLN_WebPosto'!$G$2,
SUMIFS('Balancete MLN_WebPosto'!$I:$I,'Balancete MLN_WebPosto'!$C:$C,$A62,'Balancete MLN_WebPosto'!$B:$B,$B$2),
  "0"
)</f>
        <v>0</v>
      </c>
      <c r="T62" s="4" t="str">
        <f>IF(Balancete_Oficial[[#Headers],[Novembro]]='Balancete MLN_WebPosto'!$G$2,
SUMIFS('Balancete MLN_WebPosto'!$I:$I,'Balancete MLN_WebPosto'!$C:$C,$A62,'Balancete MLN_WebPosto'!$B:$B,$B$2),
  "0"
)</f>
        <v>0</v>
      </c>
      <c r="U62" s="4" t="str">
        <f>IF(Balancete_Oficial[[#Headers],[Dezembro]]='Balancete MLN_WebPosto'!$G$2,
SUMIFS('Balancete MLN_WebPosto'!$I:$I,'Balancete MLN_WebPosto'!$C:$C,$A62,'Balancete MLN_WebPosto'!$B:$B,$B$2),
  "0"
)</f>
        <v>0</v>
      </c>
    </row>
    <row r="63" spans="1:21" s="2" customFormat="1" x14ac:dyDescent="0.25">
      <c r="A63" s="2" t="str">
        <f>IF(Dados!H60="","",Dados!H60)</f>
        <v/>
      </c>
      <c r="B63" s="2" t="e">
        <f>VLOOKUP(Balancete_Oficial[[#This Row],[Conta]],'Balancete MLN_WebPosto'!C:E,3,0)</f>
        <v>#N/A</v>
      </c>
      <c r="C63" s="3" t="str">
        <f t="shared" si="3"/>
        <v>Sintética</v>
      </c>
      <c r="D63" s="6" t="str">
        <f t="shared" si="4"/>
        <v>R</v>
      </c>
      <c r="E63" s="6" t="str">
        <f t="shared" si="5"/>
        <v/>
      </c>
      <c r="F63" s="6"/>
      <c r="G63" s="6"/>
      <c r="H63" s="6"/>
      <c r="I63" s="6"/>
      <c r="J63" s="4" t="str">
        <f>IF(Balancete_Oficial[[#Headers],[Janeiro]]='Balancete MLN_WebPosto'!$G$2,
SUMIFS('Balancete MLN_WebPosto'!$J:$J,'Balancete MLN_WebPosto'!$C:$C,$A63,'Balancete MLN_WebPosto'!$B:$B,$B$2),
  "0"
)</f>
        <v>0</v>
      </c>
      <c r="K63" s="4" t="str">
        <f>IF(Balancete_Oficial[[#Headers],[Fevereiro]]='Balancete MLN_WebPosto'!$G$2,
SUMIFS('Balancete MLN_WebPosto'!$J:$J,'Balancete MLN_WebPosto'!$C:$C,$A63,'Balancete MLN_WebPosto'!$B:$B,$B$2),
  "0"
)</f>
        <v>0</v>
      </c>
      <c r="L63" s="4" t="str">
        <f>IF(Balancete_Oficial[[#Headers],[Março]]='Balancete MLN_WebPosto'!$G$2,
SUMIFS('Balancete MLN_WebPosto'!$J:$J,'Balancete MLN_WebPosto'!$C:$C,$A63,'Balancete MLN_WebPosto'!$B:$B,$B$2),
  "0"
)</f>
        <v>0</v>
      </c>
      <c r="M63" s="4" t="str">
        <f>IF(Balancete_Oficial[[#Headers],[Abril]]='Balancete MLN_WebPosto'!$G$2,
SUMIFS('Balancete MLN_WebPosto'!$J:$J,'Balancete MLN_WebPosto'!$C:$C,$A63,'Balancete MLN_WebPosto'!$B:$B,$B$2),
  "0"
)</f>
        <v>0</v>
      </c>
      <c r="N63" s="4" t="str">
        <f>IF(Balancete_Oficial[[#Headers],[Maio]]='Balancete MLN_WebPosto'!$G$2,
SUMIFS('Balancete MLN_WebPosto'!$I:$I,'Balancete MLN_WebPosto'!$C:$C,$A63,'Balancete MLN_WebPosto'!$B:$B,$B$2),
  "0"
)</f>
        <v>0</v>
      </c>
      <c r="O63" s="4" t="str">
        <f>IF(Balancete_Oficial[[#Headers],[Junho]]='Balancete MLN_WebPosto'!$G$2,
SUMIFS('Balancete MLN_WebPosto'!$I:$I,'Balancete MLN_WebPosto'!$C:$C,$A63,'Balancete MLN_WebPosto'!$B:$B,$B$2),
  "0"
)</f>
        <v>0</v>
      </c>
      <c r="P63" s="4" t="str">
        <f>IF(Balancete_Oficial[[#Headers],[Julho]]='Balancete MLN_WebPosto'!$G$2,
SUMIFS('Balancete MLN_WebPosto'!$I:$I,'Balancete MLN_WebPosto'!$C:$C,$A63,'Balancete MLN_WebPosto'!$B:$B,$B$2),
  "0"
)</f>
        <v>0</v>
      </c>
      <c r="Q63" s="4" t="str">
        <f>IF(Balancete_Oficial[[#Headers],[Agosto]]='Balancete MLN_WebPosto'!$G$2,
SUMIFS('Balancete MLN_WebPosto'!$I:$I,'Balancete MLN_WebPosto'!$C:$C,$A63,'Balancete MLN_WebPosto'!$B:$B,$B$2),
  "0"
)</f>
        <v>0</v>
      </c>
      <c r="R63" s="4">
        <f>IF(Balancete_Oficial[[#Headers],[Setembro]]='Balancete MLN_WebPosto'!$G$2,
SUMIFS('Balancete MLN_WebPosto'!$I:$I,'Balancete MLN_WebPosto'!$C:$C,$A63,'Balancete MLN_WebPosto'!$B:$B,$B$2),
  "0"
)</f>
        <v>0</v>
      </c>
      <c r="S63" s="4" t="str">
        <f>IF(Balancete_Oficial[[#Headers],[Outubro]]='Balancete MLN_WebPosto'!$G$2,
SUMIFS('Balancete MLN_WebPosto'!$I:$I,'Balancete MLN_WebPosto'!$C:$C,$A63,'Balancete MLN_WebPosto'!$B:$B,$B$2),
  "0"
)</f>
        <v>0</v>
      </c>
      <c r="T63" s="4" t="str">
        <f>IF(Balancete_Oficial[[#Headers],[Novembro]]='Balancete MLN_WebPosto'!$G$2,
SUMIFS('Balancete MLN_WebPosto'!$I:$I,'Balancete MLN_WebPosto'!$C:$C,$A63,'Balancete MLN_WebPosto'!$B:$B,$B$2),
  "0"
)</f>
        <v>0</v>
      </c>
      <c r="U63" s="4" t="str">
        <f>IF(Balancete_Oficial[[#Headers],[Dezembro]]='Balancete MLN_WebPosto'!$G$2,
SUMIFS('Balancete MLN_WebPosto'!$I:$I,'Balancete MLN_WebPosto'!$C:$C,$A63,'Balancete MLN_WebPosto'!$B:$B,$B$2),
  "0"
)</f>
        <v>0</v>
      </c>
    </row>
    <row r="64" spans="1:21" s="2" customFormat="1" x14ac:dyDescent="0.25">
      <c r="A64" s="2" t="str">
        <f>IF(Dados!H61="","",Dados!H61)</f>
        <v/>
      </c>
      <c r="B64" s="2" t="e">
        <f>VLOOKUP(Balancete_Oficial[[#This Row],[Conta]],'Balancete MLN_WebPosto'!C:E,3,0)</f>
        <v>#N/A</v>
      </c>
      <c r="C64" s="3" t="str">
        <f t="shared" si="3"/>
        <v>Sintética</v>
      </c>
      <c r="D64" s="6" t="str">
        <f t="shared" si="4"/>
        <v>R</v>
      </c>
      <c r="E64" s="6" t="str">
        <f t="shared" si="5"/>
        <v/>
      </c>
      <c r="F64" s="6"/>
      <c r="G64" s="6"/>
      <c r="H64" s="6"/>
      <c r="I64" s="6"/>
      <c r="J64" s="4" t="str">
        <f>IF(Balancete_Oficial[[#Headers],[Janeiro]]='Balancete MLN_WebPosto'!$G$2,
SUMIFS('Balancete MLN_WebPosto'!$J:$J,'Balancete MLN_WebPosto'!$C:$C,$A64,'Balancete MLN_WebPosto'!$B:$B,$B$2),
  "0"
)</f>
        <v>0</v>
      </c>
      <c r="K64" s="4" t="str">
        <f>IF(Balancete_Oficial[[#Headers],[Fevereiro]]='Balancete MLN_WebPosto'!$G$2,
SUMIFS('Balancete MLN_WebPosto'!$J:$J,'Balancete MLN_WebPosto'!$C:$C,$A64,'Balancete MLN_WebPosto'!$B:$B,$B$2),
  "0"
)</f>
        <v>0</v>
      </c>
      <c r="L64" s="4" t="str">
        <f>IF(Balancete_Oficial[[#Headers],[Março]]='Balancete MLN_WebPosto'!$G$2,
SUMIFS('Balancete MLN_WebPosto'!$J:$J,'Balancete MLN_WebPosto'!$C:$C,$A64,'Balancete MLN_WebPosto'!$B:$B,$B$2),
  "0"
)</f>
        <v>0</v>
      </c>
      <c r="M64" s="4" t="str">
        <f>IF(Balancete_Oficial[[#Headers],[Abril]]='Balancete MLN_WebPosto'!$G$2,
SUMIFS('Balancete MLN_WebPosto'!$J:$J,'Balancete MLN_WebPosto'!$C:$C,$A64,'Balancete MLN_WebPosto'!$B:$B,$B$2),
  "0"
)</f>
        <v>0</v>
      </c>
      <c r="N64" s="4" t="str">
        <f>IF(Balancete_Oficial[[#Headers],[Maio]]='Balancete MLN_WebPosto'!$G$2,
SUMIFS('Balancete MLN_WebPosto'!$I:$I,'Balancete MLN_WebPosto'!$C:$C,$A64,'Balancete MLN_WebPosto'!$B:$B,$B$2),
  "0"
)</f>
        <v>0</v>
      </c>
      <c r="O64" s="4" t="str">
        <f>IF(Balancete_Oficial[[#Headers],[Junho]]='Balancete MLN_WebPosto'!$G$2,
SUMIFS('Balancete MLN_WebPosto'!$I:$I,'Balancete MLN_WebPosto'!$C:$C,$A64,'Balancete MLN_WebPosto'!$B:$B,$B$2),
  "0"
)</f>
        <v>0</v>
      </c>
      <c r="P64" s="4" t="str">
        <f>IF(Balancete_Oficial[[#Headers],[Julho]]='Balancete MLN_WebPosto'!$G$2,
SUMIFS('Balancete MLN_WebPosto'!$I:$I,'Balancete MLN_WebPosto'!$C:$C,$A64,'Balancete MLN_WebPosto'!$B:$B,$B$2),
  "0"
)</f>
        <v>0</v>
      </c>
      <c r="Q64" s="4" t="str">
        <f>IF(Balancete_Oficial[[#Headers],[Agosto]]='Balancete MLN_WebPosto'!$G$2,
SUMIFS('Balancete MLN_WebPosto'!$I:$I,'Balancete MLN_WebPosto'!$C:$C,$A64,'Balancete MLN_WebPosto'!$B:$B,$B$2),
  "0"
)</f>
        <v>0</v>
      </c>
      <c r="R64" s="4">
        <f>IF(Balancete_Oficial[[#Headers],[Setembro]]='Balancete MLN_WebPosto'!$G$2,
SUMIFS('Balancete MLN_WebPosto'!$I:$I,'Balancete MLN_WebPosto'!$C:$C,$A64,'Balancete MLN_WebPosto'!$B:$B,$B$2),
  "0"
)</f>
        <v>0</v>
      </c>
      <c r="S64" s="4" t="str">
        <f>IF(Balancete_Oficial[[#Headers],[Outubro]]='Balancete MLN_WebPosto'!$G$2,
SUMIFS('Balancete MLN_WebPosto'!$I:$I,'Balancete MLN_WebPosto'!$C:$C,$A64,'Balancete MLN_WebPosto'!$B:$B,$B$2),
  "0"
)</f>
        <v>0</v>
      </c>
      <c r="T64" s="4" t="str">
        <f>IF(Balancete_Oficial[[#Headers],[Novembro]]='Balancete MLN_WebPosto'!$G$2,
SUMIFS('Balancete MLN_WebPosto'!$I:$I,'Balancete MLN_WebPosto'!$C:$C,$A64,'Balancete MLN_WebPosto'!$B:$B,$B$2),
  "0"
)</f>
        <v>0</v>
      </c>
      <c r="U64" s="4" t="str">
        <f>IF(Balancete_Oficial[[#Headers],[Dezembro]]='Balancete MLN_WebPosto'!$G$2,
SUMIFS('Balancete MLN_WebPosto'!$I:$I,'Balancete MLN_WebPosto'!$C:$C,$A64,'Balancete MLN_WebPosto'!$B:$B,$B$2),
  "0"
)</f>
        <v>0</v>
      </c>
    </row>
    <row r="65" spans="1:21" s="2" customFormat="1" x14ac:dyDescent="0.25">
      <c r="A65" s="2" t="str">
        <f>IF(Dados!H62="","",Dados!H62)</f>
        <v/>
      </c>
      <c r="B65" s="2" t="e">
        <f>VLOOKUP(Balancete_Oficial[[#This Row],[Conta]],'Balancete MLN_WebPosto'!C:E,3,0)</f>
        <v>#N/A</v>
      </c>
      <c r="C65" s="3" t="str">
        <f t="shared" si="3"/>
        <v>Sintética</v>
      </c>
      <c r="D65" s="6" t="str">
        <f t="shared" si="4"/>
        <v>R</v>
      </c>
      <c r="E65" s="6" t="str">
        <f t="shared" si="5"/>
        <v/>
      </c>
      <c r="F65" s="6"/>
      <c r="G65" s="6"/>
      <c r="H65" s="6"/>
      <c r="I65" s="6"/>
      <c r="J65" s="4" t="str">
        <f>IF(Balancete_Oficial[[#Headers],[Janeiro]]='Balancete MLN_WebPosto'!$G$2,
SUMIFS('Balancete MLN_WebPosto'!$J:$J,'Balancete MLN_WebPosto'!$C:$C,$A65,'Balancete MLN_WebPosto'!$B:$B,$B$2),
  "0"
)</f>
        <v>0</v>
      </c>
      <c r="K65" s="4" t="str">
        <f>IF(Balancete_Oficial[[#Headers],[Fevereiro]]='Balancete MLN_WebPosto'!$G$2,
SUMIFS('Balancete MLN_WebPosto'!$J:$J,'Balancete MLN_WebPosto'!$C:$C,$A65,'Balancete MLN_WebPosto'!$B:$B,$B$2),
  "0"
)</f>
        <v>0</v>
      </c>
      <c r="L65" s="4" t="str">
        <f>IF(Balancete_Oficial[[#Headers],[Março]]='Balancete MLN_WebPosto'!$G$2,
SUMIFS('Balancete MLN_WebPosto'!$J:$J,'Balancete MLN_WebPosto'!$C:$C,$A65,'Balancete MLN_WebPosto'!$B:$B,$B$2),
  "0"
)</f>
        <v>0</v>
      </c>
      <c r="M65" s="4" t="str">
        <f>IF(Balancete_Oficial[[#Headers],[Abril]]='Balancete MLN_WebPosto'!$G$2,
SUMIFS('Balancete MLN_WebPosto'!$J:$J,'Balancete MLN_WebPosto'!$C:$C,$A65,'Balancete MLN_WebPosto'!$B:$B,$B$2),
  "0"
)</f>
        <v>0</v>
      </c>
      <c r="N65" s="4" t="str">
        <f>IF(Balancete_Oficial[[#Headers],[Maio]]='Balancete MLN_WebPosto'!$G$2,
SUMIFS('Balancete MLN_WebPosto'!$I:$I,'Balancete MLN_WebPosto'!$C:$C,$A65,'Balancete MLN_WebPosto'!$B:$B,$B$2),
  "0"
)</f>
        <v>0</v>
      </c>
      <c r="O65" s="4" t="str">
        <f>IF(Balancete_Oficial[[#Headers],[Junho]]='Balancete MLN_WebPosto'!$G$2,
SUMIFS('Balancete MLN_WebPosto'!$I:$I,'Balancete MLN_WebPosto'!$C:$C,$A65,'Balancete MLN_WebPosto'!$B:$B,$B$2),
  "0"
)</f>
        <v>0</v>
      </c>
      <c r="P65" s="4" t="str">
        <f>IF(Balancete_Oficial[[#Headers],[Julho]]='Balancete MLN_WebPosto'!$G$2,
SUMIFS('Balancete MLN_WebPosto'!$I:$I,'Balancete MLN_WebPosto'!$C:$C,$A65,'Balancete MLN_WebPosto'!$B:$B,$B$2),
  "0"
)</f>
        <v>0</v>
      </c>
      <c r="Q65" s="4" t="str">
        <f>IF(Balancete_Oficial[[#Headers],[Agosto]]='Balancete MLN_WebPosto'!$G$2,
SUMIFS('Balancete MLN_WebPosto'!$I:$I,'Balancete MLN_WebPosto'!$C:$C,$A65,'Balancete MLN_WebPosto'!$B:$B,$B$2),
  "0"
)</f>
        <v>0</v>
      </c>
      <c r="R65" s="4">
        <f>IF(Balancete_Oficial[[#Headers],[Setembro]]='Balancete MLN_WebPosto'!$G$2,
SUMIFS('Balancete MLN_WebPosto'!$I:$I,'Balancete MLN_WebPosto'!$C:$C,$A65,'Balancete MLN_WebPosto'!$B:$B,$B$2),
  "0"
)</f>
        <v>0</v>
      </c>
      <c r="S65" s="4" t="str">
        <f>IF(Balancete_Oficial[[#Headers],[Outubro]]='Balancete MLN_WebPosto'!$G$2,
SUMIFS('Balancete MLN_WebPosto'!$I:$I,'Balancete MLN_WebPosto'!$C:$C,$A65,'Balancete MLN_WebPosto'!$B:$B,$B$2),
  "0"
)</f>
        <v>0</v>
      </c>
      <c r="T65" s="4" t="str">
        <f>IF(Balancete_Oficial[[#Headers],[Novembro]]='Balancete MLN_WebPosto'!$G$2,
SUMIFS('Balancete MLN_WebPosto'!$I:$I,'Balancete MLN_WebPosto'!$C:$C,$A65,'Balancete MLN_WebPosto'!$B:$B,$B$2),
  "0"
)</f>
        <v>0</v>
      </c>
      <c r="U65" s="4" t="str">
        <f>IF(Balancete_Oficial[[#Headers],[Dezembro]]='Balancete MLN_WebPosto'!$G$2,
SUMIFS('Balancete MLN_WebPosto'!$I:$I,'Balancete MLN_WebPosto'!$C:$C,$A65,'Balancete MLN_WebPosto'!$B:$B,$B$2),
  "0"
)</f>
        <v>0</v>
      </c>
    </row>
    <row r="66" spans="1:21" s="2" customFormat="1" x14ac:dyDescent="0.25">
      <c r="A66" s="2" t="str">
        <f>IF(Dados!H63="","",Dados!H63)</f>
        <v/>
      </c>
      <c r="B66" s="2" t="e">
        <f>VLOOKUP(Balancete_Oficial[[#This Row],[Conta]],'Balancete MLN_WebPosto'!C:E,3,0)</f>
        <v>#N/A</v>
      </c>
      <c r="C66" s="3" t="str">
        <f t="shared" si="3"/>
        <v>Sintética</v>
      </c>
      <c r="D66" s="6" t="str">
        <f t="shared" si="4"/>
        <v>R</v>
      </c>
      <c r="E66" s="6" t="str">
        <f t="shared" si="5"/>
        <v/>
      </c>
      <c r="F66" s="6"/>
      <c r="G66" s="6"/>
      <c r="H66" s="6"/>
      <c r="I66" s="6"/>
      <c r="J66" s="4" t="str">
        <f>IF(Balancete_Oficial[[#Headers],[Janeiro]]='Balancete MLN_WebPosto'!$G$2,
SUMIFS('Balancete MLN_WebPosto'!$J:$J,'Balancete MLN_WebPosto'!$C:$C,$A66,'Balancete MLN_WebPosto'!$B:$B,$B$2),
  "0"
)</f>
        <v>0</v>
      </c>
      <c r="K66" s="4" t="str">
        <f>IF(Balancete_Oficial[[#Headers],[Fevereiro]]='Balancete MLN_WebPosto'!$G$2,
SUMIFS('Balancete MLN_WebPosto'!$J:$J,'Balancete MLN_WebPosto'!$C:$C,$A66,'Balancete MLN_WebPosto'!$B:$B,$B$2),
  "0"
)</f>
        <v>0</v>
      </c>
      <c r="L66" s="4" t="str">
        <f>IF(Balancete_Oficial[[#Headers],[Março]]='Balancete MLN_WebPosto'!$G$2,
SUMIFS('Balancete MLN_WebPosto'!$J:$J,'Balancete MLN_WebPosto'!$C:$C,$A66,'Balancete MLN_WebPosto'!$B:$B,$B$2),
  "0"
)</f>
        <v>0</v>
      </c>
      <c r="M66" s="4" t="str">
        <f>IF(Balancete_Oficial[[#Headers],[Abril]]='Balancete MLN_WebPosto'!$G$2,
SUMIFS('Balancete MLN_WebPosto'!$J:$J,'Balancete MLN_WebPosto'!$C:$C,$A66,'Balancete MLN_WebPosto'!$B:$B,$B$2),
  "0"
)</f>
        <v>0</v>
      </c>
      <c r="N66" s="4" t="str">
        <f>IF(Balancete_Oficial[[#Headers],[Maio]]='Balancete MLN_WebPosto'!$G$2,
SUMIFS('Balancete MLN_WebPosto'!$I:$I,'Balancete MLN_WebPosto'!$C:$C,$A66,'Balancete MLN_WebPosto'!$B:$B,$B$2),
  "0"
)</f>
        <v>0</v>
      </c>
      <c r="O66" s="4" t="str">
        <f>IF(Balancete_Oficial[[#Headers],[Junho]]='Balancete MLN_WebPosto'!$G$2,
SUMIFS('Balancete MLN_WebPosto'!$I:$I,'Balancete MLN_WebPosto'!$C:$C,$A66,'Balancete MLN_WebPosto'!$B:$B,$B$2),
  "0"
)</f>
        <v>0</v>
      </c>
      <c r="P66" s="4" t="str">
        <f>IF(Balancete_Oficial[[#Headers],[Julho]]='Balancete MLN_WebPosto'!$G$2,
SUMIFS('Balancete MLN_WebPosto'!$I:$I,'Balancete MLN_WebPosto'!$C:$C,$A66,'Balancete MLN_WebPosto'!$B:$B,$B$2),
  "0"
)</f>
        <v>0</v>
      </c>
      <c r="Q66" s="4" t="str">
        <f>IF(Balancete_Oficial[[#Headers],[Agosto]]='Balancete MLN_WebPosto'!$G$2,
SUMIFS('Balancete MLN_WebPosto'!$I:$I,'Balancete MLN_WebPosto'!$C:$C,$A66,'Balancete MLN_WebPosto'!$B:$B,$B$2),
  "0"
)</f>
        <v>0</v>
      </c>
      <c r="R66" s="4">
        <f>IF(Balancete_Oficial[[#Headers],[Setembro]]='Balancete MLN_WebPosto'!$G$2,
SUMIFS('Balancete MLN_WebPosto'!$I:$I,'Balancete MLN_WebPosto'!$C:$C,$A66,'Balancete MLN_WebPosto'!$B:$B,$B$2),
  "0"
)</f>
        <v>0</v>
      </c>
      <c r="S66" s="4" t="str">
        <f>IF(Balancete_Oficial[[#Headers],[Outubro]]='Balancete MLN_WebPosto'!$G$2,
SUMIFS('Balancete MLN_WebPosto'!$I:$I,'Balancete MLN_WebPosto'!$C:$C,$A66,'Balancete MLN_WebPosto'!$B:$B,$B$2),
  "0"
)</f>
        <v>0</v>
      </c>
      <c r="T66" s="4" t="str">
        <f>IF(Balancete_Oficial[[#Headers],[Novembro]]='Balancete MLN_WebPosto'!$G$2,
SUMIFS('Balancete MLN_WebPosto'!$I:$I,'Balancete MLN_WebPosto'!$C:$C,$A66,'Balancete MLN_WebPosto'!$B:$B,$B$2),
  "0"
)</f>
        <v>0</v>
      </c>
      <c r="U66" s="4" t="str">
        <f>IF(Balancete_Oficial[[#Headers],[Dezembro]]='Balancete MLN_WebPosto'!$G$2,
SUMIFS('Balancete MLN_WebPosto'!$I:$I,'Balancete MLN_WebPosto'!$C:$C,$A66,'Balancete MLN_WebPosto'!$B:$B,$B$2),
  "0"
)</f>
        <v>0</v>
      </c>
    </row>
    <row r="67" spans="1:21" s="2" customFormat="1" x14ac:dyDescent="0.25">
      <c r="A67" s="2" t="str">
        <f>IF(Dados!H64="","",Dados!H64)</f>
        <v/>
      </c>
      <c r="B67" s="2" t="e">
        <f>VLOOKUP(Balancete_Oficial[[#This Row],[Conta]],'Balancete MLN_WebPosto'!C:E,3,0)</f>
        <v>#N/A</v>
      </c>
      <c r="C67" s="3" t="str">
        <f t="shared" si="3"/>
        <v>Sintética</v>
      </c>
      <c r="D67" s="6" t="str">
        <f t="shared" si="4"/>
        <v>R</v>
      </c>
      <c r="E67" s="6" t="str">
        <f t="shared" si="5"/>
        <v/>
      </c>
      <c r="F67" s="6"/>
      <c r="G67" s="6"/>
      <c r="H67" s="6"/>
      <c r="I67" s="6"/>
      <c r="J67" s="4" t="str">
        <f>IF(Balancete_Oficial[[#Headers],[Janeiro]]='Balancete MLN_WebPosto'!$G$2,
SUMIFS('Balancete MLN_WebPosto'!$J:$J,'Balancete MLN_WebPosto'!$C:$C,$A67,'Balancete MLN_WebPosto'!$B:$B,$B$2),
  "0"
)</f>
        <v>0</v>
      </c>
      <c r="K67" s="4" t="str">
        <f>IF(Balancete_Oficial[[#Headers],[Fevereiro]]='Balancete MLN_WebPosto'!$G$2,
SUMIFS('Balancete MLN_WebPosto'!$J:$J,'Balancete MLN_WebPosto'!$C:$C,$A67,'Balancete MLN_WebPosto'!$B:$B,$B$2),
  "0"
)</f>
        <v>0</v>
      </c>
      <c r="L67" s="4" t="str">
        <f>IF(Balancete_Oficial[[#Headers],[Março]]='Balancete MLN_WebPosto'!$G$2,
SUMIFS('Balancete MLN_WebPosto'!$J:$J,'Balancete MLN_WebPosto'!$C:$C,$A67,'Balancete MLN_WebPosto'!$B:$B,$B$2),
  "0"
)</f>
        <v>0</v>
      </c>
      <c r="M67" s="4" t="str">
        <f>IF(Balancete_Oficial[[#Headers],[Abril]]='Balancete MLN_WebPosto'!$G$2,
SUMIFS('Balancete MLN_WebPosto'!$J:$J,'Balancete MLN_WebPosto'!$C:$C,$A67,'Balancete MLN_WebPosto'!$B:$B,$B$2),
  "0"
)</f>
        <v>0</v>
      </c>
      <c r="N67" s="4" t="str">
        <f>IF(Balancete_Oficial[[#Headers],[Maio]]='Balancete MLN_WebPosto'!$G$2,
SUMIFS('Balancete MLN_WebPosto'!$I:$I,'Balancete MLN_WebPosto'!$C:$C,$A67,'Balancete MLN_WebPosto'!$B:$B,$B$2),
  "0"
)</f>
        <v>0</v>
      </c>
      <c r="O67" s="4" t="str">
        <f>IF(Balancete_Oficial[[#Headers],[Junho]]='Balancete MLN_WebPosto'!$G$2,
SUMIFS('Balancete MLN_WebPosto'!$I:$I,'Balancete MLN_WebPosto'!$C:$C,$A67,'Balancete MLN_WebPosto'!$B:$B,$B$2),
  "0"
)</f>
        <v>0</v>
      </c>
      <c r="P67" s="4" t="str">
        <f>IF(Balancete_Oficial[[#Headers],[Julho]]='Balancete MLN_WebPosto'!$G$2,
SUMIFS('Balancete MLN_WebPosto'!$I:$I,'Balancete MLN_WebPosto'!$C:$C,$A67,'Balancete MLN_WebPosto'!$B:$B,$B$2),
  "0"
)</f>
        <v>0</v>
      </c>
      <c r="Q67" s="4" t="str">
        <f>IF(Balancete_Oficial[[#Headers],[Agosto]]='Balancete MLN_WebPosto'!$G$2,
SUMIFS('Balancete MLN_WebPosto'!$I:$I,'Balancete MLN_WebPosto'!$C:$C,$A67,'Balancete MLN_WebPosto'!$B:$B,$B$2),
  "0"
)</f>
        <v>0</v>
      </c>
      <c r="R67" s="4">
        <f>IF(Balancete_Oficial[[#Headers],[Setembro]]='Balancete MLN_WebPosto'!$G$2,
SUMIFS('Balancete MLN_WebPosto'!$I:$I,'Balancete MLN_WebPosto'!$C:$C,$A67,'Balancete MLN_WebPosto'!$B:$B,$B$2),
  "0"
)</f>
        <v>0</v>
      </c>
      <c r="S67" s="4" t="str">
        <f>IF(Balancete_Oficial[[#Headers],[Outubro]]='Balancete MLN_WebPosto'!$G$2,
SUMIFS('Balancete MLN_WebPosto'!$I:$I,'Balancete MLN_WebPosto'!$C:$C,$A67,'Balancete MLN_WebPosto'!$B:$B,$B$2),
  "0"
)</f>
        <v>0</v>
      </c>
      <c r="T67" s="4" t="str">
        <f>IF(Balancete_Oficial[[#Headers],[Novembro]]='Balancete MLN_WebPosto'!$G$2,
SUMIFS('Balancete MLN_WebPosto'!$I:$I,'Balancete MLN_WebPosto'!$C:$C,$A67,'Balancete MLN_WebPosto'!$B:$B,$B$2),
  "0"
)</f>
        <v>0</v>
      </c>
      <c r="U67" s="4" t="str">
        <f>IF(Balancete_Oficial[[#Headers],[Dezembro]]='Balancete MLN_WebPosto'!$G$2,
SUMIFS('Balancete MLN_WebPosto'!$I:$I,'Balancete MLN_WebPosto'!$C:$C,$A67,'Balancete MLN_WebPosto'!$B:$B,$B$2),
  "0"
)</f>
        <v>0</v>
      </c>
    </row>
    <row r="68" spans="1:21" s="2" customFormat="1" x14ac:dyDescent="0.25">
      <c r="A68" s="2" t="str">
        <f>IF(Dados!H65="","",Dados!H65)</f>
        <v/>
      </c>
      <c r="B68" s="2" t="e">
        <f>VLOOKUP(Balancete_Oficial[[#This Row],[Conta]],'Balancete MLN_WebPosto'!C:E,3,0)</f>
        <v>#N/A</v>
      </c>
      <c r="C68" s="3" t="str">
        <f t="shared" si="3"/>
        <v>Sintética</v>
      </c>
      <c r="D68" s="6" t="str">
        <f t="shared" si="4"/>
        <v>R</v>
      </c>
      <c r="E68" s="6" t="str">
        <f t="shared" si="5"/>
        <v/>
      </c>
      <c r="F68" s="6"/>
      <c r="G68" s="6"/>
      <c r="H68" s="6"/>
      <c r="I68" s="6"/>
      <c r="J68" s="4" t="str">
        <f>IF(Balancete_Oficial[[#Headers],[Janeiro]]='Balancete MLN_WebPosto'!$G$2,
SUMIFS('Balancete MLN_WebPosto'!$J:$J,'Balancete MLN_WebPosto'!$C:$C,$A68,'Balancete MLN_WebPosto'!$B:$B,$B$2),
  "0"
)</f>
        <v>0</v>
      </c>
      <c r="K68" s="4" t="str">
        <f>IF(Balancete_Oficial[[#Headers],[Fevereiro]]='Balancete MLN_WebPosto'!$G$2,
SUMIFS('Balancete MLN_WebPosto'!$J:$J,'Balancete MLN_WebPosto'!$C:$C,$A68,'Balancete MLN_WebPosto'!$B:$B,$B$2),
  "0"
)</f>
        <v>0</v>
      </c>
      <c r="L68" s="4" t="str">
        <f>IF(Balancete_Oficial[[#Headers],[Março]]='Balancete MLN_WebPosto'!$G$2,
SUMIFS('Balancete MLN_WebPosto'!$J:$J,'Balancete MLN_WebPosto'!$C:$C,$A68,'Balancete MLN_WebPosto'!$B:$B,$B$2),
  "0"
)</f>
        <v>0</v>
      </c>
      <c r="M68" s="4" t="str">
        <f>IF(Balancete_Oficial[[#Headers],[Abril]]='Balancete MLN_WebPosto'!$G$2,
SUMIFS('Balancete MLN_WebPosto'!$J:$J,'Balancete MLN_WebPosto'!$C:$C,$A68,'Balancete MLN_WebPosto'!$B:$B,$B$2),
  "0"
)</f>
        <v>0</v>
      </c>
      <c r="N68" s="4" t="str">
        <f>IF(Balancete_Oficial[[#Headers],[Maio]]='Balancete MLN_WebPosto'!$G$2,
SUMIFS('Balancete MLN_WebPosto'!$I:$I,'Balancete MLN_WebPosto'!$C:$C,$A68,'Balancete MLN_WebPosto'!$B:$B,$B$2),
  "0"
)</f>
        <v>0</v>
      </c>
      <c r="O68" s="4" t="str">
        <f>IF(Balancete_Oficial[[#Headers],[Junho]]='Balancete MLN_WebPosto'!$G$2,
SUMIFS('Balancete MLN_WebPosto'!$I:$I,'Balancete MLN_WebPosto'!$C:$C,$A68,'Balancete MLN_WebPosto'!$B:$B,$B$2),
  "0"
)</f>
        <v>0</v>
      </c>
      <c r="P68" s="4" t="str">
        <f>IF(Balancete_Oficial[[#Headers],[Julho]]='Balancete MLN_WebPosto'!$G$2,
SUMIFS('Balancete MLN_WebPosto'!$I:$I,'Balancete MLN_WebPosto'!$C:$C,$A68,'Balancete MLN_WebPosto'!$B:$B,$B$2),
  "0"
)</f>
        <v>0</v>
      </c>
      <c r="Q68" s="4" t="str">
        <f>IF(Balancete_Oficial[[#Headers],[Agosto]]='Balancete MLN_WebPosto'!$G$2,
SUMIFS('Balancete MLN_WebPosto'!$I:$I,'Balancete MLN_WebPosto'!$C:$C,$A68,'Balancete MLN_WebPosto'!$B:$B,$B$2),
  "0"
)</f>
        <v>0</v>
      </c>
      <c r="R68" s="4">
        <f>IF(Balancete_Oficial[[#Headers],[Setembro]]='Balancete MLN_WebPosto'!$G$2,
SUMIFS('Balancete MLN_WebPosto'!$I:$I,'Balancete MLN_WebPosto'!$C:$C,$A68,'Balancete MLN_WebPosto'!$B:$B,$B$2),
  "0"
)</f>
        <v>0</v>
      </c>
      <c r="S68" s="4" t="str">
        <f>IF(Balancete_Oficial[[#Headers],[Outubro]]='Balancete MLN_WebPosto'!$G$2,
SUMIFS('Balancete MLN_WebPosto'!$I:$I,'Balancete MLN_WebPosto'!$C:$C,$A68,'Balancete MLN_WebPosto'!$B:$B,$B$2),
  "0"
)</f>
        <v>0</v>
      </c>
      <c r="T68" s="4" t="str">
        <f>IF(Balancete_Oficial[[#Headers],[Novembro]]='Balancete MLN_WebPosto'!$G$2,
SUMIFS('Balancete MLN_WebPosto'!$I:$I,'Balancete MLN_WebPosto'!$C:$C,$A68,'Balancete MLN_WebPosto'!$B:$B,$B$2),
  "0"
)</f>
        <v>0</v>
      </c>
      <c r="U68" s="4" t="str">
        <f>IF(Balancete_Oficial[[#Headers],[Dezembro]]='Balancete MLN_WebPosto'!$G$2,
SUMIFS('Balancete MLN_WebPosto'!$I:$I,'Balancete MLN_WebPosto'!$C:$C,$A68,'Balancete MLN_WebPosto'!$B:$B,$B$2),
  "0"
)</f>
        <v>0</v>
      </c>
    </row>
    <row r="69" spans="1:21" s="2" customFormat="1" x14ac:dyDescent="0.25">
      <c r="A69" s="2" t="str">
        <f>IF(Dados!H66="","",Dados!H66)</f>
        <v/>
      </c>
      <c r="B69" s="2" t="e">
        <f>VLOOKUP(Balancete_Oficial[[#This Row],[Conta]],'Balancete MLN_WebPosto'!C:E,3,0)</f>
        <v>#N/A</v>
      </c>
      <c r="C69" s="3" t="str">
        <f t="shared" si="3"/>
        <v>Sintética</v>
      </c>
      <c r="D69" s="6" t="str">
        <f t="shared" si="4"/>
        <v>R</v>
      </c>
      <c r="E69" s="6" t="str">
        <f t="shared" si="5"/>
        <v/>
      </c>
      <c r="F69" s="6"/>
      <c r="G69" s="6"/>
      <c r="H69" s="6"/>
      <c r="I69" s="6"/>
      <c r="J69" s="4" t="str">
        <f>IF(Balancete_Oficial[[#Headers],[Janeiro]]='Balancete MLN_WebPosto'!$G$2,
SUMIFS('Balancete MLN_WebPosto'!$J:$J,'Balancete MLN_WebPosto'!$C:$C,$A69,'Balancete MLN_WebPosto'!$B:$B,$B$2),
  "0"
)</f>
        <v>0</v>
      </c>
      <c r="K69" s="4" t="str">
        <f>IF(Balancete_Oficial[[#Headers],[Fevereiro]]='Balancete MLN_WebPosto'!$G$2,
SUMIFS('Balancete MLN_WebPosto'!$J:$J,'Balancete MLN_WebPosto'!$C:$C,$A69,'Balancete MLN_WebPosto'!$B:$B,$B$2),
  "0"
)</f>
        <v>0</v>
      </c>
      <c r="L69" s="4" t="str">
        <f>IF(Balancete_Oficial[[#Headers],[Março]]='Balancete MLN_WebPosto'!$G$2,
SUMIFS('Balancete MLN_WebPosto'!$J:$J,'Balancete MLN_WebPosto'!$C:$C,$A69,'Balancete MLN_WebPosto'!$B:$B,$B$2),
  "0"
)</f>
        <v>0</v>
      </c>
      <c r="M69" s="4" t="str">
        <f>IF(Balancete_Oficial[[#Headers],[Abril]]='Balancete MLN_WebPosto'!$G$2,
SUMIFS('Balancete MLN_WebPosto'!$J:$J,'Balancete MLN_WebPosto'!$C:$C,$A69,'Balancete MLN_WebPosto'!$B:$B,$B$2),
  "0"
)</f>
        <v>0</v>
      </c>
      <c r="N69" s="4" t="str">
        <f>IF(Balancete_Oficial[[#Headers],[Maio]]='Balancete MLN_WebPosto'!$G$2,
SUMIFS('Balancete MLN_WebPosto'!$I:$I,'Balancete MLN_WebPosto'!$C:$C,$A69,'Balancete MLN_WebPosto'!$B:$B,$B$2),
  "0"
)</f>
        <v>0</v>
      </c>
      <c r="O69" s="4" t="str">
        <f>IF(Balancete_Oficial[[#Headers],[Junho]]='Balancete MLN_WebPosto'!$G$2,
SUMIFS('Balancete MLN_WebPosto'!$I:$I,'Balancete MLN_WebPosto'!$C:$C,$A69,'Balancete MLN_WebPosto'!$B:$B,$B$2),
  "0"
)</f>
        <v>0</v>
      </c>
      <c r="P69" s="4" t="str">
        <f>IF(Balancete_Oficial[[#Headers],[Julho]]='Balancete MLN_WebPosto'!$G$2,
SUMIFS('Balancete MLN_WebPosto'!$I:$I,'Balancete MLN_WebPosto'!$C:$C,$A69,'Balancete MLN_WebPosto'!$B:$B,$B$2),
  "0"
)</f>
        <v>0</v>
      </c>
      <c r="Q69" s="4" t="str">
        <f>IF(Balancete_Oficial[[#Headers],[Agosto]]='Balancete MLN_WebPosto'!$G$2,
SUMIFS('Balancete MLN_WebPosto'!$I:$I,'Balancete MLN_WebPosto'!$C:$C,$A69,'Balancete MLN_WebPosto'!$B:$B,$B$2),
  "0"
)</f>
        <v>0</v>
      </c>
      <c r="R69" s="4">
        <f>IF(Balancete_Oficial[[#Headers],[Setembro]]='Balancete MLN_WebPosto'!$G$2,
SUMIFS('Balancete MLN_WebPosto'!$I:$I,'Balancete MLN_WebPosto'!$C:$C,$A69,'Balancete MLN_WebPosto'!$B:$B,$B$2),
  "0"
)</f>
        <v>0</v>
      </c>
      <c r="S69" s="4" t="str">
        <f>IF(Balancete_Oficial[[#Headers],[Outubro]]='Balancete MLN_WebPosto'!$G$2,
SUMIFS('Balancete MLN_WebPosto'!$I:$I,'Balancete MLN_WebPosto'!$C:$C,$A69,'Balancete MLN_WebPosto'!$B:$B,$B$2),
  "0"
)</f>
        <v>0</v>
      </c>
      <c r="T69" s="4" t="str">
        <f>IF(Balancete_Oficial[[#Headers],[Novembro]]='Balancete MLN_WebPosto'!$G$2,
SUMIFS('Balancete MLN_WebPosto'!$I:$I,'Balancete MLN_WebPosto'!$C:$C,$A69,'Balancete MLN_WebPosto'!$B:$B,$B$2),
  "0"
)</f>
        <v>0</v>
      </c>
      <c r="U69" s="4" t="str">
        <f>IF(Balancete_Oficial[[#Headers],[Dezembro]]='Balancete MLN_WebPosto'!$G$2,
SUMIFS('Balancete MLN_WebPosto'!$I:$I,'Balancete MLN_WebPosto'!$C:$C,$A69,'Balancete MLN_WebPosto'!$B:$B,$B$2),
  "0"
)</f>
        <v>0</v>
      </c>
    </row>
    <row r="70" spans="1:21" s="2" customFormat="1" x14ac:dyDescent="0.25">
      <c r="A70" s="2" t="str">
        <f>IF(Dados!H67="","",Dados!H67)</f>
        <v/>
      </c>
      <c r="B70" s="2" t="e">
        <f>VLOOKUP(Balancete_Oficial[[#This Row],[Conta]],'Balancete MLN_WebPosto'!C:E,3,0)</f>
        <v>#N/A</v>
      </c>
      <c r="C70" s="3" t="str">
        <f t="shared" si="3"/>
        <v>Sintética</v>
      </c>
      <c r="D70" s="6" t="str">
        <f t="shared" si="4"/>
        <v>R</v>
      </c>
      <c r="E70" s="6" t="str">
        <f t="shared" si="5"/>
        <v/>
      </c>
      <c r="F70" s="6"/>
      <c r="G70" s="6"/>
      <c r="H70" s="6"/>
      <c r="I70" s="6"/>
      <c r="J70" s="4" t="str">
        <f>IF(Balancete_Oficial[[#Headers],[Janeiro]]='Balancete MLN_WebPosto'!$G$2,
SUMIFS('Balancete MLN_WebPosto'!$J:$J,'Balancete MLN_WebPosto'!$C:$C,$A70,'Balancete MLN_WebPosto'!$B:$B,$B$2),
  "0"
)</f>
        <v>0</v>
      </c>
      <c r="K70" s="4" t="str">
        <f>IF(Balancete_Oficial[[#Headers],[Fevereiro]]='Balancete MLN_WebPosto'!$G$2,
SUMIFS('Balancete MLN_WebPosto'!$J:$J,'Balancete MLN_WebPosto'!$C:$C,$A70,'Balancete MLN_WebPosto'!$B:$B,$B$2),
  "0"
)</f>
        <v>0</v>
      </c>
      <c r="L70" s="4" t="str">
        <f>IF(Balancete_Oficial[[#Headers],[Março]]='Balancete MLN_WebPosto'!$G$2,
SUMIFS('Balancete MLN_WebPosto'!$J:$J,'Balancete MLN_WebPosto'!$C:$C,$A70,'Balancete MLN_WebPosto'!$B:$B,$B$2),
  "0"
)</f>
        <v>0</v>
      </c>
      <c r="M70" s="4" t="str">
        <f>IF(Balancete_Oficial[[#Headers],[Abril]]='Balancete MLN_WebPosto'!$G$2,
SUMIFS('Balancete MLN_WebPosto'!$J:$J,'Balancete MLN_WebPosto'!$C:$C,$A70,'Balancete MLN_WebPosto'!$B:$B,$B$2),
  "0"
)</f>
        <v>0</v>
      </c>
      <c r="N70" s="4" t="str">
        <f>IF(Balancete_Oficial[[#Headers],[Maio]]='Balancete MLN_WebPosto'!$G$2,
SUMIFS('Balancete MLN_WebPosto'!$I:$I,'Balancete MLN_WebPosto'!$C:$C,$A70,'Balancete MLN_WebPosto'!$B:$B,$B$2),
  "0"
)</f>
        <v>0</v>
      </c>
      <c r="O70" s="4" t="str">
        <f>IF(Balancete_Oficial[[#Headers],[Junho]]='Balancete MLN_WebPosto'!$G$2,
SUMIFS('Balancete MLN_WebPosto'!$I:$I,'Balancete MLN_WebPosto'!$C:$C,$A70,'Balancete MLN_WebPosto'!$B:$B,$B$2),
  "0"
)</f>
        <v>0</v>
      </c>
      <c r="P70" s="4" t="str">
        <f>IF(Balancete_Oficial[[#Headers],[Julho]]='Balancete MLN_WebPosto'!$G$2,
SUMIFS('Balancete MLN_WebPosto'!$I:$I,'Balancete MLN_WebPosto'!$C:$C,$A70,'Balancete MLN_WebPosto'!$B:$B,$B$2),
  "0"
)</f>
        <v>0</v>
      </c>
      <c r="Q70" s="4" t="str">
        <f>IF(Balancete_Oficial[[#Headers],[Agosto]]='Balancete MLN_WebPosto'!$G$2,
SUMIFS('Balancete MLN_WebPosto'!$I:$I,'Balancete MLN_WebPosto'!$C:$C,$A70,'Balancete MLN_WebPosto'!$B:$B,$B$2),
  "0"
)</f>
        <v>0</v>
      </c>
      <c r="R70" s="4">
        <f>IF(Balancete_Oficial[[#Headers],[Setembro]]='Balancete MLN_WebPosto'!$G$2,
SUMIFS('Balancete MLN_WebPosto'!$I:$I,'Balancete MLN_WebPosto'!$C:$C,$A70,'Balancete MLN_WebPosto'!$B:$B,$B$2),
  "0"
)</f>
        <v>0</v>
      </c>
      <c r="S70" s="4" t="str">
        <f>IF(Balancete_Oficial[[#Headers],[Outubro]]='Balancete MLN_WebPosto'!$G$2,
SUMIFS('Balancete MLN_WebPosto'!$I:$I,'Balancete MLN_WebPosto'!$C:$C,$A70,'Balancete MLN_WebPosto'!$B:$B,$B$2),
  "0"
)</f>
        <v>0</v>
      </c>
      <c r="T70" s="4" t="str">
        <f>IF(Balancete_Oficial[[#Headers],[Novembro]]='Balancete MLN_WebPosto'!$G$2,
SUMIFS('Balancete MLN_WebPosto'!$I:$I,'Balancete MLN_WebPosto'!$C:$C,$A70,'Balancete MLN_WebPosto'!$B:$B,$B$2),
  "0"
)</f>
        <v>0</v>
      </c>
      <c r="U70" s="4" t="str">
        <f>IF(Balancete_Oficial[[#Headers],[Dezembro]]='Balancete MLN_WebPosto'!$G$2,
SUMIFS('Balancete MLN_WebPosto'!$I:$I,'Balancete MLN_WebPosto'!$C:$C,$A70,'Balancete MLN_WebPosto'!$B:$B,$B$2),
  "0"
)</f>
        <v>0</v>
      </c>
    </row>
    <row r="71" spans="1:21" s="2" customFormat="1" x14ac:dyDescent="0.25">
      <c r="A71" s="2" t="str">
        <f>IF(Dados!H68="","",Dados!H68)</f>
        <v/>
      </c>
      <c r="B71" s="2" t="e">
        <f>VLOOKUP(Balancete_Oficial[[#This Row],[Conta]],'Balancete MLN_WebPosto'!C:E,3,0)</f>
        <v>#N/A</v>
      </c>
      <c r="C71" s="3" t="str">
        <f t="shared" si="3"/>
        <v>Sintética</v>
      </c>
      <c r="D71" s="6" t="str">
        <f t="shared" si="4"/>
        <v>R</v>
      </c>
      <c r="E71" s="6" t="str">
        <f t="shared" si="5"/>
        <v/>
      </c>
      <c r="F71" s="6"/>
      <c r="G71" s="6"/>
      <c r="H71" s="6"/>
      <c r="I71" s="6"/>
      <c r="J71" s="4" t="str">
        <f>IF(Balancete_Oficial[[#Headers],[Janeiro]]='Balancete MLN_WebPosto'!$G$2,
SUMIFS('Balancete MLN_WebPosto'!$J:$J,'Balancete MLN_WebPosto'!$C:$C,$A71,'Balancete MLN_WebPosto'!$B:$B,$B$2),
  "0"
)</f>
        <v>0</v>
      </c>
      <c r="K71" s="4" t="str">
        <f>IF(Balancete_Oficial[[#Headers],[Fevereiro]]='Balancete MLN_WebPosto'!$G$2,
SUMIFS('Balancete MLN_WebPosto'!$J:$J,'Balancete MLN_WebPosto'!$C:$C,$A71,'Balancete MLN_WebPosto'!$B:$B,$B$2),
  "0"
)</f>
        <v>0</v>
      </c>
      <c r="L71" s="4" t="str">
        <f>IF(Balancete_Oficial[[#Headers],[Março]]='Balancete MLN_WebPosto'!$G$2,
SUMIFS('Balancete MLN_WebPosto'!$J:$J,'Balancete MLN_WebPosto'!$C:$C,$A71,'Balancete MLN_WebPosto'!$B:$B,$B$2),
  "0"
)</f>
        <v>0</v>
      </c>
      <c r="M71" s="4" t="str">
        <f>IF(Balancete_Oficial[[#Headers],[Abril]]='Balancete MLN_WebPosto'!$G$2,
SUMIFS('Balancete MLN_WebPosto'!$J:$J,'Balancete MLN_WebPosto'!$C:$C,$A71,'Balancete MLN_WebPosto'!$B:$B,$B$2),
  "0"
)</f>
        <v>0</v>
      </c>
      <c r="N71" s="4" t="str">
        <f>IF(Balancete_Oficial[[#Headers],[Maio]]='Balancete MLN_WebPosto'!$G$2,
SUMIFS('Balancete MLN_WebPosto'!$I:$I,'Balancete MLN_WebPosto'!$C:$C,$A71,'Balancete MLN_WebPosto'!$B:$B,$B$2),
  "0"
)</f>
        <v>0</v>
      </c>
      <c r="O71" s="4" t="str">
        <f>IF(Balancete_Oficial[[#Headers],[Junho]]='Balancete MLN_WebPosto'!$G$2,
SUMIFS('Balancete MLN_WebPosto'!$I:$I,'Balancete MLN_WebPosto'!$C:$C,$A71,'Balancete MLN_WebPosto'!$B:$B,$B$2),
  "0"
)</f>
        <v>0</v>
      </c>
      <c r="P71" s="4" t="str">
        <f>IF(Balancete_Oficial[[#Headers],[Julho]]='Balancete MLN_WebPosto'!$G$2,
SUMIFS('Balancete MLN_WebPosto'!$I:$I,'Balancete MLN_WebPosto'!$C:$C,$A71,'Balancete MLN_WebPosto'!$B:$B,$B$2),
  "0"
)</f>
        <v>0</v>
      </c>
      <c r="Q71" s="4" t="str">
        <f>IF(Balancete_Oficial[[#Headers],[Agosto]]='Balancete MLN_WebPosto'!$G$2,
SUMIFS('Balancete MLN_WebPosto'!$I:$I,'Balancete MLN_WebPosto'!$C:$C,$A71,'Balancete MLN_WebPosto'!$B:$B,$B$2),
  "0"
)</f>
        <v>0</v>
      </c>
      <c r="R71" s="4">
        <f>IF(Balancete_Oficial[[#Headers],[Setembro]]='Balancete MLN_WebPosto'!$G$2,
SUMIFS('Balancete MLN_WebPosto'!$I:$I,'Balancete MLN_WebPosto'!$C:$C,$A71,'Balancete MLN_WebPosto'!$B:$B,$B$2),
  "0"
)</f>
        <v>0</v>
      </c>
      <c r="S71" s="4" t="str">
        <f>IF(Balancete_Oficial[[#Headers],[Outubro]]='Balancete MLN_WebPosto'!$G$2,
SUMIFS('Balancete MLN_WebPosto'!$I:$I,'Balancete MLN_WebPosto'!$C:$C,$A71,'Balancete MLN_WebPosto'!$B:$B,$B$2),
  "0"
)</f>
        <v>0</v>
      </c>
      <c r="T71" s="4" t="str">
        <f>IF(Balancete_Oficial[[#Headers],[Novembro]]='Balancete MLN_WebPosto'!$G$2,
SUMIFS('Balancete MLN_WebPosto'!$I:$I,'Balancete MLN_WebPosto'!$C:$C,$A71,'Balancete MLN_WebPosto'!$B:$B,$B$2),
  "0"
)</f>
        <v>0</v>
      </c>
      <c r="U71" s="4" t="str">
        <f>IF(Balancete_Oficial[[#Headers],[Dezembro]]='Balancete MLN_WebPosto'!$G$2,
SUMIFS('Balancete MLN_WebPosto'!$I:$I,'Balancete MLN_WebPosto'!$C:$C,$A71,'Balancete MLN_WebPosto'!$B:$B,$B$2),
  "0"
)</f>
        <v>0</v>
      </c>
    </row>
    <row r="72" spans="1:21" s="2" customFormat="1" x14ac:dyDescent="0.25">
      <c r="A72" s="2" t="str">
        <f>IF(Dados!H69="","",Dados!H69)</f>
        <v/>
      </c>
      <c r="B72" s="2" t="e">
        <f>VLOOKUP(Balancete_Oficial[[#This Row],[Conta]],'Balancete MLN_WebPosto'!C:E,3,0)</f>
        <v>#N/A</v>
      </c>
      <c r="C72" s="3" t="str">
        <f t="shared" si="3"/>
        <v>Sintética</v>
      </c>
      <c r="D72" s="6" t="str">
        <f t="shared" si="4"/>
        <v>R</v>
      </c>
      <c r="E72" s="6" t="str">
        <f t="shared" si="5"/>
        <v/>
      </c>
      <c r="F72" s="6"/>
      <c r="G72" s="6"/>
      <c r="H72" s="6"/>
      <c r="I72" s="6"/>
      <c r="J72" s="4" t="str">
        <f>IF(Balancete_Oficial[[#Headers],[Janeiro]]='Balancete MLN_WebPosto'!$G$2,
SUMIFS('Balancete MLN_WebPosto'!$J:$J,'Balancete MLN_WebPosto'!$C:$C,$A72,'Balancete MLN_WebPosto'!$B:$B,$B$2),
  "0"
)</f>
        <v>0</v>
      </c>
      <c r="K72" s="4" t="str">
        <f>IF(Balancete_Oficial[[#Headers],[Fevereiro]]='Balancete MLN_WebPosto'!$G$2,
SUMIFS('Balancete MLN_WebPosto'!$J:$J,'Balancete MLN_WebPosto'!$C:$C,$A72,'Balancete MLN_WebPosto'!$B:$B,$B$2),
  "0"
)</f>
        <v>0</v>
      </c>
      <c r="L72" s="4" t="str">
        <f>IF(Balancete_Oficial[[#Headers],[Março]]='Balancete MLN_WebPosto'!$G$2,
SUMIFS('Balancete MLN_WebPosto'!$J:$J,'Balancete MLN_WebPosto'!$C:$C,$A72,'Balancete MLN_WebPosto'!$B:$B,$B$2),
  "0"
)</f>
        <v>0</v>
      </c>
      <c r="M72" s="4" t="str">
        <f>IF(Balancete_Oficial[[#Headers],[Abril]]='Balancete MLN_WebPosto'!$G$2,
SUMIFS('Balancete MLN_WebPosto'!$J:$J,'Balancete MLN_WebPosto'!$C:$C,$A72,'Balancete MLN_WebPosto'!$B:$B,$B$2),
  "0"
)</f>
        <v>0</v>
      </c>
      <c r="N72" s="4" t="str">
        <f>IF(Balancete_Oficial[[#Headers],[Maio]]='Balancete MLN_WebPosto'!$G$2,
SUMIFS('Balancete MLN_WebPosto'!$I:$I,'Balancete MLN_WebPosto'!$C:$C,$A72,'Balancete MLN_WebPosto'!$B:$B,$B$2),
  "0"
)</f>
        <v>0</v>
      </c>
      <c r="O72" s="4" t="str">
        <f>IF(Balancete_Oficial[[#Headers],[Junho]]='Balancete MLN_WebPosto'!$G$2,
SUMIFS('Balancete MLN_WebPosto'!$I:$I,'Balancete MLN_WebPosto'!$C:$C,$A72,'Balancete MLN_WebPosto'!$B:$B,$B$2),
  "0"
)</f>
        <v>0</v>
      </c>
      <c r="P72" s="4" t="str">
        <f>IF(Balancete_Oficial[[#Headers],[Julho]]='Balancete MLN_WebPosto'!$G$2,
SUMIFS('Balancete MLN_WebPosto'!$I:$I,'Balancete MLN_WebPosto'!$C:$C,$A72,'Balancete MLN_WebPosto'!$B:$B,$B$2),
  "0"
)</f>
        <v>0</v>
      </c>
      <c r="Q72" s="4" t="str">
        <f>IF(Balancete_Oficial[[#Headers],[Agosto]]='Balancete MLN_WebPosto'!$G$2,
SUMIFS('Balancete MLN_WebPosto'!$I:$I,'Balancete MLN_WebPosto'!$C:$C,$A72,'Balancete MLN_WebPosto'!$B:$B,$B$2),
  "0"
)</f>
        <v>0</v>
      </c>
      <c r="R72" s="4">
        <f>IF(Balancete_Oficial[[#Headers],[Setembro]]='Balancete MLN_WebPosto'!$G$2,
SUMIFS('Balancete MLN_WebPosto'!$I:$I,'Balancete MLN_WebPosto'!$C:$C,$A72,'Balancete MLN_WebPosto'!$B:$B,$B$2),
  "0"
)</f>
        <v>0</v>
      </c>
      <c r="S72" s="4" t="str">
        <f>IF(Balancete_Oficial[[#Headers],[Outubro]]='Balancete MLN_WebPosto'!$G$2,
SUMIFS('Balancete MLN_WebPosto'!$I:$I,'Balancete MLN_WebPosto'!$C:$C,$A72,'Balancete MLN_WebPosto'!$B:$B,$B$2),
  "0"
)</f>
        <v>0</v>
      </c>
      <c r="T72" s="4" t="str">
        <f>IF(Balancete_Oficial[[#Headers],[Novembro]]='Balancete MLN_WebPosto'!$G$2,
SUMIFS('Balancete MLN_WebPosto'!$I:$I,'Balancete MLN_WebPosto'!$C:$C,$A72,'Balancete MLN_WebPosto'!$B:$B,$B$2),
  "0"
)</f>
        <v>0</v>
      </c>
      <c r="U72" s="4" t="str">
        <f>IF(Balancete_Oficial[[#Headers],[Dezembro]]='Balancete MLN_WebPosto'!$G$2,
SUMIFS('Balancete MLN_WebPosto'!$I:$I,'Balancete MLN_WebPosto'!$C:$C,$A72,'Balancete MLN_WebPosto'!$B:$B,$B$2),
  "0"
)</f>
        <v>0</v>
      </c>
    </row>
    <row r="73" spans="1:21" s="2" customFormat="1" x14ac:dyDescent="0.25">
      <c r="A73" s="2" t="str">
        <f>IF(Dados!H70="","",Dados!H70)</f>
        <v/>
      </c>
      <c r="B73" s="2" t="e">
        <f>VLOOKUP(Balancete_Oficial[[#This Row],[Conta]],'Balancete MLN_WebPosto'!C:E,3,0)</f>
        <v>#N/A</v>
      </c>
      <c r="C73" s="3" t="str">
        <f t="shared" ref="C73:C136" si="6">IF(LEN(A73)=17,"Analítica","Sintética")</f>
        <v>Sintética</v>
      </c>
      <c r="D73" s="6" t="str">
        <f t="shared" ref="D73:D136" si="7">IF(LEFT(A73,1)="1","A",IF(LEFT(A73,1)="2","P","R"))</f>
        <v>R</v>
      </c>
      <c r="E73" s="6" t="str">
        <f t="shared" ref="E73:E136" si="8">LEFT(A73,1)</f>
        <v/>
      </c>
      <c r="F73" s="6"/>
      <c r="G73" s="6"/>
      <c r="H73" s="6"/>
      <c r="I73" s="6"/>
      <c r="J73" s="4" t="str">
        <f>IF(Balancete_Oficial[[#Headers],[Janeiro]]='Balancete MLN_WebPosto'!$G$2,
SUMIFS('Balancete MLN_WebPosto'!$J:$J,'Balancete MLN_WebPosto'!$C:$C,$A73,'Balancete MLN_WebPosto'!$B:$B,$B$2),
  "0"
)</f>
        <v>0</v>
      </c>
      <c r="K73" s="4" t="str">
        <f>IF(Balancete_Oficial[[#Headers],[Fevereiro]]='Balancete MLN_WebPosto'!$G$2,
SUMIFS('Balancete MLN_WebPosto'!$J:$J,'Balancete MLN_WebPosto'!$C:$C,$A73,'Balancete MLN_WebPosto'!$B:$B,$B$2),
  "0"
)</f>
        <v>0</v>
      </c>
      <c r="L73" s="4" t="str">
        <f>IF(Balancete_Oficial[[#Headers],[Março]]='Balancete MLN_WebPosto'!$G$2,
SUMIFS('Balancete MLN_WebPosto'!$J:$J,'Balancete MLN_WebPosto'!$C:$C,$A73,'Balancete MLN_WebPosto'!$B:$B,$B$2),
  "0"
)</f>
        <v>0</v>
      </c>
      <c r="M73" s="4" t="str">
        <f>IF(Balancete_Oficial[[#Headers],[Abril]]='Balancete MLN_WebPosto'!$G$2,
SUMIFS('Balancete MLN_WebPosto'!$J:$J,'Balancete MLN_WebPosto'!$C:$C,$A73,'Balancete MLN_WebPosto'!$B:$B,$B$2),
  "0"
)</f>
        <v>0</v>
      </c>
      <c r="N73" s="4" t="str">
        <f>IF(Balancete_Oficial[[#Headers],[Maio]]='Balancete MLN_WebPosto'!$G$2,
SUMIFS('Balancete MLN_WebPosto'!$I:$I,'Balancete MLN_WebPosto'!$C:$C,$A73,'Balancete MLN_WebPosto'!$B:$B,$B$2),
  "0"
)</f>
        <v>0</v>
      </c>
      <c r="O73" s="4" t="str">
        <f>IF(Balancete_Oficial[[#Headers],[Junho]]='Balancete MLN_WebPosto'!$G$2,
SUMIFS('Balancete MLN_WebPosto'!$I:$I,'Balancete MLN_WebPosto'!$C:$C,$A73,'Balancete MLN_WebPosto'!$B:$B,$B$2),
  "0"
)</f>
        <v>0</v>
      </c>
      <c r="P73" s="4" t="str">
        <f>IF(Balancete_Oficial[[#Headers],[Julho]]='Balancete MLN_WebPosto'!$G$2,
SUMIFS('Balancete MLN_WebPosto'!$I:$I,'Balancete MLN_WebPosto'!$C:$C,$A73,'Balancete MLN_WebPosto'!$B:$B,$B$2),
  "0"
)</f>
        <v>0</v>
      </c>
      <c r="Q73" s="4" t="str">
        <f>IF(Balancete_Oficial[[#Headers],[Agosto]]='Balancete MLN_WebPosto'!$G$2,
SUMIFS('Balancete MLN_WebPosto'!$I:$I,'Balancete MLN_WebPosto'!$C:$C,$A73,'Balancete MLN_WebPosto'!$B:$B,$B$2),
  "0"
)</f>
        <v>0</v>
      </c>
      <c r="R73" s="4">
        <f>IF(Balancete_Oficial[[#Headers],[Setembro]]='Balancete MLN_WebPosto'!$G$2,
SUMIFS('Balancete MLN_WebPosto'!$I:$I,'Balancete MLN_WebPosto'!$C:$C,$A73,'Balancete MLN_WebPosto'!$B:$B,$B$2),
  "0"
)</f>
        <v>0</v>
      </c>
      <c r="S73" s="4" t="str">
        <f>IF(Balancete_Oficial[[#Headers],[Outubro]]='Balancete MLN_WebPosto'!$G$2,
SUMIFS('Balancete MLN_WebPosto'!$I:$I,'Balancete MLN_WebPosto'!$C:$C,$A73,'Balancete MLN_WebPosto'!$B:$B,$B$2),
  "0"
)</f>
        <v>0</v>
      </c>
      <c r="T73" s="4" t="str">
        <f>IF(Balancete_Oficial[[#Headers],[Novembro]]='Balancete MLN_WebPosto'!$G$2,
SUMIFS('Balancete MLN_WebPosto'!$I:$I,'Balancete MLN_WebPosto'!$C:$C,$A73,'Balancete MLN_WebPosto'!$B:$B,$B$2),
  "0"
)</f>
        <v>0</v>
      </c>
      <c r="U73" s="4" t="str">
        <f>IF(Balancete_Oficial[[#Headers],[Dezembro]]='Balancete MLN_WebPosto'!$G$2,
SUMIFS('Balancete MLN_WebPosto'!$I:$I,'Balancete MLN_WebPosto'!$C:$C,$A73,'Balancete MLN_WebPosto'!$B:$B,$B$2),
  "0"
)</f>
        <v>0</v>
      </c>
    </row>
    <row r="74" spans="1:21" s="2" customFormat="1" x14ac:dyDescent="0.25">
      <c r="A74" s="2" t="str">
        <f>IF(Dados!H71="","",Dados!H71)</f>
        <v/>
      </c>
      <c r="B74" s="2" t="e">
        <f>VLOOKUP(Balancete_Oficial[[#This Row],[Conta]],'Balancete MLN_WebPosto'!C:E,3,0)</f>
        <v>#N/A</v>
      </c>
      <c r="C74" s="3" t="str">
        <f t="shared" si="6"/>
        <v>Sintética</v>
      </c>
      <c r="D74" s="6" t="str">
        <f t="shared" si="7"/>
        <v>R</v>
      </c>
      <c r="E74" s="6" t="str">
        <f t="shared" si="8"/>
        <v/>
      </c>
      <c r="F74" s="6"/>
      <c r="G74" s="6"/>
      <c r="H74" s="6"/>
      <c r="I74" s="6"/>
      <c r="J74" s="4" t="str">
        <f>IF(Balancete_Oficial[[#Headers],[Janeiro]]='Balancete MLN_WebPosto'!$G$2,
SUMIFS('Balancete MLN_WebPosto'!$J:$J,'Balancete MLN_WebPosto'!$C:$C,$A74,'Balancete MLN_WebPosto'!$B:$B,$B$2),
  "0"
)</f>
        <v>0</v>
      </c>
      <c r="K74" s="4" t="str">
        <f>IF(Balancete_Oficial[[#Headers],[Fevereiro]]='Balancete MLN_WebPosto'!$G$2,
SUMIFS('Balancete MLN_WebPosto'!$J:$J,'Balancete MLN_WebPosto'!$C:$C,$A74,'Balancete MLN_WebPosto'!$B:$B,$B$2),
  "0"
)</f>
        <v>0</v>
      </c>
      <c r="L74" s="4" t="str">
        <f>IF(Balancete_Oficial[[#Headers],[Março]]='Balancete MLN_WebPosto'!$G$2,
SUMIFS('Balancete MLN_WebPosto'!$J:$J,'Balancete MLN_WebPosto'!$C:$C,$A74,'Balancete MLN_WebPosto'!$B:$B,$B$2),
  "0"
)</f>
        <v>0</v>
      </c>
      <c r="M74" s="4" t="str">
        <f>IF(Balancete_Oficial[[#Headers],[Abril]]='Balancete MLN_WebPosto'!$G$2,
SUMIFS('Balancete MLN_WebPosto'!$J:$J,'Balancete MLN_WebPosto'!$C:$C,$A74,'Balancete MLN_WebPosto'!$B:$B,$B$2),
  "0"
)</f>
        <v>0</v>
      </c>
      <c r="N74" s="4" t="str">
        <f>IF(Balancete_Oficial[[#Headers],[Maio]]='Balancete MLN_WebPosto'!$G$2,
SUMIFS('Balancete MLN_WebPosto'!$I:$I,'Balancete MLN_WebPosto'!$C:$C,$A74,'Balancete MLN_WebPosto'!$B:$B,$B$2),
  "0"
)</f>
        <v>0</v>
      </c>
      <c r="O74" s="4" t="str">
        <f>IF(Balancete_Oficial[[#Headers],[Junho]]='Balancete MLN_WebPosto'!$G$2,
SUMIFS('Balancete MLN_WebPosto'!$I:$I,'Balancete MLN_WebPosto'!$C:$C,$A74,'Balancete MLN_WebPosto'!$B:$B,$B$2),
  "0"
)</f>
        <v>0</v>
      </c>
      <c r="P74" s="4" t="str">
        <f>IF(Balancete_Oficial[[#Headers],[Julho]]='Balancete MLN_WebPosto'!$G$2,
SUMIFS('Balancete MLN_WebPosto'!$I:$I,'Balancete MLN_WebPosto'!$C:$C,$A74,'Balancete MLN_WebPosto'!$B:$B,$B$2),
  "0"
)</f>
        <v>0</v>
      </c>
      <c r="Q74" s="4" t="str">
        <f>IF(Balancete_Oficial[[#Headers],[Agosto]]='Balancete MLN_WebPosto'!$G$2,
SUMIFS('Balancete MLN_WebPosto'!$I:$I,'Balancete MLN_WebPosto'!$C:$C,$A74,'Balancete MLN_WebPosto'!$B:$B,$B$2),
  "0"
)</f>
        <v>0</v>
      </c>
      <c r="R74" s="4">
        <f>IF(Balancete_Oficial[[#Headers],[Setembro]]='Balancete MLN_WebPosto'!$G$2,
SUMIFS('Balancete MLN_WebPosto'!$I:$I,'Balancete MLN_WebPosto'!$C:$C,$A74,'Balancete MLN_WebPosto'!$B:$B,$B$2),
  "0"
)</f>
        <v>0</v>
      </c>
      <c r="S74" s="4" t="str">
        <f>IF(Balancete_Oficial[[#Headers],[Outubro]]='Balancete MLN_WebPosto'!$G$2,
SUMIFS('Balancete MLN_WebPosto'!$I:$I,'Balancete MLN_WebPosto'!$C:$C,$A74,'Balancete MLN_WebPosto'!$B:$B,$B$2),
  "0"
)</f>
        <v>0</v>
      </c>
      <c r="T74" s="4" t="str">
        <f>IF(Balancete_Oficial[[#Headers],[Novembro]]='Balancete MLN_WebPosto'!$G$2,
SUMIFS('Balancete MLN_WebPosto'!$I:$I,'Balancete MLN_WebPosto'!$C:$C,$A74,'Balancete MLN_WebPosto'!$B:$B,$B$2),
  "0"
)</f>
        <v>0</v>
      </c>
      <c r="U74" s="4" t="str">
        <f>IF(Balancete_Oficial[[#Headers],[Dezembro]]='Balancete MLN_WebPosto'!$G$2,
SUMIFS('Balancete MLN_WebPosto'!$I:$I,'Balancete MLN_WebPosto'!$C:$C,$A74,'Balancete MLN_WebPosto'!$B:$B,$B$2),
  "0"
)</f>
        <v>0</v>
      </c>
    </row>
    <row r="75" spans="1:21" s="2" customFormat="1" x14ac:dyDescent="0.25">
      <c r="A75" s="2" t="str">
        <f>IF(Dados!H72="","",Dados!H72)</f>
        <v/>
      </c>
      <c r="B75" s="2" t="e">
        <f>VLOOKUP(Balancete_Oficial[[#This Row],[Conta]],'Balancete MLN_WebPosto'!C:E,3,0)</f>
        <v>#N/A</v>
      </c>
      <c r="C75" s="3" t="str">
        <f t="shared" si="6"/>
        <v>Sintética</v>
      </c>
      <c r="D75" s="6" t="str">
        <f t="shared" si="7"/>
        <v>R</v>
      </c>
      <c r="E75" s="6" t="str">
        <f t="shared" si="8"/>
        <v/>
      </c>
      <c r="F75" s="6"/>
      <c r="G75" s="6"/>
      <c r="H75" s="6"/>
      <c r="I75" s="6"/>
      <c r="J75" s="4" t="str">
        <f>IF(Balancete_Oficial[[#Headers],[Janeiro]]='Balancete MLN_WebPosto'!$G$2,
SUMIFS('Balancete MLN_WebPosto'!$J:$J,'Balancete MLN_WebPosto'!$C:$C,$A75,'Balancete MLN_WebPosto'!$B:$B,$B$2),
  "0"
)</f>
        <v>0</v>
      </c>
      <c r="K75" s="4" t="str">
        <f>IF(Balancete_Oficial[[#Headers],[Fevereiro]]='Balancete MLN_WebPosto'!$G$2,
SUMIFS('Balancete MLN_WebPosto'!$J:$J,'Balancete MLN_WebPosto'!$C:$C,$A75,'Balancete MLN_WebPosto'!$B:$B,$B$2),
  "0"
)</f>
        <v>0</v>
      </c>
      <c r="L75" s="4" t="str">
        <f>IF(Balancete_Oficial[[#Headers],[Março]]='Balancete MLN_WebPosto'!$G$2,
SUMIFS('Balancete MLN_WebPosto'!$J:$J,'Balancete MLN_WebPosto'!$C:$C,$A75,'Balancete MLN_WebPosto'!$B:$B,$B$2),
  "0"
)</f>
        <v>0</v>
      </c>
      <c r="M75" s="4" t="str">
        <f>IF(Balancete_Oficial[[#Headers],[Abril]]='Balancete MLN_WebPosto'!$G$2,
SUMIFS('Balancete MLN_WebPosto'!$J:$J,'Balancete MLN_WebPosto'!$C:$C,$A75,'Balancete MLN_WebPosto'!$B:$B,$B$2),
  "0"
)</f>
        <v>0</v>
      </c>
      <c r="N75" s="4" t="str">
        <f>IF(Balancete_Oficial[[#Headers],[Maio]]='Balancete MLN_WebPosto'!$G$2,
SUMIFS('Balancete MLN_WebPosto'!$I:$I,'Balancete MLN_WebPosto'!$C:$C,$A75,'Balancete MLN_WebPosto'!$B:$B,$B$2),
  "0"
)</f>
        <v>0</v>
      </c>
      <c r="O75" s="4" t="str">
        <f>IF(Balancete_Oficial[[#Headers],[Junho]]='Balancete MLN_WebPosto'!$G$2,
SUMIFS('Balancete MLN_WebPosto'!$I:$I,'Balancete MLN_WebPosto'!$C:$C,$A75,'Balancete MLN_WebPosto'!$B:$B,$B$2),
  "0"
)</f>
        <v>0</v>
      </c>
      <c r="P75" s="4" t="str">
        <f>IF(Balancete_Oficial[[#Headers],[Julho]]='Balancete MLN_WebPosto'!$G$2,
SUMIFS('Balancete MLN_WebPosto'!$I:$I,'Balancete MLN_WebPosto'!$C:$C,$A75,'Balancete MLN_WebPosto'!$B:$B,$B$2),
  "0"
)</f>
        <v>0</v>
      </c>
      <c r="Q75" s="4" t="str">
        <f>IF(Balancete_Oficial[[#Headers],[Agosto]]='Balancete MLN_WebPosto'!$G$2,
SUMIFS('Balancete MLN_WebPosto'!$I:$I,'Balancete MLN_WebPosto'!$C:$C,$A75,'Balancete MLN_WebPosto'!$B:$B,$B$2),
  "0"
)</f>
        <v>0</v>
      </c>
      <c r="R75" s="4">
        <f>IF(Balancete_Oficial[[#Headers],[Setembro]]='Balancete MLN_WebPosto'!$G$2,
SUMIFS('Balancete MLN_WebPosto'!$I:$I,'Balancete MLN_WebPosto'!$C:$C,$A75,'Balancete MLN_WebPosto'!$B:$B,$B$2),
  "0"
)</f>
        <v>0</v>
      </c>
      <c r="S75" s="4" t="str">
        <f>IF(Balancete_Oficial[[#Headers],[Outubro]]='Balancete MLN_WebPosto'!$G$2,
SUMIFS('Balancete MLN_WebPosto'!$I:$I,'Balancete MLN_WebPosto'!$C:$C,$A75,'Balancete MLN_WebPosto'!$B:$B,$B$2),
  "0"
)</f>
        <v>0</v>
      </c>
      <c r="T75" s="4" t="str">
        <f>IF(Balancete_Oficial[[#Headers],[Novembro]]='Balancete MLN_WebPosto'!$G$2,
SUMIFS('Balancete MLN_WebPosto'!$I:$I,'Balancete MLN_WebPosto'!$C:$C,$A75,'Balancete MLN_WebPosto'!$B:$B,$B$2),
  "0"
)</f>
        <v>0</v>
      </c>
      <c r="U75" s="4" t="str">
        <f>IF(Balancete_Oficial[[#Headers],[Dezembro]]='Balancete MLN_WebPosto'!$G$2,
SUMIFS('Balancete MLN_WebPosto'!$I:$I,'Balancete MLN_WebPosto'!$C:$C,$A75,'Balancete MLN_WebPosto'!$B:$B,$B$2),
  "0"
)</f>
        <v>0</v>
      </c>
    </row>
    <row r="76" spans="1:21" s="2" customFormat="1" x14ac:dyDescent="0.25">
      <c r="A76" s="2" t="str">
        <f>IF(Dados!H73="","",Dados!H73)</f>
        <v/>
      </c>
      <c r="B76" s="2" t="e">
        <f>VLOOKUP(Balancete_Oficial[[#This Row],[Conta]],'Balancete MLN_WebPosto'!C:E,3,0)</f>
        <v>#N/A</v>
      </c>
      <c r="C76" s="3" t="str">
        <f t="shared" si="6"/>
        <v>Sintética</v>
      </c>
      <c r="D76" s="6" t="str">
        <f t="shared" si="7"/>
        <v>R</v>
      </c>
      <c r="E76" s="6" t="str">
        <f t="shared" si="8"/>
        <v/>
      </c>
      <c r="F76" s="6"/>
      <c r="G76" s="6"/>
      <c r="H76" s="6"/>
      <c r="I76" s="6"/>
      <c r="J76" s="4" t="str">
        <f>IF(Balancete_Oficial[[#Headers],[Janeiro]]='Balancete MLN_WebPosto'!$G$2,
SUMIFS('Balancete MLN_WebPosto'!$J:$J,'Balancete MLN_WebPosto'!$C:$C,$A76,'Balancete MLN_WebPosto'!$B:$B,$B$2),
  "0"
)</f>
        <v>0</v>
      </c>
      <c r="K76" s="4" t="str">
        <f>IF(Balancete_Oficial[[#Headers],[Fevereiro]]='Balancete MLN_WebPosto'!$G$2,
SUMIFS('Balancete MLN_WebPosto'!$J:$J,'Balancete MLN_WebPosto'!$C:$C,$A76,'Balancete MLN_WebPosto'!$B:$B,$B$2),
  "0"
)</f>
        <v>0</v>
      </c>
      <c r="L76" s="4" t="str">
        <f>IF(Balancete_Oficial[[#Headers],[Março]]='Balancete MLN_WebPosto'!$G$2,
SUMIFS('Balancete MLN_WebPosto'!$J:$J,'Balancete MLN_WebPosto'!$C:$C,$A76,'Balancete MLN_WebPosto'!$B:$B,$B$2),
  "0"
)</f>
        <v>0</v>
      </c>
      <c r="M76" s="4" t="str">
        <f>IF(Balancete_Oficial[[#Headers],[Abril]]='Balancete MLN_WebPosto'!$G$2,
SUMIFS('Balancete MLN_WebPosto'!$J:$J,'Balancete MLN_WebPosto'!$C:$C,$A76,'Balancete MLN_WebPosto'!$B:$B,$B$2),
  "0"
)</f>
        <v>0</v>
      </c>
      <c r="N76" s="4" t="str">
        <f>IF(Balancete_Oficial[[#Headers],[Maio]]='Balancete MLN_WebPosto'!$G$2,
SUMIFS('Balancete MLN_WebPosto'!$I:$I,'Balancete MLN_WebPosto'!$C:$C,$A76,'Balancete MLN_WebPosto'!$B:$B,$B$2),
  "0"
)</f>
        <v>0</v>
      </c>
      <c r="O76" s="4" t="str">
        <f>IF(Balancete_Oficial[[#Headers],[Junho]]='Balancete MLN_WebPosto'!$G$2,
SUMIFS('Balancete MLN_WebPosto'!$I:$I,'Balancete MLN_WebPosto'!$C:$C,$A76,'Balancete MLN_WebPosto'!$B:$B,$B$2),
  "0"
)</f>
        <v>0</v>
      </c>
      <c r="P76" s="4" t="str">
        <f>IF(Balancete_Oficial[[#Headers],[Julho]]='Balancete MLN_WebPosto'!$G$2,
SUMIFS('Balancete MLN_WebPosto'!$I:$I,'Balancete MLN_WebPosto'!$C:$C,$A76,'Balancete MLN_WebPosto'!$B:$B,$B$2),
  "0"
)</f>
        <v>0</v>
      </c>
      <c r="Q76" s="4" t="str">
        <f>IF(Balancete_Oficial[[#Headers],[Agosto]]='Balancete MLN_WebPosto'!$G$2,
SUMIFS('Balancete MLN_WebPosto'!$I:$I,'Balancete MLN_WebPosto'!$C:$C,$A76,'Balancete MLN_WebPosto'!$B:$B,$B$2),
  "0"
)</f>
        <v>0</v>
      </c>
      <c r="R76" s="4">
        <f>IF(Balancete_Oficial[[#Headers],[Setembro]]='Balancete MLN_WebPosto'!$G$2,
SUMIFS('Balancete MLN_WebPosto'!$I:$I,'Balancete MLN_WebPosto'!$C:$C,$A76,'Balancete MLN_WebPosto'!$B:$B,$B$2),
  "0"
)</f>
        <v>0</v>
      </c>
      <c r="S76" s="4" t="str">
        <f>IF(Balancete_Oficial[[#Headers],[Outubro]]='Balancete MLN_WebPosto'!$G$2,
SUMIFS('Balancete MLN_WebPosto'!$I:$I,'Balancete MLN_WebPosto'!$C:$C,$A76,'Balancete MLN_WebPosto'!$B:$B,$B$2),
  "0"
)</f>
        <v>0</v>
      </c>
      <c r="T76" s="4" t="str">
        <f>IF(Balancete_Oficial[[#Headers],[Novembro]]='Balancete MLN_WebPosto'!$G$2,
SUMIFS('Balancete MLN_WebPosto'!$I:$I,'Balancete MLN_WebPosto'!$C:$C,$A76,'Balancete MLN_WebPosto'!$B:$B,$B$2),
  "0"
)</f>
        <v>0</v>
      </c>
      <c r="U76" s="4" t="str">
        <f>IF(Balancete_Oficial[[#Headers],[Dezembro]]='Balancete MLN_WebPosto'!$G$2,
SUMIFS('Balancete MLN_WebPosto'!$I:$I,'Balancete MLN_WebPosto'!$C:$C,$A76,'Balancete MLN_WebPosto'!$B:$B,$B$2),
  "0"
)</f>
        <v>0</v>
      </c>
    </row>
    <row r="77" spans="1:21" s="2" customFormat="1" x14ac:dyDescent="0.25">
      <c r="A77" s="2" t="str">
        <f>IF(Dados!H74="","",Dados!H74)</f>
        <v/>
      </c>
      <c r="B77" s="2" t="e">
        <f>VLOOKUP(Balancete_Oficial[[#This Row],[Conta]],'Balancete MLN_WebPosto'!C:E,3,0)</f>
        <v>#N/A</v>
      </c>
      <c r="C77" s="3" t="str">
        <f t="shared" si="6"/>
        <v>Sintética</v>
      </c>
      <c r="D77" s="6" t="str">
        <f t="shared" si="7"/>
        <v>R</v>
      </c>
      <c r="E77" s="6" t="str">
        <f t="shared" si="8"/>
        <v/>
      </c>
      <c r="F77" s="6"/>
      <c r="G77" s="6"/>
      <c r="H77" s="6"/>
      <c r="I77" s="6"/>
      <c r="J77" s="4" t="str">
        <f>IF(Balancete_Oficial[[#Headers],[Janeiro]]='Balancete MLN_WebPosto'!$G$2,
SUMIFS('Balancete MLN_WebPosto'!$J:$J,'Balancete MLN_WebPosto'!$C:$C,$A77,'Balancete MLN_WebPosto'!$B:$B,$B$2),
  "0"
)</f>
        <v>0</v>
      </c>
      <c r="K77" s="4" t="str">
        <f>IF(Balancete_Oficial[[#Headers],[Fevereiro]]='Balancete MLN_WebPosto'!$G$2,
SUMIFS('Balancete MLN_WebPosto'!$J:$J,'Balancete MLN_WebPosto'!$C:$C,$A77,'Balancete MLN_WebPosto'!$B:$B,$B$2),
  "0"
)</f>
        <v>0</v>
      </c>
      <c r="L77" s="4" t="str">
        <f>IF(Balancete_Oficial[[#Headers],[Março]]='Balancete MLN_WebPosto'!$G$2,
SUMIFS('Balancete MLN_WebPosto'!$J:$J,'Balancete MLN_WebPosto'!$C:$C,$A77,'Balancete MLN_WebPosto'!$B:$B,$B$2),
  "0"
)</f>
        <v>0</v>
      </c>
      <c r="M77" s="4" t="str">
        <f>IF(Balancete_Oficial[[#Headers],[Abril]]='Balancete MLN_WebPosto'!$G$2,
SUMIFS('Balancete MLN_WebPosto'!$J:$J,'Balancete MLN_WebPosto'!$C:$C,$A77,'Balancete MLN_WebPosto'!$B:$B,$B$2),
  "0"
)</f>
        <v>0</v>
      </c>
      <c r="N77" s="4" t="str">
        <f>IF(Balancete_Oficial[[#Headers],[Maio]]='Balancete MLN_WebPosto'!$G$2,
SUMIFS('Balancete MLN_WebPosto'!$I:$I,'Balancete MLN_WebPosto'!$C:$C,$A77,'Balancete MLN_WebPosto'!$B:$B,$B$2),
  "0"
)</f>
        <v>0</v>
      </c>
      <c r="O77" s="4" t="str">
        <f>IF(Balancete_Oficial[[#Headers],[Junho]]='Balancete MLN_WebPosto'!$G$2,
SUMIFS('Balancete MLN_WebPosto'!$I:$I,'Balancete MLN_WebPosto'!$C:$C,$A77,'Balancete MLN_WebPosto'!$B:$B,$B$2),
  "0"
)</f>
        <v>0</v>
      </c>
      <c r="P77" s="4" t="str">
        <f>IF(Balancete_Oficial[[#Headers],[Julho]]='Balancete MLN_WebPosto'!$G$2,
SUMIFS('Balancete MLN_WebPosto'!$I:$I,'Balancete MLN_WebPosto'!$C:$C,$A77,'Balancete MLN_WebPosto'!$B:$B,$B$2),
  "0"
)</f>
        <v>0</v>
      </c>
      <c r="Q77" s="4" t="str">
        <f>IF(Balancete_Oficial[[#Headers],[Agosto]]='Balancete MLN_WebPosto'!$G$2,
SUMIFS('Balancete MLN_WebPosto'!$I:$I,'Balancete MLN_WebPosto'!$C:$C,$A77,'Balancete MLN_WebPosto'!$B:$B,$B$2),
  "0"
)</f>
        <v>0</v>
      </c>
      <c r="R77" s="4">
        <f>IF(Balancete_Oficial[[#Headers],[Setembro]]='Balancete MLN_WebPosto'!$G$2,
SUMIFS('Balancete MLN_WebPosto'!$I:$I,'Balancete MLN_WebPosto'!$C:$C,$A77,'Balancete MLN_WebPosto'!$B:$B,$B$2),
  "0"
)</f>
        <v>0</v>
      </c>
      <c r="S77" s="4" t="str">
        <f>IF(Balancete_Oficial[[#Headers],[Outubro]]='Balancete MLN_WebPosto'!$G$2,
SUMIFS('Balancete MLN_WebPosto'!$I:$I,'Balancete MLN_WebPosto'!$C:$C,$A77,'Balancete MLN_WebPosto'!$B:$B,$B$2),
  "0"
)</f>
        <v>0</v>
      </c>
      <c r="T77" s="4" t="str">
        <f>IF(Balancete_Oficial[[#Headers],[Novembro]]='Balancete MLN_WebPosto'!$G$2,
SUMIFS('Balancete MLN_WebPosto'!$I:$I,'Balancete MLN_WebPosto'!$C:$C,$A77,'Balancete MLN_WebPosto'!$B:$B,$B$2),
  "0"
)</f>
        <v>0</v>
      </c>
      <c r="U77" s="4" t="str">
        <f>IF(Balancete_Oficial[[#Headers],[Dezembro]]='Balancete MLN_WebPosto'!$G$2,
SUMIFS('Balancete MLN_WebPosto'!$I:$I,'Balancete MLN_WebPosto'!$C:$C,$A77,'Balancete MLN_WebPosto'!$B:$B,$B$2),
  "0"
)</f>
        <v>0</v>
      </c>
    </row>
    <row r="78" spans="1:21" s="2" customFormat="1" x14ac:dyDescent="0.25">
      <c r="A78" s="2" t="str">
        <f>IF(Dados!H75="","",Dados!H75)</f>
        <v/>
      </c>
      <c r="B78" s="2" t="e">
        <f>VLOOKUP(Balancete_Oficial[[#This Row],[Conta]],'Balancete MLN_WebPosto'!C:E,3,0)</f>
        <v>#N/A</v>
      </c>
      <c r="C78" s="3" t="str">
        <f t="shared" si="6"/>
        <v>Sintética</v>
      </c>
      <c r="D78" s="6" t="str">
        <f t="shared" si="7"/>
        <v>R</v>
      </c>
      <c r="E78" s="6" t="str">
        <f t="shared" si="8"/>
        <v/>
      </c>
      <c r="F78" s="6"/>
      <c r="G78" s="6"/>
      <c r="H78" s="6"/>
      <c r="I78" s="6"/>
      <c r="J78" s="4" t="str">
        <f>IF(Balancete_Oficial[[#Headers],[Janeiro]]='Balancete MLN_WebPosto'!$G$2,
SUMIFS('Balancete MLN_WebPosto'!$J:$J,'Balancete MLN_WebPosto'!$C:$C,$A78,'Balancete MLN_WebPosto'!$B:$B,$B$2),
  "0"
)</f>
        <v>0</v>
      </c>
      <c r="K78" s="4" t="str">
        <f>IF(Balancete_Oficial[[#Headers],[Fevereiro]]='Balancete MLN_WebPosto'!$G$2,
SUMIFS('Balancete MLN_WebPosto'!$J:$J,'Balancete MLN_WebPosto'!$C:$C,$A78,'Balancete MLN_WebPosto'!$B:$B,$B$2),
  "0"
)</f>
        <v>0</v>
      </c>
      <c r="L78" s="4" t="str">
        <f>IF(Balancete_Oficial[[#Headers],[Março]]='Balancete MLN_WebPosto'!$G$2,
SUMIFS('Balancete MLN_WebPosto'!$J:$J,'Balancete MLN_WebPosto'!$C:$C,$A78,'Balancete MLN_WebPosto'!$B:$B,$B$2),
  "0"
)</f>
        <v>0</v>
      </c>
      <c r="M78" s="4" t="str">
        <f>IF(Balancete_Oficial[[#Headers],[Abril]]='Balancete MLN_WebPosto'!$G$2,
SUMIFS('Balancete MLN_WebPosto'!$J:$J,'Balancete MLN_WebPosto'!$C:$C,$A78,'Balancete MLN_WebPosto'!$B:$B,$B$2),
  "0"
)</f>
        <v>0</v>
      </c>
      <c r="N78" s="4" t="str">
        <f>IF(Balancete_Oficial[[#Headers],[Maio]]='Balancete MLN_WebPosto'!$G$2,
SUMIFS('Balancete MLN_WebPosto'!$I:$I,'Balancete MLN_WebPosto'!$C:$C,$A78,'Balancete MLN_WebPosto'!$B:$B,$B$2),
  "0"
)</f>
        <v>0</v>
      </c>
      <c r="O78" s="4" t="str">
        <f>IF(Balancete_Oficial[[#Headers],[Junho]]='Balancete MLN_WebPosto'!$G$2,
SUMIFS('Balancete MLN_WebPosto'!$I:$I,'Balancete MLN_WebPosto'!$C:$C,$A78,'Balancete MLN_WebPosto'!$B:$B,$B$2),
  "0"
)</f>
        <v>0</v>
      </c>
      <c r="P78" s="4" t="str">
        <f>IF(Balancete_Oficial[[#Headers],[Julho]]='Balancete MLN_WebPosto'!$G$2,
SUMIFS('Balancete MLN_WebPosto'!$I:$I,'Balancete MLN_WebPosto'!$C:$C,$A78,'Balancete MLN_WebPosto'!$B:$B,$B$2),
  "0"
)</f>
        <v>0</v>
      </c>
      <c r="Q78" s="4" t="str">
        <f>IF(Balancete_Oficial[[#Headers],[Agosto]]='Balancete MLN_WebPosto'!$G$2,
SUMIFS('Balancete MLN_WebPosto'!$I:$I,'Balancete MLN_WebPosto'!$C:$C,$A78,'Balancete MLN_WebPosto'!$B:$B,$B$2),
  "0"
)</f>
        <v>0</v>
      </c>
      <c r="R78" s="4">
        <f>IF(Balancete_Oficial[[#Headers],[Setembro]]='Balancete MLN_WebPosto'!$G$2,
SUMIFS('Balancete MLN_WebPosto'!$I:$I,'Balancete MLN_WebPosto'!$C:$C,$A78,'Balancete MLN_WebPosto'!$B:$B,$B$2),
  "0"
)</f>
        <v>0</v>
      </c>
      <c r="S78" s="4" t="str">
        <f>IF(Balancete_Oficial[[#Headers],[Outubro]]='Balancete MLN_WebPosto'!$G$2,
SUMIFS('Balancete MLN_WebPosto'!$I:$I,'Balancete MLN_WebPosto'!$C:$C,$A78,'Balancete MLN_WebPosto'!$B:$B,$B$2),
  "0"
)</f>
        <v>0</v>
      </c>
      <c r="T78" s="4" t="str">
        <f>IF(Balancete_Oficial[[#Headers],[Novembro]]='Balancete MLN_WebPosto'!$G$2,
SUMIFS('Balancete MLN_WebPosto'!$I:$I,'Balancete MLN_WebPosto'!$C:$C,$A78,'Balancete MLN_WebPosto'!$B:$B,$B$2),
  "0"
)</f>
        <v>0</v>
      </c>
      <c r="U78" s="4" t="str">
        <f>IF(Balancete_Oficial[[#Headers],[Dezembro]]='Balancete MLN_WebPosto'!$G$2,
SUMIFS('Balancete MLN_WebPosto'!$I:$I,'Balancete MLN_WebPosto'!$C:$C,$A78,'Balancete MLN_WebPosto'!$B:$B,$B$2),
  "0"
)</f>
        <v>0</v>
      </c>
    </row>
    <row r="79" spans="1:21" s="2" customFormat="1" x14ac:dyDescent="0.25">
      <c r="A79" s="2" t="str">
        <f>IF(Dados!H76="","",Dados!H76)</f>
        <v/>
      </c>
      <c r="B79" s="2" t="e">
        <f>VLOOKUP(Balancete_Oficial[[#This Row],[Conta]],'Balancete MLN_WebPosto'!C:E,3,0)</f>
        <v>#N/A</v>
      </c>
      <c r="C79" s="3" t="str">
        <f t="shared" si="6"/>
        <v>Sintética</v>
      </c>
      <c r="D79" s="6" t="str">
        <f t="shared" si="7"/>
        <v>R</v>
      </c>
      <c r="E79" s="6" t="str">
        <f t="shared" si="8"/>
        <v/>
      </c>
      <c r="F79" s="6"/>
      <c r="G79" s="6"/>
      <c r="H79" s="6"/>
      <c r="I79" s="6"/>
      <c r="J79" s="4" t="str">
        <f>IF(Balancete_Oficial[[#Headers],[Janeiro]]='Balancete MLN_WebPosto'!$G$2,
SUMIFS('Balancete MLN_WebPosto'!$J:$J,'Balancete MLN_WebPosto'!$C:$C,$A79,'Balancete MLN_WebPosto'!$B:$B,$B$2),
  "0"
)</f>
        <v>0</v>
      </c>
      <c r="K79" s="4" t="str">
        <f>IF(Balancete_Oficial[[#Headers],[Fevereiro]]='Balancete MLN_WebPosto'!$G$2,
SUMIFS('Balancete MLN_WebPosto'!$J:$J,'Balancete MLN_WebPosto'!$C:$C,$A79,'Balancete MLN_WebPosto'!$B:$B,$B$2),
  "0"
)</f>
        <v>0</v>
      </c>
      <c r="L79" s="4" t="str">
        <f>IF(Balancete_Oficial[[#Headers],[Março]]='Balancete MLN_WebPosto'!$G$2,
SUMIFS('Balancete MLN_WebPosto'!$J:$J,'Balancete MLN_WebPosto'!$C:$C,$A79,'Balancete MLN_WebPosto'!$B:$B,$B$2),
  "0"
)</f>
        <v>0</v>
      </c>
      <c r="M79" s="4" t="str">
        <f>IF(Balancete_Oficial[[#Headers],[Abril]]='Balancete MLN_WebPosto'!$G$2,
SUMIFS('Balancete MLN_WebPosto'!$J:$J,'Balancete MLN_WebPosto'!$C:$C,$A79,'Balancete MLN_WebPosto'!$B:$B,$B$2),
  "0"
)</f>
        <v>0</v>
      </c>
      <c r="N79" s="4" t="str">
        <f>IF(Balancete_Oficial[[#Headers],[Maio]]='Balancete MLN_WebPosto'!$G$2,
SUMIFS('Balancete MLN_WebPosto'!$I:$I,'Balancete MLN_WebPosto'!$C:$C,$A79,'Balancete MLN_WebPosto'!$B:$B,$B$2),
  "0"
)</f>
        <v>0</v>
      </c>
      <c r="O79" s="4" t="str">
        <f>IF(Balancete_Oficial[[#Headers],[Junho]]='Balancete MLN_WebPosto'!$G$2,
SUMIFS('Balancete MLN_WebPosto'!$I:$I,'Balancete MLN_WebPosto'!$C:$C,$A79,'Balancete MLN_WebPosto'!$B:$B,$B$2),
  "0"
)</f>
        <v>0</v>
      </c>
      <c r="P79" s="4" t="str">
        <f>IF(Balancete_Oficial[[#Headers],[Julho]]='Balancete MLN_WebPosto'!$G$2,
SUMIFS('Balancete MLN_WebPosto'!$I:$I,'Balancete MLN_WebPosto'!$C:$C,$A79,'Balancete MLN_WebPosto'!$B:$B,$B$2),
  "0"
)</f>
        <v>0</v>
      </c>
      <c r="Q79" s="4" t="str">
        <f>IF(Balancete_Oficial[[#Headers],[Agosto]]='Balancete MLN_WebPosto'!$G$2,
SUMIFS('Balancete MLN_WebPosto'!$I:$I,'Balancete MLN_WebPosto'!$C:$C,$A79,'Balancete MLN_WebPosto'!$B:$B,$B$2),
  "0"
)</f>
        <v>0</v>
      </c>
      <c r="R79" s="4">
        <f>IF(Balancete_Oficial[[#Headers],[Setembro]]='Balancete MLN_WebPosto'!$G$2,
SUMIFS('Balancete MLN_WebPosto'!$I:$I,'Balancete MLN_WebPosto'!$C:$C,$A79,'Balancete MLN_WebPosto'!$B:$B,$B$2),
  "0"
)</f>
        <v>0</v>
      </c>
      <c r="S79" s="4" t="str">
        <f>IF(Balancete_Oficial[[#Headers],[Outubro]]='Balancete MLN_WebPosto'!$G$2,
SUMIFS('Balancete MLN_WebPosto'!$I:$I,'Balancete MLN_WebPosto'!$C:$C,$A79,'Balancete MLN_WebPosto'!$B:$B,$B$2),
  "0"
)</f>
        <v>0</v>
      </c>
      <c r="T79" s="4" t="str">
        <f>IF(Balancete_Oficial[[#Headers],[Novembro]]='Balancete MLN_WebPosto'!$G$2,
SUMIFS('Balancete MLN_WebPosto'!$I:$I,'Balancete MLN_WebPosto'!$C:$C,$A79,'Balancete MLN_WebPosto'!$B:$B,$B$2),
  "0"
)</f>
        <v>0</v>
      </c>
      <c r="U79" s="4" t="str">
        <f>IF(Balancete_Oficial[[#Headers],[Dezembro]]='Balancete MLN_WebPosto'!$G$2,
SUMIFS('Balancete MLN_WebPosto'!$I:$I,'Balancete MLN_WebPosto'!$C:$C,$A79,'Balancete MLN_WebPosto'!$B:$B,$B$2),
  "0"
)</f>
        <v>0</v>
      </c>
    </row>
    <row r="80" spans="1:21" s="2" customFormat="1" x14ac:dyDescent="0.25">
      <c r="A80" s="2" t="str">
        <f>IF(Dados!H77="","",Dados!H77)</f>
        <v/>
      </c>
      <c r="B80" s="2" t="e">
        <f>VLOOKUP(Balancete_Oficial[[#This Row],[Conta]],'Balancete MLN_WebPosto'!C:E,3,0)</f>
        <v>#N/A</v>
      </c>
      <c r="C80" s="3" t="str">
        <f t="shared" si="6"/>
        <v>Sintética</v>
      </c>
      <c r="D80" s="6" t="str">
        <f t="shared" si="7"/>
        <v>R</v>
      </c>
      <c r="E80" s="6" t="str">
        <f t="shared" si="8"/>
        <v/>
      </c>
      <c r="F80" s="6"/>
      <c r="G80" s="6"/>
      <c r="H80" s="6"/>
      <c r="I80" s="6"/>
      <c r="J80" s="4" t="str">
        <f>IF(Balancete_Oficial[[#Headers],[Janeiro]]='Balancete MLN_WebPosto'!$G$2,
SUMIFS('Balancete MLN_WebPosto'!$J:$J,'Balancete MLN_WebPosto'!$C:$C,$A80,'Balancete MLN_WebPosto'!$B:$B,$B$2),
  "0"
)</f>
        <v>0</v>
      </c>
      <c r="K80" s="4" t="str">
        <f>IF(Balancete_Oficial[[#Headers],[Fevereiro]]='Balancete MLN_WebPosto'!$G$2,
SUMIFS('Balancete MLN_WebPosto'!$J:$J,'Balancete MLN_WebPosto'!$C:$C,$A80,'Balancete MLN_WebPosto'!$B:$B,$B$2),
  "0"
)</f>
        <v>0</v>
      </c>
      <c r="L80" s="4" t="str">
        <f>IF(Balancete_Oficial[[#Headers],[Março]]='Balancete MLN_WebPosto'!$G$2,
SUMIFS('Balancete MLN_WebPosto'!$J:$J,'Balancete MLN_WebPosto'!$C:$C,$A80,'Balancete MLN_WebPosto'!$B:$B,$B$2),
  "0"
)</f>
        <v>0</v>
      </c>
      <c r="M80" s="4" t="str">
        <f>IF(Balancete_Oficial[[#Headers],[Abril]]='Balancete MLN_WebPosto'!$G$2,
SUMIFS('Balancete MLN_WebPosto'!$J:$J,'Balancete MLN_WebPosto'!$C:$C,$A80,'Balancete MLN_WebPosto'!$B:$B,$B$2),
  "0"
)</f>
        <v>0</v>
      </c>
      <c r="N80" s="4" t="str">
        <f>IF(Balancete_Oficial[[#Headers],[Maio]]='Balancete MLN_WebPosto'!$G$2,
SUMIFS('Balancete MLN_WebPosto'!$I:$I,'Balancete MLN_WebPosto'!$C:$C,$A80,'Balancete MLN_WebPosto'!$B:$B,$B$2),
  "0"
)</f>
        <v>0</v>
      </c>
      <c r="O80" s="4" t="str">
        <f>IF(Balancete_Oficial[[#Headers],[Junho]]='Balancete MLN_WebPosto'!$G$2,
SUMIFS('Balancete MLN_WebPosto'!$I:$I,'Balancete MLN_WebPosto'!$C:$C,$A80,'Balancete MLN_WebPosto'!$B:$B,$B$2),
  "0"
)</f>
        <v>0</v>
      </c>
      <c r="P80" s="4" t="str">
        <f>IF(Balancete_Oficial[[#Headers],[Julho]]='Balancete MLN_WebPosto'!$G$2,
SUMIFS('Balancete MLN_WebPosto'!$I:$I,'Balancete MLN_WebPosto'!$C:$C,$A80,'Balancete MLN_WebPosto'!$B:$B,$B$2),
  "0"
)</f>
        <v>0</v>
      </c>
      <c r="Q80" s="4" t="str">
        <f>IF(Balancete_Oficial[[#Headers],[Agosto]]='Balancete MLN_WebPosto'!$G$2,
SUMIFS('Balancete MLN_WebPosto'!$I:$I,'Balancete MLN_WebPosto'!$C:$C,$A80,'Balancete MLN_WebPosto'!$B:$B,$B$2),
  "0"
)</f>
        <v>0</v>
      </c>
      <c r="R80" s="4">
        <f>IF(Balancete_Oficial[[#Headers],[Setembro]]='Balancete MLN_WebPosto'!$G$2,
SUMIFS('Balancete MLN_WebPosto'!$I:$I,'Balancete MLN_WebPosto'!$C:$C,$A80,'Balancete MLN_WebPosto'!$B:$B,$B$2),
  "0"
)</f>
        <v>0</v>
      </c>
      <c r="S80" s="4" t="str">
        <f>IF(Balancete_Oficial[[#Headers],[Outubro]]='Balancete MLN_WebPosto'!$G$2,
SUMIFS('Balancete MLN_WebPosto'!$I:$I,'Balancete MLN_WebPosto'!$C:$C,$A80,'Balancete MLN_WebPosto'!$B:$B,$B$2),
  "0"
)</f>
        <v>0</v>
      </c>
      <c r="T80" s="4" t="str">
        <f>IF(Balancete_Oficial[[#Headers],[Novembro]]='Balancete MLN_WebPosto'!$G$2,
SUMIFS('Balancete MLN_WebPosto'!$I:$I,'Balancete MLN_WebPosto'!$C:$C,$A80,'Balancete MLN_WebPosto'!$B:$B,$B$2),
  "0"
)</f>
        <v>0</v>
      </c>
      <c r="U80" s="4" t="str">
        <f>IF(Balancete_Oficial[[#Headers],[Dezembro]]='Balancete MLN_WebPosto'!$G$2,
SUMIFS('Balancete MLN_WebPosto'!$I:$I,'Balancete MLN_WebPosto'!$C:$C,$A80,'Balancete MLN_WebPosto'!$B:$B,$B$2),
  "0"
)</f>
        <v>0</v>
      </c>
    </row>
    <row r="81" spans="1:21" s="2" customFormat="1" x14ac:dyDescent="0.25">
      <c r="A81" s="2" t="str">
        <f>IF(Dados!H78="","",Dados!H78)</f>
        <v/>
      </c>
      <c r="B81" s="2" t="e">
        <f>VLOOKUP(Balancete_Oficial[[#This Row],[Conta]],'Balancete MLN_WebPosto'!C:E,3,0)</f>
        <v>#N/A</v>
      </c>
      <c r="C81" s="3" t="str">
        <f t="shared" si="6"/>
        <v>Sintética</v>
      </c>
      <c r="D81" s="6" t="str">
        <f t="shared" si="7"/>
        <v>R</v>
      </c>
      <c r="E81" s="6" t="str">
        <f t="shared" si="8"/>
        <v/>
      </c>
      <c r="F81" s="6"/>
      <c r="G81" s="6"/>
      <c r="H81" s="6"/>
      <c r="I81" s="6"/>
      <c r="J81" s="4" t="str">
        <f>IF(Balancete_Oficial[[#Headers],[Janeiro]]='Balancete MLN_WebPosto'!$G$2,
SUMIFS('Balancete MLN_WebPosto'!$J:$J,'Balancete MLN_WebPosto'!$C:$C,$A81,'Balancete MLN_WebPosto'!$B:$B,$B$2),
  "0"
)</f>
        <v>0</v>
      </c>
      <c r="K81" s="4" t="str">
        <f>IF(Balancete_Oficial[[#Headers],[Fevereiro]]='Balancete MLN_WebPosto'!$G$2,
SUMIFS('Balancete MLN_WebPosto'!$J:$J,'Balancete MLN_WebPosto'!$C:$C,$A81,'Balancete MLN_WebPosto'!$B:$B,$B$2),
  "0"
)</f>
        <v>0</v>
      </c>
      <c r="L81" s="4" t="str">
        <f>IF(Balancete_Oficial[[#Headers],[Março]]='Balancete MLN_WebPosto'!$G$2,
SUMIFS('Balancete MLN_WebPosto'!$J:$J,'Balancete MLN_WebPosto'!$C:$C,$A81,'Balancete MLN_WebPosto'!$B:$B,$B$2),
  "0"
)</f>
        <v>0</v>
      </c>
      <c r="M81" s="4" t="str">
        <f>IF(Balancete_Oficial[[#Headers],[Abril]]='Balancete MLN_WebPosto'!$G$2,
SUMIFS('Balancete MLN_WebPosto'!$J:$J,'Balancete MLN_WebPosto'!$C:$C,$A81,'Balancete MLN_WebPosto'!$B:$B,$B$2),
  "0"
)</f>
        <v>0</v>
      </c>
      <c r="N81" s="4" t="str">
        <f>IF(Balancete_Oficial[[#Headers],[Maio]]='Balancete MLN_WebPosto'!$G$2,
SUMIFS('Balancete MLN_WebPosto'!$I:$I,'Balancete MLN_WebPosto'!$C:$C,$A81,'Balancete MLN_WebPosto'!$B:$B,$B$2),
  "0"
)</f>
        <v>0</v>
      </c>
      <c r="O81" s="4" t="str">
        <f>IF(Balancete_Oficial[[#Headers],[Junho]]='Balancete MLN_WebPosto'!$G$2,
SUMIFS('Balancete MLN_WebPosto'!$I:$I,'Balancete MLN_WebPosto'!$C:$C,$A81,'Balancete MLN_WebPosto'!$B:$B,$B$2),
  "0"
)</f>
        <v>0</v>
      </c>
      <c r="P81" s="4" t="str">
        <f>IF(Balancete_Oficial[[#Headers],[Julho]]='Balancete MLN_WebPosto'!$G$2,
SUMIFS('Balancete MLN_WebPosto'!$I:$I,'Balancete MLN_WebPosto'!$C:$C,$A81,'Balancete MLN_WebPosto'!$B:$B,$B$2),
  "0"
)</f>
        <v>0</v>
      </c>
      <c r="Q81" s="4" t="str">
        <f>IF(Balancete_Oficial[[#Headers],[Agosto]]='Balancete MLN_WebPosto'!$G$2,
SUMIFS('Balancete MLN_WebPosto'!$I:$I,'Balancete MLN_WebPosto'!$C:$C,$A81,'Balancete MLN_WebPosto'!$B:$B,$B$2),
  "0"
)</f>
        <v>0</v>
      </c>
      <c r="R81" s="4">
        <f>IF(Balancete_Oficial[[#Headers],[Setembro]]='Balancete MLN_WebPosto'!$G$2,
SUMIFS('Balancete MLN_WebPosto'!$I:$I,'Balancete MLN_WebPosto'!$C:$C,$A81,'Balancete MLN_WebPosto'!$B:$B,$B$2),
  "0"
)</f>
        <v>0</v>
      </c>
      <c r="S81" s="4" t="str">
        <f>IF(Balancete_Oficial[[#Headers],[Outubro]]='Balancete MLN_WebPosto'!$G$2,
SUMIFS('Balancete MLN_WebPosto'!$I:$I,'Balancete MLN_WebPosto'!$C:$C,$A81,'Balancete MLN_WebPosto'!$B:$B,$B$2),
  "0"
)</f>
        <v>0</v>
      </c>
      <c r="T81" s="4" t="str">
        <f>IF(Balancete_Oficial[[#Headers],[Novembro]]='Balancete MLN_WebPosto'!$G$2,
SUMIFS('Balancete MLN_WebPosto'!$I:$I,'Balancete MLN_WebPosto'!$C:$C,$A81,'Balancete MLN_WebPosto'!$B:$B,$B$2),
  "0"
)</f>
        <v>0</v>
      </c>
      <c r="U81" s="4" t="str">
        <f>IF(Balancete_Oficial[[#Headers],[Dezembro]]='Balancete MLN_WebPosto'!$G$2,
SUMIFS('Balancete MLN_WebPosto'!$I:$I,'Balancete MLN_WebPosto'!$C:$C,$A81,'Balancete MLN_WebPosto'!$B:$B,$B$2),
  "0"
)</f>
        <v>0</v>
      </c>
    </row>
    <row r="82" spans="1:21" s="2" customFormat="1" x14ac:dyDescent="0.25">
      <c r="A82" s="2" t="str">
        <f>IF(Dados!H79="","",Dados!H79)</f>
        <v/>
      </c>
      <c r="B82" s="2" t="e">
        <f>VLOOKUP(Balancete_Oficial[[#This Row],[Conta]],'Balancete MLN_WebPosto'!C:E,3,0)</f>
        <v>#N/A</v>
      </c>
      <c r="C82" s="3" t="str">
        <f t="shared" si="6"/>
        <v>Sintética</v>
      </c>
      <c r="D82" s="6" t="str">
        <f t="shared" si="7"/>
        <v>R</v>
      </c>
      <c r="E82" s="6" t="str">
        <f t="shared" si="8"/>
        <v/>
      </c>
      <c r="F82" s="6"/>
      <c r="G82" s="6"/>
      <c r="H82" s="6"/>
      <c r="I82" s="6"/>
      <c r="J82" s="4" t="str">
        <f>IF(Balancete_Oficial[[#Headers],[Janeiro]]='Balancete MLN_WebPosto'!$G$2,
SUMIFS('Balancete MLN_WebPosto'!$J:$J,'Balancete MLN_WebPosto'!$C:$C,$A82,'Balancete MLN_WebPosto'!$B:$B,$B$2),
  "0"
)</f>
        <v>0</v>
      </c>
      <c r="K82" s="4" t="str">
        <f>IF(Balancete_Oficial[[#Headers],[Fevereiro]]='Balancete MLN_WebPosto'!$G$2,
SUMIFS('Balancete MLN_WebPosto'!$J:$J,'Balancete MLN_WebPosto'!$C:$C,$A82,'Balancete MLN_WebPosto'!$B:$B,$B$2),
  "0"
)</f>
        <v>0</v>
      </c>
      <c r="L82" s="4" t="str">
        <f>IF(Balancete_Oficial[[#Headers],[Março]]='Balancete MLN_WebPosto'!$G$2,
SUMIFS('Balancete MLN_WebPosto'!$J:$J,'Balancete MLN_WebPosto'!$C:$C,$A82,'Balancete MLN_WebPosto'!$B:$B,$B$2),
  "0"
)</f>
        <v>0</v>
      </c>
      <c r="M82" s="4" t="str">
        <f>IF(Balancete_Oficial[[#Headers],[Abril]]='Balancete MLN_WebPosto'!$G$2,
SUMIFS('Balancete MLN_WebPosto'!$J:$J,'Balancete MLN_WebPosto'!$C:$C,$A82,'Balancete MLN_WebPosto'!$B:$B,$B$2),
  "0"
)</f>
        <v>0</v>
      </c>
      <c r="N82" s="4" t="str">
        <f>IF(Balancete_Oficial[[#Headers],[Maio]]='Balancete MLN_WebPosto'!$G$2,
SUMIFS('Balancete MLN_WebPosto'!$I:$I,'Balancete MLN_WebPosto'!$C:$C,$A82,'Balancete MLN_WebPosto'!$B:$B,$B$2),
  "0"
)</f>
        <v>0</v>
      </c>
      <c r="O82" s="4" t="str">
        <f>IF(Balancete_Oficial[[#Headers],[Junho]]='Balancete MLN_WebPosto'!$G$2,
SUMIFS('Balancete MLN_WebPosto'!$I:$I,'Balancete MLN_WebPosto'!$C:$C,$A82,'Balancete MLN_WebPosto'!$B:$B,$B$2),
  "0"
)</f>
        <v>0</v>
      </c>
      <c r="P82" s="4" t="str">
        <f>IF(Balancete_Oficial[[#Headers],[Julho]]='Balancete MLN_WebPosto'!$G$2,
SUMIFS('Balancete MLN_WebPosto'!$I:$I,'Balancete MLN_WebPosto'!$C:$C,$A82,'Balancete MLN_WebPosto'!$B:$B,$B$2),
  "0"
)</f>
        <v>0</v>
      </c>
      <c r="Q82" s="4" t="str">
        <f>IF(Balancete_Oficial[[#Headers],[Agosto]]='Balancete MLN_WebPosto'!$G$2,
SUMIFS('Balancete MLN_WebPosto'!$I:$I,'Balancete MLN_WebPosto'!$C:$C,$A82,'Balancete MLN_WebPosto'!$B:$B,$B$2),
  "0"
)</f>
        <v>0</v>
      </c>
      <c r="R82" s="4">
        <f>IF(Balancete_Oficial[[#Headers],[Setembro]]='Balancete MLN_WebPosto'!$G$2,
SUMIFS('Balancete MLN_WebPosto'!$I:$I,'Balancete MLN_WebPosto'!$C:$C,$A82,'Balancete MLN_WebPosto'!$B:$B,$B$2),
  "0"
)</f>
        <v>0</v>
      </c>
      <c r="S82" s="4" t="str">
        <f>IF(Balancete_Oficial[[#Headers],[Outubro]]='Balancete MLN_WebPosto'!$G$2,
SUMIFS('Balancete MLN_WebPosto'!$I:$I,'Balancete MLN_WebPosto'!$C:$C,$A82,'Balancete MLN_WebPosto'!$B:$B,$B$2),
  "0"
)</f>
        <v>0</v>
      </c>
      <c r="T82" s="4" t="str">
        <f>IF(Balancete_Oficial[[#Headers],[Novembro]]='Balancete MLN_WebPosto'!$G$2,
SUMIFS('Balancete MLN_WebPosto'!$I:$I,'Balancete MLN_WebPosto'!$C:$C,$A82,'Balancete MLN_WebPosto'!$B:$B,$B$2),
  "0"
)</f>
        <v>0</v>
      </c>
      <c r="U82" s="4" t="str">
        <f>IF(Balancete_Oficial[[#Headers],[Dezembro]]='Balancete MLN_WebPosto'!$G$2,
SUMIFS('Balancete MLN_WebPosto'!$I:$I,'Balancete MLN_WebPosto'!$C:$C,$A82,'Balancete MLN_WebPosto'!$B:$B,$B$2),
  "0"
)</f>
        <v>0</v>
      </c>
    </row>
    <row r="83" spans="1:21" s="2" customFormat="1" x14ac:dyDescent="0.25">
      <c r="A83" s="2" t="str">
        <f>IF(Dados!H80="","",Dados!H80)</f>
        <v/>
      </c>
      <c r="B83" s="2" t="e">
        <f>VLOOKUP(Balancete_Oficial[[#This Row],[Conta]],'Balancete MLN_WebPosto'!C:E,3,0)</f>
        <v>#N/A</v>
      </c>
      <c r="C83" s="3" t="str">
        <f t="shared" si="6"/>
        <v>Sintética</v>
      </c>
      <c r="D83" s="6" t="str">
        <f t="shared" si="7"/>
        <v>R</v>
      </c>
      <c r="E83" s="6" t="str">
        <f t="shared" si="8"/>
        <v/>
      </c>
      <c r="F83" s="6"/>
      <c r="G83" s="6"/>
      <c r="H83" s="6"/>
      <c r="I83" s="6"/>
      <c r="J83" s="4" t="str">
        <f>IF(Balancete_Oficial[[#Headers],[Janeiro]]='Balancete MLN_WebPosto'!$G$2,
SUMIFS('Balancete MLN_WebPosto'!$J:$J,'Balancete MLN_WebPosto'!$C:$C,$A83,'Balancete MLN_WebPosto'!$B:$B,$B$2),
  "0"
)</f>
        <v>0</v>
      </c>
      <c r="K83" s="4" t="str">
        <f>IF(Balancete_Oficial[[#Headers],[Fevereiro]]='Balancete MLN_WebPosto'!$G$2,
SUMIFS('Balancete MLN_WebPosto'!$J:$J,'Balancete MLN_WebPosto'!$C:$C,$A83,'Balancete MLN_WebPosto'!$B:$B,$B$2),
  "0"
)</f>
        <v>0</v>
      </c>
      <c r="L83" s="4" t="str">
        <f>IF(Balancete_Oficial[[#Headers],[Março]]='Balancete MLN_WebPosto'!$G$2,
SUMIFS('Balancete MLN_WebPosto'!$J:$J,'Balancete MLN_WebPosto'!$C:$C,$A83,'Balancete MLN_WebPosto'!$B:$B,$B$2),
  "0"
)</f>
        <v>0</v>
      </c>
      <c r="M83" s="4" t="str">
        <f>IF(Balancete_Oficial[[#Headers],[Abril]]='Balancete MLN_WebPosto'!$G$2,
SUMIFS('Balancete MLN_WebPosto'!$J:$J,'Balancete MLN_WebPosto'!$C:$C,$A83,'Balancete MLN_WebPosto'!$B:$B,$B$2),
  "0"
)</f>
        <v>0</v>
      </c>
      <c r="N83" s="4" t="str">
        <f>IF(Balancete_Oficial[[#Headers],[Maio]]='Balancete MLN_WebPosto'!$G$2,
SUMIFS('Balancete MLN_WebPosto'!$I:$I,'Balancete MLN_WebPosto'!$C:$C,$A83,'Balancete MLN_WebPosto'!$B:$B,$B$2),
  "0"
)</f>
        <v>0</v>
      </c>
      <c r="O83" s="4" t="str">
        <f>IF(Balancete_Oficial[[#Headers],[Junho]]='Balancete MLN_WebPosto'!$G$2,
SUMIFS('Balancete MLN_WebPosto'!$I:$I,'Balancete MLN_WebPosto'!$C:$C,$A83,'Balancete MLN_WebPosto'!$B:$B,$B$2),
  "0"
)</f>
        <v>0</v>
      </c>
      <c r="P83" s="4" t="str">
        <f>IF(Balancete_Oficial[[#Headers],[Julho]]='Balancete MLN_WebPosto'!$G$2,
SUMIFS('Balancete MLN_WebPosto'!$I:$I,'Balancete MLN_WebPosto'!$C:$C,$A83,'Balancete MLN_WebPosto'!$B:$B,$B$2),
  "0"
)</f>
        <v>0</v>
      </c>
      <c r="Q83" s="4" t="str">
        <f>IF(Balancete_Oficial[[#Headers],[Agosto]]='Balancete MLN_WebPosto'!$G$2,
SUMIFS('Balancete MLN_WebPosto'!$I:$I,'Balancete MLN_WebPosto'!$C:$C,$A83,'Balancete MLN_WebPosto'!$B:$B,$B$2),
  "0"
)</f>
        <v>0</v>
      </c>
      <c r="R83" s="4">
        <f>IF(Balancete_Oficial[[#Headers],[Setembro]]='Balancete MLN_WebPosto'!$G$2,
SUMIFS('Balancete MLN_WebPosto'!$I:$I,'Balancete MLN_WebPosto'!$C:$C,$A83,'Balancete MLN_WebPosto'!$B:$B,$B$2),
  "0"
)</f>
        <v>0</v>
      </c>
      <c r="S83" s="4" t="str">
        <f>IF(Balancete_Oficial[[#Headers],[Outubro]]='Balancete MLN_WebPosto'!$G$2,
SUMIFS('Balancete MLN_WebPosto'!$I:$I,'Balancete MLN_WebPosto'!$C:$C,$A83,'Balancete MLN_WebPosto'!$B:$B,$B$2),
  "0"
)</f>
        <v>0</v>
      </c>
      <c r="T83" s="4" t="str">
        <f>IF(Balancete_Oficial[[#Headers],[Novembro]]='Balancete MLN_WebPosto'!$G$2,
SUMIFS('Balancete MLN_WebPosto'!$I:$I,'Balancete MLN_WebPosto'!$C:$C,$A83,'Balancete MLN_WebPosto'!$B:$B,$B$2),
  "0"
)</f>
        <v>0</v>
      </c>
      <c r="U83" s="4" t="str">
        <f>IF(Balancete_Oficial[[#Headers],[Dezembro]]='Balancete MLN_WebPosto'!$G$2,
SUMIFS('Balancete MLN_WebPosto'!$I:$I,'Balancete MLN_WebPosto'!$C:$C,$A83,'Balancete MLN_WebPosto'!$B:$B,$B$2),
  "0"
)</f>
        <v>0</v>
      </c>
    </row>
    <row r="84" spans="1:21" s="2" customFormat="1" x14ac:dyDescent="0.25">
      <c r="A84" s="2" t="str">
        <f>IF(Dados!H81="","",Dados!H81)</f>
        <v/>
      </c>
      <c r="B84" s="2" t="e">
        <f>VLOOKUP(Balancete_Oficial[[#This Row],[Conta]],'Balancete MLN_WebPosto'!C:E,3,0)</f>
        <v>#N/A</v>
      </c>
      <c r="C84" s="3" t="str">
        <f t="shared" si="6"/>
        <v>Sintética</v>
      </c>
      <c r="D84" s="6" t="str">
        <f t="shared" si="7"/>
        <v>R</v>
      </c>
      <c r="E84" s="6" t="str">
        <f t="shared" si="8"/>
        <v/>
      </c>
      <c r="F84" s="6"/>
      <c r="G84" s="6"/>
      <c r="H84" s="6"/>
      <c r="I84" s="6"/>
      <c r="J84" s="4" t="str">
        <f>IF(Balancete_Oficial[[#Headers],[Janeiro]]='Balancete MLN_WebPosto'!$G$2,
SUMIFS('Balancete MLN_WebPosto'!$J:$J,'Balancete MLN_WebPosto'!$C:$C,$A84,'Balancete MLN_WebPosto'!$B:$B,$B$2),
  "0"
)</f>
        <v>0</v>
      </c>
      <c r="K84" s="4" t="str">
        <f>IF(Balancete_Oficial[[#Headers],[Fevereiro]]='Balancete MLN_WebPosto'!$G$2,
SUMIFS('Balancete MLN_WebPosto'!$J:$J,'Balancete MLN_WebPosto'!$C:$C,$A84,'Balancete MLN_WebPosto'!$B:$B,$B$2),
  "0"
)</f>
        <v>0</v>
      </c>
      <c r="L84" s="4" t="str">
        <f>IF(Balancete_Oficial[[#Headers],[Março]]='Balancete MLN_WebPosto'!$G$2,
SUMIFS('Balancete MLN_WebPosto'!$J:$J,'Balancete MLN_WebPosto'!$C:$C,$A84,'Balancete MLN_WebPosto'!$B:$B,$B$2),
  "0"
)</f>
        <v>0</v>
      </c>
      <c r="M84" s="4" t="str">
        <f>IF(Balancete_Oficial[[#Headers],[Abril]]='Balancete MLN_WebPosto'!$G$2,
SUMIFS('Balancete MLN_WebPosto'!$J:$J,'Balancete MLN_WebPosto'!$C:$C,$A84,'Balancete MLN_WebPosto'!$B:$B,$B$2),
  "0"
)</f>
        <v>0</v>
      </c>
      <c r="N84" s="4" t="str">
        <f>IF(Balancete_Oficial[[#Headers],[Maio]]='Balancete MLN_WebPosto'!$G$2,
SUMIFS('Balancete MLN_WebPosto'!$I:$I,'Balancete MLN_WebPosto'!$C:$C,$A84,'Balancete MLN_WebPosto'!$B:$B,$B$2),
  "0"
)</f>
        <v>0</v>
      </c>
      <c r="O84" s="4" t="str">
        <f>IF(Balancete_Oficial[[#Headers],[Junho]]='Balancete MLN_WebPosto'!$G$2,
SUMIFS('Balancete MLN_WebPosto'!$I:$I,'Balancete MLN_WebPosto'!$C:$C,$A84,'Balancete MLN_WebPosto'!$B:$B,$B$2),
  "0"
)</f>
        <v>0</v>
      </c>
      <c r="P84" s="4" t="str">
        <f>IF(Balancete_Oficial[[#Headers],[Julho]]='Balancete MLN_WebPosto'!$G$2,
SUMIFS('Balancete MLN_WebPosto'!$I:$I,'Balancete MLN_WebPosto'!$C:$C,$A84,'Balancete MLN_WebPosto'!$B:$B,$B$2),
  "0"
)</f>
        <v>0</v>
      </c>
      <c r="Q84" s="4" t="str">
        <f>IF(Balancete_Oficial[[#Headers],[Agosto]]='Balancete MLN_WebPosto'!$G$2,
SUMIFS('Balancete MLN_WebPosto'!$I:$I,'Balancete MLN_WebPosto'!$C:$C,$A84,'Balancete MLN_WebPosto'!$B:$B,$B$2),
  "0"
)</f>
        <v>0</v>
      </c>
      <c r="R84" s="4">
        <f>IF(Balancete_Oficial[[#Headers],[Setembro]]='Balancete MLN_WebPosto'!$G$2,
SUMIFS('Balancete MLN_WebPosto'!$I:$I,'Balancete MLN_WebPosto'!$C:$C,$A84,'Balancete MLN_WebPosto'!$B:$B,$B$2),
  "0"
)</f>
        <v>0</v>
      </c>
      <c r="S84" s="4" t="str">
        <f>IF(Balancete_Oficial[[#Headers],[Outubro]]='Balancete MLN_WebPosto'!$G$2,
SUMIFS('Balancete MLN_WebPosto'!$I:$I,'Balancete MLN_WebPosto'!$C:$C,$A84,'Balancete MLN_WebPosto'!$B:$B,$B$2),
  "0"
)</f>
        <v>0</v>
      </c>
      <c r="T84" s="4" t="str">
        <f>IF(Balancete_Oficial[[#Headers],[Novembro]]='Balancete MLN_WebPosto'!$G$2,
SUMIFS('Balancete MLN_WebPosto'!$I:$I,'Balancete MLN_WebPosto'!$C:$C,$A84,'Balancete MLN_WebPosto'!$B:$B,$B$2),
  "0"
)</f>
        <v>0</v>
      </c>
      <c r="U84" s="4" t="str">
        <f>IF(Balancete_Oficial[[#Headers],[Dezembro]]='Balancete MLN_WebPosto'!$G$2,
SUMIFS('Balancete MLN_WebPosto'!$I:$I,'Balancete MLN_WebPosto'!$C:$C,$A84,'Balancete MLN_WebPosto'!$B:$B,$B$2),
  "0"
)</f>
        <v>0</v>
      </c>
    </row>
    <row r="85" spans="1:21" s="2" customFormat="1" x14ac:dyDescent="0.25">
      <c r="A85" s="2" t="str">
        <f>IF(Dados!H82="","",Dados!H82)</f>
        <v/>
      </c>
      <c r="B85" s="2" t="e">
        <f>VLOOKUP(Balancete_Oficial[[#This Row],[Conta]],'Balancete MLN_WebPosto'!C:E,3,0)</f>
        <v>#N/A</v>
      </c>
      <c r="C85" s="3" t="str">
        <f t="shared" si="6"/>
        <v>Sintética</v>
      </c>
      <c r="D85" s="6" t="str">
        <f t="shared" si="7"/>
        <v>R</v>
      </c>
      <c r="E85" s="6" t="str">
        <f t="shared" si="8"/>
        <v/>
      </c>
      <c r="F85" s="6"/>
      <c r="G85" s="6"/>
      <c r="H85" s="6"/>
      <c r="I85" s="6"/>
      <c r="J85" s="4" t="str">
        <f>IF(Balancete_Oficial[[#Headers],[Janeiro]]='Balancete MLN_WebPosto'!$G$2,
SUMIFS('Balancete MLN_WebPosto'!$J:$J,'Balancete MLN_WebPosto'!$C:$C,$A85,'Balancete MLN_WebPosto'!$B:$B,$B$2),
  "0"
)</f>
        <v>0</v>
      </c>
      <c r="K85" s="4" t="str">
        <f>IF(Balancete_Oficial[[#Headers],[Fevereiro]]='Balancete MLN_WebPosto'!$G$2,
SUMIFS('Balancete MLN_WebPosto'!$J:$J,'Balancete MLN_WebPosto'!$C:$C,$A85,'Balancete MLN_WebPosto'!$B:$B,$B$2),
  "0"
)</f>
        <v>0</v>
      </c>
      <c r="L85" s="4" t="str">
        <f>IF(Balancete_Oficial[[#Headers],[Março]]='Balancete MLN_WebPosto'!$G$2,
SUMIFS('Balancete MLN_WebPosto'!$J:$J,'Balancete MLN_WebPosto'!$C:$C,$A85,'Balancete MLN_WebPosto'!$B:$B,$B$2),
  "0"
)</f>
        <v>0</v>
      </c>
      <c r="M85" s="4" t="str">
        <f>IF(Balancete_Oficial[[#Headers],[Abril]]='Balancete MLN_WebPosto'!$G$2,
SUMIFS('Balancete MLN_WebPosto'!$J:$J,'Balancete MLN_WebPosto'!$C:$C,$A85,'Balancete MLN_WebPosto'!$B:$B,$B$2),
  "0"
)</f>
        <v>0</v>
      </c>
      <c r="N85" s="4" t="str">
        <f>IF(Balancete_Oficial[[#Headers],[Maio]]='Balancete MLN_WebPosto'!$G$2,
SUMIFS('Balancete MLN_WebPosto'!$I:$I,'Balancete MLN_WebPosto'!$C:$C,$A85,'Balancete MLN_WebPosto'!$B:$B,$B$2),
  "0"
)</f>
        <v>0</v>
      </c>
      <c r="O85" s="4" t="str">
        <f>IF(Balancete_Oficial[[#Headers],[Junho]]='Balancete MLN_WebPosto'!$G$2,
SUMIFS('Balancete MLN_WebPosto'!$I:$I,'Balancete MLN_WebPosto'!$C:$C,$A85,'Balancete MLN_WebPosto'!$B:$B,$B$2),
  "0"
)</f>
        <v>0</v>
      </c>
      <c r="P85" s="4" t="str">
        <f>IF(Balancete_Oficial[[#Headers],[Julho]]='Balancete MLN_WebPosto'!$G$2,
SUMIFS('Balancete MLN_WebPosto'!$I:$I,'Balancete MLN_WebPosto'!$C:$C,$A85,'Balancete MLN_WebPosto'!$B:$B,$B$2),
  "0"
)</f>
        <v>0</v>
      </c>
      <c r="Q85" s="4" t="str">
        <f>IF(Balancete_Oficial[[#Headers],[Agosto]]='Balancete MLN_WebPosto'!$G$2,
SUMIFS('Balancete MLN_WebPosto'!$I:$I,'Balancete MLN_WebPosto'!$C:$C,$A85,'Balancete MLN_WebPosto'!$B:$B,$B$2),
  "0"
)</f>
        <v>0</v>
      </c>
      <c r="R85" s="4">
        <f>IF(Balancete_Oficial[[#Headers],[Setembro]]='Balancete MLN_WebPosto'!$G$2,
SUMIFS('Balancete MLN_WebPosto'!$I:$I,'Balancete MLN_WebPosto'!$C:$C,$A85,'Balancete MLN_WebPosto'!$B:$B,$B$2),
  "0"
)</f>
        <v>0</v>
      </c>
      <c r="S85" s="4" t="str">
        <f>IF(Balancete_Oficial[[#Headers],[Outubro]]='Balancete MLN_WebPosto'!$G$2,
SUMIFS('Balancete MLN_WebPosto'!$I:$I,'Balancete MLN_WebPosto'!$C:$C,$A85,'Balancete MLN_WebPosto'!$B:$B,$B$2),
  "0"
)</f>
        <v>0</v>
      </c>
      <c r="T85" s="4" t="str">
        <f>IF(Balancete_Oficial[[#Headers],[Novembro]]='Balancete MLN_WebPosto'!$G$2,
SUMIFS('Balancete MLN_WebPosto'!$I:$I,'Balancete MLN_WebPosto'!$C:$C,$A85,'Balancete MLN_WebPosto'!$B:$B,$B$2),
  "0"
)</f>
        <v>0</v>
      </c>
      <c r="U85" s="4" t="str">
        <f>IF(Balancete_Oficial[[#Headers],[Dezembro]]='Balancete MLN_WebPosto'!$G$2,
SUMIFS('Balancete MLN_WebPosto'!$I:$I,'Balancete MLN_WebPosto'!$C:$C,$A85,'Balancete MLN_WebPosto'!$B:$B,$B$2),
  "0"
)</f>
        <v>0</v>
      </c>
    </row>
    <row r="86" spans="1:21" s="2" customFormat="1" x14ac:dyDescent="0.25">
      <c r="A86" s="2" t="str">
        <f>IF(Dados!H83="","",Dados!H83)</f>
        <v/>
      </c>
      <c r="B86" s="2" t="e">
        <f>VLOOKUP(Balancete_Oficial[[#This Row],[Conta]],'Balancete MLN_WebPosto'!C:E,3,0)</f>
        <v>#N/A</v>
      </c>
      <c r="C86" s="3" t="str">
        <f t="shared" si="6"/>
        <v>Sintética</v>
      </c>
      <c r="D86" s="6" t="str">
        <f t="shared" si="7"/>
        <v>R</v>
      </c>
      <c r="E86" s="6" t="str">
        <f t="shared" si="8"/>
        <v/>
      </c>
      <c r="F86" s="6"/>
      <c r="G86" s="6"/>
      <c r="H86" s="6"/>
      <c r="I86" s="6"/>
      <c r="J86" s="4" t="str">
        <f>IF(Balancete_Oficial[[#Headers],[Janeiro]]='Balancete MLN_WebPosto'!$G$2,
SUMIFS('Balancete MLN_WebPosto'!$J:$J,'Balancete MLN_WebPosto'!$C:$C,$A86,'Balancete MLN_WebPosto'!$B:$B,$B$2),
  "0"
)</f>
        <v>0</v>
      </c>
      <c r="K86" s="4" t="str">
        <f>IF(Balancete_Oficial[[#Headers],[Fevereiro]]='Balancete MLN_WebPosto'!$G$2,
SUMIFS('Balancete MLN_WebPosto'!$J:$J,'Balancete MLN_WebPosto'!$C:$C,$A86,'Balancete MLN_WebPosto'!$B:$B,$B$2),
  "0"
)</f>
        <v>0</v>
      </c>
      <c r="L86" s="4" t="str">
        <f>IF(Balancete_Oficial[[#Headers],[Março]]='Balancete MLN_WebPosto'!$G$2,
SUMIFS('Balancete MLN_WebPosto'!$J:$J,'Balancete MLN_WebPosto'!$C:$C,$A86,'Balancete MLN_WebPosto'!$B:$B,$B$2),
  "0"
)</f>
        <v>0</v>
      </c>
      <c r="M86" s="4" t="str">
        <f>IF(Balancete_Oficial[[#Headers],[Abril]]='Balancete MLN_WebPosto'!$G$2,
SUMIFS('Balancete MLN_WebPosto'!$J:$J,'Balancete MLN_WebPosto'!$C:$C,$A86,'Balancete MLN_WebPosto'!$B:$B,$B$2),
  "0"
)</f>
        <v>0</v>
      </c>
      <c r="N86" s="4" t="str">
        <f>IF(Balancete_Oficial[[#Headers],[Maio]]='Balancete MLN_WebPosto'!$G$2,
SUMIFS('Balancete MLN_WebPosto'!$I:$I,'Balancete MLN_WebPosto'!$C:$C,$A86,'Balancete MLN_WebPosto'!$B:$B,$B$2),
  "0"
)</f>
        <v>0</v>
      </c>
      <c r="O86" s="4" t="str">
        <f>IF(Balancete_Oficial[[#Headers],[Junho]]='Balancete MLN_WebPosto'!$G$2,
SUMIFS('Balancete MLN_WebPosto'!$I:$I,'Balancete MLN_WebPosto'!$C:$C,$A86,'Balancete MLN_WebPosto'!$B:$B,$B$2),
  "0"
)</f>
        <v>0</v>
      </c>
      <c r="P86" s="4" t="str">
        <f>IF(Balancete_Oficial[[#Headers],[Julho]]='Balancete MLN_WebPosto'!$G$2,
SUMIFS('Balancete MLN_WebPosto'!$I:$I,'Balancete MLN_WebPosto'!$C:$C,$A86,'Balancete MLN_WebPosto'!$B:$B,$B$2),
  "0"
)</f>
        <v>0</v>
      </c>
      <c r="Q86" s="4" t="str">
        <f>IF(Balancete_Oficial[[#Headers],[Agosto]]='Balancete MLN_WebPosto'!$G$2,
SUMIFS('Balancete MLN_WebPosto'!$I:$I,'Balancete MLN_WebPosto'!$C:$C,$A86,'Balancete MLN_WebPosto'!$B:$B,$B$2),
  "0"
)</f>
        <v>0</v>
      </c>
      <c r="R86" s="4">
        <f>IF(Balancete_Oficial[[#Headers],[Setembro]]='Balancete MLN_WebPosto'!$G$2,
SUMIFS('Balancete MLN_WebPosto'!$I:$I,'Balancete MLN_WebPosto'!$C:$C,$A86,'Balancete MLN_WebPosto'!$B:$B,$B$2),
  "0"
)</f>
        <v>0</v>
      </c>
      <c r="S86" s="4" t="str">
        <f>IF(Balancete_Oficial[[#Headers],[Outubro]]='Balancete MLN_WebPosto'!$G$2,
SUMIFS('Balancete MLN_WebPosto'!$I:$I,'Balancete MLN_WebPosto'!$C:$C,$A86,'Balancete MLN_WebPosto'!$B:$B,$B$2),
  "0"
)</f>
        <v>0</v>
      </c>
      <c r="T86" s="4" t="str">
        <f>IF(Balancete_Oficial[[#Headers],[Novembro]]='Balancete MLN_WebPosto'!$G$2,
SUMIFS('Balancete MLN_WebPosto'!$I:$I,'Balancete MLN_WebPosto'!$C:$C,$A86,'Balancete MLN_WebPosto'!$B:$B,$B$2),
  "0"
)</f>
        <v>0</v>
      </c>
      <c r="U86" s="4" t="str">
        <f>IF(Balancete_Oficial[[#Headers],[Dezembro]]='Balancete MLN_WebPosto'!$G$2,
SUMIFS('Balancete MLN_WebPosto'!$I:$I,'Balancete MLN_WebPosto'!$C:$C,$A86,'Balancete MLN_WebPosto'!$B:$B,$B$2),
  "0"
)</f>
        <v>0</v>
      </c>
    </row>
    <row r="87" spans="1:21" s="2" customFormat="1" x14ac:dyDescent="0.25">
      <c r="A87" s="2" t="str">
        <f>IF(Dados!H84="","",Dados!H84)</f>
        <v/>
      </c>
      <c r="B87" s="2" t="e">
        <f>VLOOKUP(Balancete_Oficial[[#This Row],[Conta]],'Balancete MLN_WebPosto'!C:E,3,0)</f>
        <v>#N/A</v>
      </c>
      <c r="C87" s="3" t="str">
        <f t="shared" si="6"/>
        <v>Sintética</v>
      </c>
      <c r="D87" s="6" t="str">
        <f t="shared" si="7"/>
        <v>R</v>
      </c>
      <c r="E87" s="6" t="str">
        <f t="shared" si="8"/>
        <v/>
      </c>
      <c r="F87" s="6"/>
      <c r="G87" s="6"/>
      <c r="H87" s="6"/>
      <c r="I87" s="6"/>
      <c r="J87" s="4" t="str">
        <f>IF(Balancete_Oficial[[#Headers],[Janeiro]]='Balancete MLN_WebPosto'!$G$2,
SUMIFS('Balancete MLN_WebPosto'!$J:$J,'Balancete MLN_WebPosto'!$C:$C,$A87,'Balancete MLN_WebPosto'!$B:$B,$B$2),
  "0"
)</f>
        <v>0</v>
      </c>
      <c r="K87" s="4" t="str">
        <f>IF(Balancete_Oficial[[#Headers],[Fevereiro]]='Balancete MLN_WebPosto'!$G$2,
SUMIFS('Balancete MLN_WebPosto'!$J:$J,'Balancete MLN_WebPosto'!$C:$C,$A87,'Balancete MLN_WebPosto'!$B:$B,$B$2),
  "0"
)</f>
        <v>0</v>
      </c>
      <c r="L87" s="4" t="str">
        <f>IF(Balancete_Oficial[[#Headers],[Março]]='Balancete MLN_WebPosto'!$G$2,
SUMIFS('Balancete MLN_WebPosto'!$J:$J,'Balancete MLN_WebPosto'!$C:$C,$A87,'Balancete MLN_WebPosto'!$B:$B,$B$2),
  "0"
)</f>
        <v>0</v>
      </c>
      <c r="M87" s="4" t="str">
        <f>IF(Balancete_Oficial[[#Headers],[Abril]]='Balancete MLN_WebPosto'!$G$2,
SUMIFS('Balancete MLN_WebPosto'!$J:$J,'Balancete MLN_WebPosto'!$C:$C,$A87,'Balancete MLN_WebPosto'!$B:$B,$B$2),
  "0"
)</f>
        <v>0</v>
      </c>
      <c r="N87" s="4" t="str">
        <f>IF(Balancete_Oficial[[#Headers],[Maio]]='Balancete MLN_WebPosto'!$G$2,
SUMIFS('Balancete MLN_WebPosto'!$I:$I,'Balancete MLN_WebPosto'!$C:$C,$A87,'Balancete MLN_WebPosto'!$B:$B,$B$2),
  "0"
)</f>
        <v>0</v>
      </c>
      <c r="O87" s="4" t="str">
        <f>IF(Balancete_Oficial[[#Headers],[Junho]]='Balancete MLN_WebPosto'!$G$2,
SUMIFS('Balancete MLN_WebPosto'!$I:$I,'Balancete MLN_WebPosto'!$C:$C,$A87,'Balancete MLN_WebPosto'!$B:$B,$B$2),
  "0"
)</f>
        <v>0</v>
      </c>
      <c r="P87" s="4" t="str">
        <f>IF(Balancete_Oficial[[#Headers],[Julho]]='Balancete MLN_WebPosto'!$G$2,
SUMIFS('Balancete MLN_WebPosto'!$I:$I,'Balancete MLN_WebPosto'!$C:$C,$A87,'Balancete MLN_WebPosto'!$B:$B,$B$2),
  "0"
)</f>
        <v>0</v>
      </c>
      <c r="Q87" s="4" t="str">
        <f>IF(Balancete_Oficial[[#Headers],[Agosto]]='Balancete MLN_WebPosto'!$G$2,
SUMIFS('Balancete MLN_WebPosto'!$I:$I,'Balancete MLN_WebPosto'!$C:$C,$A87,'Balancete MLN_WebPosto'!$B:$B,$B$2),
  "0"
)</f>
        <v>0</v>
      </c>
      <c r="R87" s="4">
        <f>IF(Balancete_Oficial[[#Headers],[Setembro]]='Balancete MLN_WebPosto'!$G$2,
SUMIFS('Balancete MLN_WebPosto'!$I:$I,'Balancete MLN_WebPosto'!$C:$C,$A87,'Balancete MLN_WebPosto'!$B:$B,$B$2),
  "0"
)</f>
        <v>0</v>
      </c>
      <c r="S87" s="4" t="str">
        <f>IF(Balancete_Oficial[[#Headers],[Outubro]]='Balancete MLN_WebPosto'!$G$2,
SUMIFS('Balancete MLN_WebPosto'!$I:$I,'Balancete MLN_WebPosto'!$C:$C,$A87,'Balancete MLN_WebPosto'!$B:$B,$B$2),
  "0"
)</f>
        <v>0</v>
      </c>
      <c r="T87" s="4" t="str">
        <f>IF(Balancete_Oficial[[#Headers],[Novembro]]='Balancete MLN_WebPosto'!$G$2,
SUMIFS('Balancete MLN_WebPosto'!$I:$I,'Balancete MLN_WebPosto'!$C:$C,$A87,'Balancete MLN_WebPosto'!$B:$B,$B$2),
  "0"
)</f>
        <v>0</v>
      </c>
      <c r="U87" s="4" t="str">
        <f>IF(Balancete_Oficial[[#Headers],[Dezembro]]='Balancete MLN_WebPosto'!$G$2,
SUMIFS('Balancete MLN_WebPosto'!$I:$I,'Balancete MLN_WebPosto'!$C:$C,$A87,'Balancete MLN_WebPosto'!$B:$B,$B$2),
  "0"
)</f>
        <v>0</v>
      </c>
    </row>
    <row r="88" spans="1:21" s="2" customFormat="1" x14ac:dyDescent="0.25">
      <c r="A88" s="2" t="str">
        <f>IF(Dados!H85="","",Dados!H85)</f>
        <v/>
      </c>
      <c r="B88" s="2" t="e">
        <f>VLOOKUP(Balancete_Oficial[[#This Row],[Conta]],'Balancete MLN_WebPosto'!C:E,3,0)</f>
        <v>#N/A</v>
      </c>
      <c r="C88" s="3" t="str">
        <f t="shared" si="6"/>
        <v>Sintética</v>
      </c>
      <c r="D88" s="6" t="str">
        <f t="shared" si="7"/>
        <v>R</v>
      </c>
      <c r="E88" s="6" t="str">
        <f t="shared" si="8"/>
        <v/>
      </c>
      <c r="F88" s="6"/>
      <c r="G88" s="6"/>
      <c r="H88" s="6"/>
      <c r="I88" s="6"/>
      <c r="J88" s="4" t="str">
        <f>IF(Balancete_Oficial[[#Headers],[Janeiro]]='Balancete MLN_WebPosto'!$G$2,
SUMIFS('Balancete MLN_WebPosto'!$J:$J,'Balancete MLN_WebPosto'!$C:$C,$A88,'Balancete MLN_WebPosto'!$B:$B,$B$2),
  "0"
)</f>
        <v>0</v>
      </c>
      <c r="K88" s="4" t="str">
        <f>IF(Balancete_Oficial[[#Headers],[Fevereiro]]='Balancete MLN_WebPosto'!$G$2,
SUMIFS('Balancete MLN_WebPosto'!$J:$J,'Balancete MLN_WebPosto'!$C:$C,$A88,'Balancete MLN_WebPosto'!$B:$B,$B$2),
  "0"
)</f>
        <v>0</v>
      </c>
      <c r="L88" s="4" t="str">
        <f>IF(Balancete_Oficial[[#Headers],[Março]]='Balancete MLN_WebPosto'!$G$2,
SUMIFS('Balancete MLN_WebPosto'!$J:$J,'Balancete MLN_WebPosto'!$C:$C,$A88,'Balancete MLN_WebPosto'!$B:$B,$B$2),
  "0"
)</f>
        <v>0</v>
      </c>
      <c r="M88" s="4" t="str">
        <f>IF(Balancete_Oficial[[#Headers],[Abril]]='Balancete MLN_WebPosto'!$G$2,
SUMIFS('Balancete MLN_WebPosto'!$J:$J,'Balancete MLN_WebPosto'!$C:$C,$A88,'Balancete MLN_WebPosto'!$B:$B,$B$2),
  "0"
)</f>
        <v>0</v>
      </c>
      <c r="N88" s="4" t="str">
        <f>IF(Balancete_Oficial[[#Headers],[Maio]]='Balancete MLN_WebPosto'!$G$2,
SUMIFS('Balancete MLN_WebPosto'!$I:$I,'Balancete MLN_WebPosto'!$C:$C,$A88,'Balancete MLN_WebPosto'!$B:$B,$B$2),
  "0"
)</f>
        <v>0</v>
      </c>
      <c r="O88" s="4" t="str">
        <f>IF(Balancete_Oficial[[#Headers],[Junho]]='Balancete MLN_WebPosto'!$G$2,
SUMIFS('Balancete MLN_WebPosto'!$I:$I,'Balancete MLN_WebPosto'!$C:$C,$A88,'Balancete MLN_WebPosto'!$B:$B,$B$2),
  "0"
)</f>
        <v>0</v>
      </c>
      <c r="P88" s="4" t="str">
        <f>IF(Balancete_Oficial[[#Headers],[Julho]]='Balancete MLN_WebPosto'!$G$2,
SUMIFS('Balancete MLN_WebPosto'!$I:$I,'Balancete MLN_WebPosto'!$C:$C,$A88,'Balancete MLN_WebPosto'!$B:$B,$B$2),
  "0"
)</f>
        <v>0</v>
      </c>
      <c r="Q88" s="4" t="str">
        <f>IF(Balancete_Oficial[[#Headers],[Agosto]]='Balancete MLN_WebPosto'!$G$2,
SUMIFS('Balancete MLN_WebPosto'!$I:$I,'Balancete MLN_WebPosto'!$C:$C,$A88,'Balancete MLN_WebPosto'!$B:$B,$B$2),
  "0"
)</f>
        <v>0</v>
      </c>
      <c r="R88" s="4">
        <f>IF(Balancete_Oficial[[#Headers],[Setembro]]='Balancete MLN_WebPosto'!$G$2,
SUMIFS('Balancete MLN_WebPosto'!$I:$I,'Balancete MLN_WebPosto'!$C:$C,$A88,'Balancete MLN_WebPosto'!$B:$B,$B$2),
  "0"
)</f>
        <v>0</v>
      </c>
      <c r="S88" s="4" t="str">
        <f>IF(Balancete_Oficial[[#Headers],[Outubro]]='Balancete MLN_WebPosto'!$G$2,
SUMIFS('Balancete MLN_WebPosto'!$I:$I,'Balancete MLN_WebPosto'!$C:$C,$A88,'Balancete MLN_WebPosto'!$B:$B,$B$2),
  "0"
)</f>
        <v>0</v>
      </c>
      <c r="T88" s="4" t="str">
        <f>IF(Balancete_Oficial[[#Headers],[Novembro]]='Balancete MLN_WebPosto'!$G$2,
SUMIFS('Balancete MLN_WebPosto'!$I:$I,'Balancete MLN_WebPosto'!$C:$C,$A88,'Balancete MLN_WebPosto'!$B:$B,$B$2),
  "0"
)</f>
        <v>0</v>
      </c>
      <c r="U88" s="4" t="str">
        <f>IF(Balancete_Oficial[[#Headers],[Dezembro]]='Balancete MLN_WebPosto'!$G$2,
SUMIFS('Balancete MLN_WebPosto'!$I:$I,'Balancete MLN_WebPosto'!$C:$C,$A88,'Balancete MLN_WebPosto'!$B:$B,$B$2),
  "0"
)</f>
        <v>0</v>
      </c>
    </row>
    <row r="89" spans="1:21" s="2" customFormat="1" x14ac:dyDescent="0.25">
      <c r="A89" s="2" t="str">
        <f>IF(Dados!H86="","",Dados!H86)</f>
        <v/>
      </c>
      <c r="B89" s="2" t="e">
        <f>VLOOKUP(Balancete_Oficial[[#This Row],[Conta]],'Balancete MLN_WebPosto'!C:E,3,0)</f>
        <v>#N/A</v>
      </c>
      <c r="C89" s="3" t="str">
        <f t="shared" si="6"/>
        <v>Sintética</v>
      </c>
      <c r="D89" s="6" t="str">
        <f t="shared" si="7"/>
        <v>R</v>
      </c>
      <c r="E89" s="6" t="str">
        <f t="shared" si="8"/>
        <v/>
      </c>
      <c r="F89" s="6"/>
      <c r="G89" s="6"/>
      <c r="H89" s="6"/>
      <c r="I89" s="6"/>
      <c r="J89" s="4" t="str">
        <f>IF(Balancete_Oficial[[#Headers],[Janeiro]]='Balancete MLN_WebPosto'!$G$2,
SUMIFS('Balancete MLN_WebPosto'!$J:$J,'Balancete MLN_WebPosto'!$C:$C,$A89,'Balancete MLN_WebPosto'!$B:$B,$B$2),
  "0"
)</f>
        <v>0</v>
      </c>
      <c r="K89" s="4" t="str">
        <f>IF(Balancete_Oficial[[#Headers],[Fevereiro]]='Balancete MLN_WebPosto'!$G$2,
SUMIFS('Balancete MLN_WebPosto'!$J:$J,'Balancete MLN_WebPosto'!$C:$C,$A89,'Balancete MLN_WebPosto'!$B:$B,$B$2),
  "0"
)</f>
        <v>0</v>
      </c>
      <c r="L89" s="4" t="str">
        <f>IF(Balancete_Oficial[[#Headers],[Março]]='Balancete MLN_WebPosto'!$G$2,
SUMIFS('Balancete MLN_WebPosto'!$J:$J,'Balancete MLN_WebPosto'!$C:$C,$A89,'Balancete MLN_WebPosto'!$B:$B,$B$2),
  "0"
)</f>
        <v>0</v>
      </c>
      <c r="M89" s="4" t="str">
        <f>IF(Balancete_Oficial[[#Headers],[Abril]]='Balancete MLN_WebPosto'!$G$2,
SUMIFS('Balancete MLN_WebPosto'!$J:$J,'Balancete MLN_WebPosto'!$C:$C,$A89,'Balancete MLN_WebPosto'!$B:$B,$B$2),
  "0"
)</f>
        <v>0</v>
      </c>
      <c r="N89" s="4" t="str">
        <f>IF(Balancete_Oficial[[#Headers],[Maio]]='Balancete MLN_WebPosto'!$G$2,
SUMIFS('Balancete MLN_WebPosto'!$I:$I,'Balancete MLN_WebPosto'!$C:$C,$A89,'Balancete MLN_WebPosto'!$B:$B,$B$2),
  "0"
)</f>
        <v>0</v>
      </c>
      <c r="O89" s="4" t="str">
        <f>IF(Balancete_Oficial[[#Headers],[Junho]]='Balancete MLN_WebPosto'!$G$2,
SUMIFS('Balancete MLN_WebPosto'!$I:$I,'Balancete MLN_WebPosto'!$C:$C,$A89,'Balancete MLN_WebPosto'!$B:$B,$B$2),
  "0"
)</f>
        <v>0</v>
      </c>
      <c r="P89" s="4" t="str">
        <f>IF(Balancete_Oficial[[#Headers],[Julho]]='Balancete MLN_WebPosto'!$G$2,
SUMIFS('Balancete MLN_WebPosto'!$I:$I,'Balancete MLN_WebPosto'!$C:$C,$A89,'Balancete MLN_WebPosto'!$B:$B,$B$2),
  "0"
)</f>
        <v>0</v>
      </c>
      <c r="Q89" s="4" t="str">
        <f>IF(Balancete_Oficial[[#Headers],[Agosto]]='Balancete MLN_WebPosto'!$G$2,
SUMIFS('Balancete MLN_WebPosto'!$I:$I,'Balancete MLN_WebPosto'!$C:$C,$A89,'Balancete MLN_WebPosto'!$B:$B,$B$2),
  "0"
)</f>
        <v>0</v>
      </c>
      <c r="R89" s="4">
        <f>IF(Balancete_Oficial[[#Headers],[Setembro]]='Balancete MLN_WebPosto'!$G$2,
SUMIFS('Balancete MLN_WebPosto'!$I:$I,'Balancete MLN_WebPosto'!$C:$C,$A89,'Balancete MLN_WebPosto'!$B:$B,$B$2),
  "0"
)</f>
        <v>0</v>
      </c>
      <c r="S89" s="4" t="str">
        <f>IF(Balancete_Oficial[[#Headers],[Outubro]]='Balancete MLN_WebPosto'!$G$2,
SUMIFS('Balancete MLN_WebPosto'!$I:$I,'Balancete MLN_WebPosto'!$C:$C,$A89,'Balancete MLN_WebPosto'!$B:$B,$B$2),
  "0"
)</f>
        <v>0</v>
      </c>
      <c r="T89" s="4" t="str">
        <f>IF(Balancete_Oficial[[#Headers],[Novembro]]='Balancete MLN_WebPosto'!$G$2,
SUMIFS('Balancete MLN_WebPosto'!$I:$I,'Balancete MLN_WebPosto'!$C:$C,$A89,'Balancete MLN_WebPosto'!$B:$B,$B$2),
  "0"
)</f>
        <v>0</v>
      </c>
      <c r="U89" s="4" t="str">
        <f>IF(Balancete_Oficial[[#Headers],[Dezembro]]='Balancete MLN_WebPosto'!$G$2,
SUMIFS('Balancete MLN_WebPosto'!$I:$I,'Balancete MLN_WebPosto'!$C:$C,$A89,'Balancete MLN_WebPosto'!$B:$B,$B$2),
  "0"
)</f>
        <v>0</v>
      </c>
    </row>
    <row r="90" spans="1:21" s="2" customFormat="1" x14ac:dyDescent="0.25">
      <c r="A90" s="2" t="str">
        <f>IF(Dados!H87="","",Dados!H87)</f>
        <v/>
      </c>
      <c r="B90" s="2" t="e">
        <f>VLOOKUP(Balancete_Oficial[[#This Row],[Conta]],'Balancete MLN_WebPosto'!C:E,3,0)</f>
        <v>#N/A</v>
      </c>
      <c r="C90" s="3" t="str">
        <f t="shared" si="6"/>
        <v>Sintética</v>
      </c>
      <c r="D90" s="6" t="str">
        <f t="shared" si="7"/>
        <v>R</v>
      </c>
      <c r="E90" s="6" t="str">
        <f t="shared" si="8"/>
        <v/>
      </c>
      <c r="F90" s="6"/>
      <c r="G90" s="6"/>
      <c r="H90" s="6"/>
      <c r="I90" s="6"/>
      <c r="J90" s="4" t="str">
        <f>IF(Balancete_Oficial[[#Headers],[Janeiro]]='Balancete MLN_WebPosto'!$G$2,
SUMIFS('Balancete MLN_WebPosto'!$J:$J,'Balancete MLN_WebPosto'!$C:$C,$A90,'Balancete MLN_WebPosto'!$B:$B,$B$2),
  "0"
)</f>
        <v>0</v>
      </c>
      <c r="K90" s="4" t="str">
        <f>IF(Balancete_Oficial[[#Headers],[Fevereiro]]='Balancete MLN_WebPosto'!$G$2,
SUMIFS('Balancete MLN_WebPosto'!$J:$J,'Balancete MLN_WebPosto'!$C:$C,$A90,'Balancete MLN_WebPosto'!$B:$B,$B$2),
  "0"
)</f>
        <v>0</v>
      </c>
      <c r="L90" s="4" t="str">
        <f>IF(Balancete_Oficial[[#Headers],[Março]]='Balancete MLN_WebPosto'!$G$2,
SUMIFS('Balancete MLN_WebPosto'!$J:$J,'Balancete MLN_WebPosto'!$C:$C,$A90,'Balancete MLN_WebPosto'!$B:$B,$B$2),
  "0"
)</f>
        <v>0</v>
      </c>
      <c r="M90" s="4" t="str">
        <f>IF(Balancete_Oficial[[#Headers],[Abril]]='Balancete MLN_WebPosto'!$G$2,
SUMIFS('Balancete MLN_WebPosto'!$J:$J,'Balancete MLN_WebPosto'!$C:$C,$A90,'Balancete MLN_WebPosto'!$B:$B,$B$2),
  "0"
)</f>
        <v>0</v>
      </c>
      <c r="N90" s="4" t="str">
        <f>IF(Balancete_Oficial[[#Headers],[Maio]]='Balancete MLN_WebPosto'!$G$2,
SUMIFS('Balancete MLN_WebPosto'!$I:$I,'Balancete MLN_WebPosto'!$C:$C,$A90,'Balancete MLN_WebPosto'!$B:$B,$B$2),
  "0"
)</f>
        <v>0</v>
      </c>
      <c r="O90" s="4" t="str">
        <f>IF(Balancete_Oficial[[#Headers],[Junho]]='Balancete MLN_WebPosto'!$G$2,
SUMIFS('Balancete MLN_WebPosto'!$I:$I,'Balancete MLN_WebPosto'!$C:$C,$A90,'Balancete MLN_WebPosto'!$B:$B,$B$2),
  "0"
)</f>
        <v>0</v>
      </c>
      <c r="P90" s="4" t="str">
        <f>IF(Balancete_Oficial[[#Headers],[Julho]]='Balancete MLN_WebPosto'!$G$2,
SUMIFS('Balancete MLN_WebPosto'!$I:$I,'Balancete MLN_WebPosto'!$C:$C,$A90,'Balancete MLN_WebPosto'!$B:$B,$B$2),
  "0"
)</f>
        <v>0</v>
      </c>
      <c r="Q90" s="4" t="str">
        <f>IF(Balancete_Oficial[[#Headers],[Agosto]]='Balancete MLN_WebPosto'!$G$2,
SUMIFS('Balancete MLN_WebPosto'!$I:$I,'Balancete MLN_WebPosto'!$C:$C,$A90,'Balancete MLN_WebPosto'!$B:$B,$B$2),
  "0"
)</f>
        <v>0</v>
      </c>
      <c r="R90" s="4">
        <f>IF(Balancete_Oficial[[#Headers],[Setembro]]='Balancete MLN_WebPosto'!$G$2,
SUMIFS('Balancete MLN_WebPosto'!$I:$I,'Balancete MLN_WebPosto'!$C:$C,$A90,'Balancete MLN_WebPosto'!$B:$B,$B$2),
  "0"
)</f>
        <v>0</v>
      </c>
      <c r="S90" s="4" t="str">
        <f>IF(Balancete_Oficial[[#Headers],[Outubro]]='Balancete MLN_WebPosto'!$G$2,
SUMIFS('Balancete MLN_WebPosto'!$I:$I,'Balancete MLN_WebPosto'!$C:$C,$A90,'Balancete MLN_WebPosto'!$B:$B,$B$2),
  "0"
)</f>
        <v>0</v>
      </c>
      <c r="T90" s="4" t="str">
        <f>IF(Balancete_Oficial[[#Headers],[Novembro]]='Balancete MLN_WebPosto'!$G$2,
SUMIFS('Balancete MLN_WebPosto'!$I:$I,'Balancete MLN_WebPosto'!$C:$C,$A90,'Balancete MLN_WebPosto'!$B:$B,$B$2),
  "0"
)</f>
        <v>0</v>
      </c>
      <c r="U90" s="4" t="str">
        <f>IF(Balancete_Oficial[[#Headers],[Dezembro]]='Balancete MLN_WebPosto'!$G$2,
SUMIFS('Balancete MLN_WebPosto'!$I:$I,'Balancete MLN_WebPosto'!$C:$C,$A90,'Balancete MLN_WebPosto'!$B:$B,$B$2),
  "0"
)</f>
        <v>0</v>
      </c>
    </row>
    <row r="91" spans="1:21" s="2" customFormat="1" x14ac:dyDescent="0.25">
      <c r="A91" s="2" t="str">
        <f>IF(Dados!H88="","",Dados!H88)</f>
        <v/>
      </c>
      <c r="B91" s="2" t="e">
        <f>VLOOKUP(Balancete_Oficial[[#This Row],[Conta]],'Balancete MLN_WebPosto'!C:E,3,0)</f>
        <v>#N/A</v>
      </c>
      <c r="C91" s="3" t="str">
        <f t="shared" si="6"/>
        <v>Sintética</v>
      </c>
      <c r="D91" s="6" t="str">
        <f t="shared" si="7"/>
        <v>R</v>
      </c>
      <c r="E91" s="6" t="str">
        <f t="shared" si="8"/>
        <v/>
      </c>
      <c r="F91" s="6"/>
      <c r="G91" s="6"/>
      <c r="H91" s="6"/>
      <c r="I91" s="6"/>
      <c r="J91" s="4" t="str">
        <f>IF(Balancete_Oficial[[#Headers],[Janeiro]]='Balancete MLN_WebPosto'!$G$2,
SUMIFS('Balancete MLN_WebPosto'!$J:$J,'Balancete MLN_WebPosto'!$C:$C,$A91,'Balancete MLN_WebPosto'!$B:$B,$B$2),
  "0"
)</f>
        <v>0</v>
      </c>
      <c r="K91" s="4" t="str">
        <f>IF(Balancete_Oficial[[#Headers],[Fevereiro]]='Balancete MLN_WebPosto'!$G$2,
SUMIFS('Balancete MLN_WebPosto'!$J:$J,'Balancete MLN_WebPosto'!$C:$C,$A91,'Balancete MLN_WebPosto'!$B:$B,$B$2),
  "0"
)</f>
        <v>0</v>
      </c>
      <c r="L91" s="4" t="str">
        <f>IF(Balancete_Oficial[[#Headers],[Março]]='Balancete MLN_WebPosto'!$G$2,
SUMIFS('Balancete MLN_WebPosto'!$J:$J,'Balancete MLN_WebPosto'!$C:$C,$A91,'Balancete MLN_WebPosto'!$B:$B,$B$2),
  "0"
)</f>
        <v>0</v>
      </c>
      <c r="M91" s="4" t="str">
        <f>IF(Balancete_Oficial[[#Headers],[Abril]]='Balancete MLN_WebPosto'!$G$2,
SUMIFS('Balancete MLN_WebPosto'!$J:$J,'Balancete MLN_WebPosto'!$C:$C,$A91,'Balancete MLN_WebPosto'!$B:$B,$B$2),
  "0"
)</f>
        <v>0</v>
      </c>
      <c r="N91" s="4" t="str">
        <f>IF(Balancete_Oficial[[#Headers],[Maio]]='Balancete MLN_WebPosto'!$G$2,
SUMIFS('Balancete MLN_WebPosto'!$I:$I,'Balancete MLN_WebPosto'!$C:$C,$A91,'Balancete MLN_WebPosto'!$B:$B,$B$2),
  "0"
)</f>
        <v>0</v>
      </c>
      <c r="O91" s="4" t="str">
        <f>IF(Balancete_Oficial[[#Headers],[Junho]]='Balancete MLN_WebPosto'!$G$2,
SUMIFS('Balancete MLN_WebPosto'!$I:$I,'Balancete MLN_WebPosto'!$C:$C,$A91,'Balancete MLN_WebPosto'!$B:$B,$B$2),
  "0"
)</f>
        <v>0</v>
      </c>
      <c r="P91" s="4" t="str">
        <f>IF(Balancete_Oficial[[#Headers],[Julho]]='Balancete MLN_WebPosto'!$G$2,
SUMIFS('Balancete MLN_WebPosto'!$I:$I,'Balancete MLN_WebPosto'!$C:$C,$A91,'Balancete MLN_WebPosto'!$B:$B,$B$2),
  "0"
)</f>
        <v>0</v>
      </c>
      <c r="Q91" s="4" t="str">
        <f>IF(Balancete_Oficial[[#Headers],[Agosto]]='Balancete MLN_WebPosto'!$G$2,
SUMIFS('Balancete MLN_WebPosto'!$I:$I,'Balancete MLN_WebPosto'!$C:$C,$A91,'Balancete MLN_WebPosto'!$B:$B,$B$2),
  "0"
)</f>
        <v>0</v>
      </c>
      <c r="R91" s="4">
        <f>IF(Balancete_Oficial[[#Headers],[Setembro]]='Balancete MLN_WebPosto'!$G$2,
SUMIFS('Balancete MLN_WebPosto'!$I:$I,'Balancete MLN_WebPosto'!$C:$C,$A91,'Balancete MLN_WebPosto'!$B:$B,$B$2),
  "0"
)</f>
        <v>0</v>
      </c>
      <c r="S91" s="4" t="str">
        <f>IF(Balancete_Oficial[[#Headers],[Outubro]]='Balancete MLN_WebPosto'!$G$2,
SUMIFS('Balancete MLN_WebPosto'!$I:$I,'Balancete MLN_WebPosto'!$C:$C,$A91,'Balancete MLN_WebPosto'!$B:$B,$B$2),
  "0"
)</f>
        <v>0</v>
      </c>
      <c r="T91" s="4" t="str">
        <f>IF(Balancete_Oficial[[#Headers],[Novembro]]='Balancete MLN_WebPosto'!$G$2,
SUMIFS('Balancete MLN_WebPosto'!$I:$I,'Balancete MLN_WebPosto'!$C:$C,$A91,'Balancete MLN_WebPosto'!$B:$B,$B$2),
  "0"
)</f>
        <v>0</v>
      </c>
      <c r="U91" s="4" t="str">
        <f>IF(Balancete_Oficial[[#Headers],[Dezembro]]='Balancete MLN_WebPosto'!$G$2,
SUMIFS('Balancete MLN_WebPosto'!$I:$I,'Balancete MLN_WebPosto'!$C:$C,$A91,'Balancete MLN_WebPosto'!$B:$B,$B$2),
  "0"
)</f>
        <v>0</v>
      </c>
    </row>
    <row r="92" spans="1:21" s="2" customFormat="1" x14ac:dyDescent="0.25">
      <c r="A92" s="2" t="str">
        <f>IF(Dados!H89="","",Dados!H89)</f>
        <v/>
      </c>
      <c r="B92" s="2" t="e">
        <f>VLOOKUP(Balancete_Oficial[[#This Row],[Conta]],'Balancete MLN_WebPosto'!C:E,3,0)</f>
        <v>#N/A</v>
      </c>
      <c r="C92" s="3" t="str">
        <f t="shared" si="6"/>
        <v>Sintética</v>
      </c>
      <c r="D92" s="6" t="str">
        <f t="shared" si="7"/>
        <v>R</v>
      </c>
      <c r="E92" s="6" t="str">
        <f t="shared" si="8"/>
        <v/>
      </c>
      <c r="F92" s="6"/>
      <c r="G92" s="6"/>
      <c r="H92" s="6"/>
      <c r="I92" s="6"/>
      <c r="J92" s="4" t="str">
        <f>IF(Balancete_Oficial[[#Headers],[Janeiro]]='Balancete MLN_WebPosto'!$G$2,
SUMIFS('Balancete MLN_WebPosto'!$J:$J,'Balancete MLN_WebPosto'!$C:$C,$A92,'Balancete MLN_WebPosto'!$B:$B,$B$2),
  "0"
)</f>
        <v>0</v>
      </c>
      <c r="K92" s="4" t="str">
        <f>IF(Balancete_Oficial[[#Headers],[Fevereiro]]='Balancete MLN_WebPosto'!$G$2,
SUMIFS('Balancete MLN_WebPosto'!$J:$J,'Balancete MLN_WebPosto'!$C:$C,$A92,'Balancete MLN_WebPosto'!$B:$B,$B$2),
  "0"
)</f>
        <v>0</v>
      </c>
      <c r="L92" s="4" t="str">
        <f>IF(Balancete_Oficial[[#Headers],[Março]]='Balancete MLN_WebPosto'!$G$2,
SUMIFS('Balancete MLN_WebPosto'!$J:$J,'Balancete MLN_WebPosto'!$C:$C,$A92,'Balancete MLN_WebPosto'!$B:$B,$B$2),
  "0"
)</f>
        <v>0</v>
      </c>
      <c r="M92" s="4" t="str">
        <f>IF(Balancete_Oficial[[#Headers],[Abril]]='Balancete MLN_WebPosto'!$G$2,
SUMIFS('Balancete MLN_WebPosto'!$J:$J,'Balancete MLN_WebPosto'!$C:$C,$A92,'Balancete MLN_WebPosto'!$B:$B,$B$2),
  "0"
)</f>
        <v>0</v>
      </c>
      <c r="N92" s="4" t="str">
        <f>IF(Balancete_Oficial[[#Headers],[Maio]]='Balancete MLN_WebPosto'!$G$2,
SUMIFS('Balancete MLN_WebPosto'!$I:$I,'Balancete MLN_WebPosto'!$C:$C,$A92,'Balancete MLN_WebPosto'!$B:$B,$B$2),
  "0"
)</f>
        <v>0</v>
      </c>
      <c r="O92" s="4" t="str">
        <f>IF(Balancete_Oficial[[#Headers],[Junho]]='Balancete MLN_WebPosto'!$G$2,
SUMIFS('Balancete MLN_WebPosto'!$I:$I,'Balancete MLN_WebPosto'!$C:$C,$A92,'Balancete MLN_WebPosto'!$B:$B,$B$2),
  "0"
)</f>
        <v>0</v>
      </c>
      <c r="P92" s="4" t="str">
        <f>IF(Balancete_Oficial[[#Headers],[Julho]]='Balancete MLN_WebPosto'!$G$2,
SUMIFS('Balancete MLN_WebPosto'!$I:$I,'Balancete MLN_WebPosto'!$C:$C,$A92,'Balancete MLN_WebPosto'!$B:$B,$B$2),
  "0"
)</f>
        <v>0</v>
      </c>
      <c r="Q92" s="4" t="str">
        <f>IF(Balancete_Oficial[[#Headers],[Agosto]]='Balancete MLN_WebPosto'!$G$2,
SUMIFS('Balancete MLN_WebPosto'!$I:$I,'Balancete MLN_WebPosto'!$C:$C,$A92,'Balancete MLN_WebPosto'!$B:$B,$B$2),
  "0"
)</f>
        <v>0</v>
      </c>
      <c r="R92" s="4">
        <f>IF(Balancete_Oficial[[#Headers],[Setembro]]='Balancete MLN_WebPosto'!$G$2,
SUMIFS('Balancete MLN_WebPosto'!$I:$I,'Balancete MLN_WebPosto'!$C:$C,$A92,'Balancete MLN_WebPosto'!$B:$B,$B$2),
  "0"
)</f>
        <v>0</v>
      </c>
      <c r="S92" s="4" t="str">
        <f>IF(Balancete_Oficial[[#Headers],[Outubro]]='Balancete MLN_WebPosto'!$G$2,
SUMIFS('Balancete MLN_WebPosto'!$I:$I,'Balancete MLN_WebPosto'!$C:$C,$A92,'Balancete MLN_WebPosto'!$B:$B,$B$2),
  "0"
)</f>
        <v>0</v>
      </c>
      <c r="T92" s="4" t="str">
        <f>IF(Balancete_Oficial[[#Headers],[Novembro]]='Balancete MLN_WebPosto'!$G$2,
SUMIFS('Balancete MLN_WebPosto'!$I:$I,'Balancete MLN_WebPosto'!$C:$C,$A92,'Balancete MLN_WebPosto'!$B:$B,$B$2),
  "0"
)</f>
        <v>0</v>
      </c>
      <c r="U92" s="4" t="str">
        <f>IF(Balancete_Oficial[[#Headers],[Dezembro]]='Balancete MLN_WebPosto'!$G$2,
SUMIFS('Balancete MLN_WebPosto'!$I:$I,'Balancete MLN_WebPosto'!$C:$C,$A92,'Balancete MLN_WebPosto'!$B:$B,$B$2),
  "0"
)</f>
        <v>0</v>
      </c>
    </row>
    <row r="93" spans="1:21" s="2" customFormat="1" x14ac:dyDescent="0.25">
      <c r="A93" s="2" t="str">
        <f>IF(Dados!H90="","",Dados!H90)</f>
        <v/>
      </c>
      <c r="B93" s="2" t="e">
        <f>VLOOKUP(Balancete_Oficial[[#This Row],[Conta]],'Balancete MLN_WebPosto'!C:E,3,0)</f>
        <v>#N/A</v>
      </c>
      <c r="C93" s="3" t="str">
        <f t="shared" si="6"/>
        <v>Sintética</v>
      </c>
      <c r="D93" s="6" t="str">
        <f t="shared" si="7"/>
        <v>R</v>
      </c>
      <c r="E93" s="6" t="str">
        <f t="shared" si="8"/>
        <v/>
      </c>
      <c r="F93" s="6"/>
      <c r="G93" s="6"/>
      <c r="H93" s="6"/>
      <c r="I93" s="6"/>
      <c r="J93" s="4" t="str">
        <f>IF(Balancete_Oficial[[#Headers],[Janeiro]]='Balancete MLN_WebPosto'!$G$2,
SUMIFS('Balancete MLN_WebPosto'!$J:$J,'Balancete MLN_WebPosto'!$C:$C,$A93,'Balancete MLN_WebPosto'!$B:$B,$B$2),
  "0"
)</f>
        <v>0</v>
      </c>
      <c r="K93" s="4" t="str">
        <f>IF(Balancete_Oficial[[#Headers],[Fevereiro]]='Balancete MLN_WebPosto'!$G$2,
SUMIFS('Balancete MLN_WebPosto'!$J:$J,'Balancete MLN_WebPosto'!$C:$C,$A93,'Balancete MLN_WebPosto'!$B:$B,$B$2),
  "0"
)</f>
        <v>0</v>
      </c>
      <c r="L93" s="4" t="str">
        <f>IF(Balancete_Oficial[[#Headers],[Março]]='Balancete MLN_WebPosto'!$G$2,
SUMIFS('Balancete MLN_WebPosto'!$J:$J,'Balancete MLN_WebPosto'!$C:$C,$A93,'Balancete MLN_WebPosto'!$B:$B,$B$2),
  "0"
)</f>
        <v>0</v>
      </c>
      <c r="M93" s="4" t="str">
        <f>IF(Balancete_Oficial[[#Headers],[Abril]]='Balancete MLN_WebPosto'!$G$2,
SUMIFS('Balancete MLN_WebPosto'!$J:$J,'Balancete MLN_WebPosto'!$C:$C,$A93,'Balancete MLN_WebPosto'!$B:$B,$B$2),
  "0"
)</f>
        <v>0</v>
      </c>
      <c r="N93" s="4" t="str">
        <f>IF(Balancete_Oficial[[#Headers],[Maio]]='Balancete MLN_WebPosto'!$G$2,
SUMIFS('Balancete MLN_WebPosto'!$I:$I,'Balancete MLN_WebPosto'!$C:$C,$A93,'Balancete MLN_WebPosto'!$B:$B,$B$2),
  "0"
)</f>
        <v>0</v>
      </c>
      <c r="O93" s="4" t="str">
        <f>IF(Balancete_Oficial[[#Headers],[Junho]]='Balancete MLN_WebPosto'!$G$2,
SUMIFS('Balancete MLN_WebPosto'!$I:$I,'Balancete MLN_WebPosto'!$C:$C,$A93,'Balancete MLN_WebPosto'!$B:$B,$B$2),
  "0"
)</f>
        <v>0</v>
      </c>
      <c r="P93" s="4" t="str">
        <f>IF(Balancete_Oficial[[#Headers],[Julho]]='Balancete MLN_WebPosto'!$G$2,
SUMIFS('Balancete MLN_WebPosto'!$I:$I,'Balancete MLN_WebPosto'!$C:$C,$A93,'Balancete MLN_WebPosto'!$B:$B,$B$2),
  "0"
)</f>
        <v>0</v>
      </c>
      <c r="Q93" s="4" t="str">
        <f>IF(Balancete_Oficial[[#Headers],[Agosto]]='Balancete MLN_WebPosto'!$G$2,
SUMIFS('Balancete MLN_WebPosto'!$I:$I,'Balancete MLN_WebPosto'!$C:$C,$A93,'Balancete MLN_WebPosto'!$B:$B,$B$2),
  "0"
)</f>
        <v>0</v>
      </c>
      <c r="R93" s="4">
        <f>IF(Balancete_Oficial[[#Headers],[Setembro]]='Balancete MLN_WebPosto'!$G$2,
SUMIFS('Balancete MLN_WebPosto'!$I:$I,'Balancete MLN_WebPosto'!$C:$C,$A93,'Balancete MLN_WebPosto'!$B:$B,$B$2),
  "0"
)</f>
        <v>0</v>
      </c>
      <c r="S93" s="4" t="str">
        <f>IF(Balancete_Oficial[[#Headers],[Outubro]]='Balancete MLN_WebPosto'!$G$2,
SUMIFS('Balancete MLN_WebPosto'!$I:$I,'Balancete MLN_WebPosto'!$C:$C,$A93,'Balancete MLN_WebPosto'!$B:$B,$B$2),
  "0"
)</f>
        <v>0</v>
      </c>
      <c r="T93" s="4" t="str">
        <f>IF(Balancete_Oficial[[#Headers],[Novembro]]='Balancete MLN_WebPosto'!$G$2,
SUMIFS('Balancete MLN_WebPosto'!$I:$I,'Balancete MLN_WebPosto'!$C:$C,$A93,'Balancete MLN_WebPosto'!$B:$B,$B$2),
  "0"
)</f>
        <v>0</v>
      </c>
      <c r="U93" s="4" t="str">
        <f>IF(Balancete_Oficial[[#Headers],[Dezembro]]='Balancete MLN_WebPosto'!$G$2,
SUMIFS('Balancete MLN_WebPosto'!$I:$I,'Balancete MLN_WebPosto'!$C:$C,$A93,'Balancete MLN_WebPosto'!$B:$B,$B$2),
  "0"
)</f>
        <v>0</v>
      </c>
    </row>
    <row r="94" spans="1:21" s="2" customFormat="1" x14ac:dyDescent="0.25">
      <c r="A94" s="2" t="str">
        <f>IF(Dados!H91="","",Dados!H91)</f>
        <v/>
      </c>
      <c r="B94" s="2" t="e">
        <f>VLOOKUP(Balancete_Oficial[[#This Row],[Conta]],'Balancete MLN_WebPosto'!C:E,3,0)</f>
        <v>#N/A</v>
      </c>
      <c r="C94" s="3" t="str">
        <f t="shared" si="6"/>
        <v>Sintética</v>
      </c>
      <c r="D94" s="6" t="str">
        <f t="shared" si="7"/>
        <v>R</v>
      </c>
      <c r="E94" s="6" t="str">
        <f t="shared" si="8"/>
        <v/>
      </c>
      <c r="F94" s="6"/>
      <c r="G94" s="6"/>
      <c r="H94" s="6"/>
      <c r="I94" s="6"/>
      <c r="J94" s="4" t="str">
        <f>IF(Balancete_Oficial[[#Headers],[Janeiro]]='Balancete MLN_WebPosto'!$G$2,
SUMIFS('Balancete MLN_WebPosto'!$J:$J,'Balancete MLN_WebPosto'!$C:$C,$A94,'Balancete MLN_WebPosto'!$B:$B,$B$2),
  "0"
)</f>
        <v>0</v>
      </c>
      <c r="K94" s="4" t="str">
        <f>IF(Balancete_Oficial[[#Headers],[Fevereiro]]='Balancete MLN_WebPosto'!$G$2,
SUMIFS('Balancete MLN_WebPosto'!$J:$J,'Balancete MLN_WebPosto'!$C:$C,$A94,'Balancete MLN_WebPosto'!$B:$B,$B$2),
  "0"
)</f>
        <v>0</v>
      </c>
      <c r="L94" s="4" t="str">
        <f>IF(Balancete_Oficial[[#Headers],[Março]]='Balancete MLN_WebPosto'!$G$2,
SUMIFS('Balancete MLN_WebPosto'!$J:$J,'Balancete MLN_WebPosto'!$C:$C,$A94,'Balancete MLN_WebPosto'!$B:$B,$B$2),
  "0"
)</f>
        <v>0</v>
      </c>
      <c r="M94" s="4" t="str">
        <f>IF(Balancete_Oficial[[#Headers],[Abril]]='Balancete MLN_WebPosto'!$G$2,
SUMIFS('Balancete MLN_WebPosto'!$J:$J,'Balancete MLN_WebPosto'!$C:$C,$A94,'Balancete MLN_WebPosto'!$B:$B,$B$2),
  "0"
)</f>
        <v>0</v>
      </c>
      <c r="N94" s="4" t="str">
        <f>IF(Balancete_Oficial[[#Headers],[Maio]]='Balancete MLN_WebPosto'!$G$2,
SUMIFS('Balancete MLN_WebPosto'!$I:$I,'Balancete MLN_WebPosto'!$C:$C,$A94,'Balancete MLN_WebPosto'!$B:$B,$B$2),
  "0"
)</f>
        <v>0</v>
      </c>
      <c r="O94" s="4" t="str">
        <f>IF(Balancete_Oficial[[#Headers],[Junho]]='Balancete MLN_WebPosto'!$G$2,
SUMIFS('Balancete MLN_WebPosto'!$I:$I,'Balancete MLN_WebPosto'!$C:$C,$A94,'Balancete MLN_WebPosto'!$B:$B,$B$2),
  "0"
)</f>
        <v>0</v>
      </c>
      <c r="P94" s="4" t="str">
        <f>IF(Balancete_Oficial[[#Headers],[Julho]]='Balancete MLN_WebPosto'!$G$2,
SUMIFS('Balancete MLN_WebPosto'!$I:$I,'Balancete MLN_WebPosto'!$C:$C,$A94,'Balancete MLN_WebPosto'!$B:$B,$B$2),
  "0"
)</f>
        <v>0</v>
      </c>
      <c r="Q94" s="4" t="str">
        <f>IF(Balancete_Oficial[[#Headers],[Agosto]]='Balancete MLN_WebPosto'!$G$2,
SUMIFS('Balancete MLN_WebPosto'!$I:$I,'Balancete MLN_WebPosto'!$C:$C,$A94,'Balancete MLN_WebPosto'!$B:$B,$B$2),
  "0"
)</f>
        <v>0</v>
      </c>
      <c r="R94" s="4">
        <f>IF(Balancete_Oficial[[#Headers],[Setembro]]='Balancete MLN_WebPosto'!$G$2,
SUMIFS('Balancete MLN_WebPosto'!$I:$I,'Balancete MLN_WebPosto'!$C:$C,$A94,'Balancete MLN_WebPosto'!$B:$B,$B$2),
  "0"
)</f>
        <v>0</v>
      </c>
      <c r="S94" s="4" t="str">
        <f>IF(Balancete_Oficial[[#Headers],[Outubro]]='Balancete MLN_WebPosto'!$G$2,
SUMIFS('Balancete MLN_WebPosto'!$I:$I,'Balancete MLN_WebPosto'!$C:$C,$A94,'Balancete MLN_WebPosto'!$B:$B,$B$2),
  "0"
)</f>
        <v>0</v>
      </c>
      <c r="T94" s="4" t="str">
        <f>IF(Balancete_Oficial[[#Headers],[Novembro]]='Balancete MLN_WebPosto'!$G$2,
SUMIFS('Balancete MLN_WebPosto'!$I:$I,'Balancete MLN_WebPosto'!$C:$C,$A94,'Balancete MLN_WebPosto'!$B:$B,$B$2),
  "0"
)</f>
        <v>0</v>
      </c>
      <c r="U94" s="4" t="str">
        <f>IF(Balancete_Oficial[[#Headers],[Dezembro]]='Balancete MLN_WebPosto'!$G$2,
SUMIFS('Balancete MLN_WebPosto'!$I:$I,'Balancete MLN_WebPosto'!$C:$C,$A94,'Balancete MLN_WebPosto'!$B:$B,$B$2),
  "0"
)</f>
        <v>0</v>
      </c>
    </row>
    <row r="95" spans="1:21" s="2" customFormat="1" x14ac:dyDescent="0.25">
      <c r="A95" s="2" t="str">
        <f>IF(Dados!H92="","",Dados!H92)</f>
        <v/>
      </c>
      <c r="B95" s="2" t="e">
        <f>VLOOKUP(Balancete_Oficial[[#This Row],[Conta]],'Balancete MLN_WebPosto'!C:E,3,0)</f>
        <v>#N/A</v>
      </c>
      <c r="C95" s="3" t="str">
        <f t="shared" si="6"/>
        <v>Sintética</v>
      </c>
      <c r="D95" s="6" t="str">
        <f t="shared" si="7"/>
        <v>R</v>
      </c>
      <c r="E95" s="6" t="str">
        <f t="shared" si="8"/>
        <v/>
      </c>
      <c r="F95" s="6"/>
      <c r="G95" s="6"/>
      <c r="H95" s="6"/>
      <c r="I95" s="6"/>
      <c r="J95" s="4" t="str">
        <f>IF(Balancete_Oficial[[#Headers],[Janeiro]]='Balancete MLN_WebPosto'!$G$2,
SUMIFS('Balancete MLN_WebPosto'!$J:$J,'Balancete MLN_WebPosto'!$C:$C,$A95,'Balancete MLN_WebPosto'!$B:$B,$B$2),
  "0"
)</f>
        <v>0</v>
      </c>
      <c r="K95" s="4" t="str">
        <f>IF(Balancete_Oficial[[#Headers],[Fevereiro]]='Balancete MLN_WebPosto'!$G$2,
SUMIFS('Balancete MLN_WebPosto'!$J:$J,'Balancete MLN_WebPosto'!$C:$C,$A95,'Balancete MLN_WebPosto'!$B:$B,$B$2),
  "0"
)</f>
        <v>0</v>
      </c>
      <c r="L95" s="4" t="str">
        <f>IF(Balancete_Oficial[[#Headers],[Março]]='Balancete MLN_WebPosto'!$G$2,
SUMIFS('Balancete MLN_WebPosto'!$J:$J,'Balancete MLN_WebPosto'!$C:$C,$A95,'Balancete MLN_WebPosto'!$B:$B,$B$2),
  "0"
)</f>
        <v>0</v>
      </c>
      <c r="M95" s="4" t="str">
        <f>IF(Balancete_Oficial[[#Headers],[Abril]]='Balancete MLN_WebPosto'!$G$2,
SUMIFS('Balancete MLN_WebPosto'!$J:$J,'Balancete MLN_WebPosto'!$C:$C,$A95,'Balancete MLN_WebPosto'!$B:$B,$B$2),
  "0"
)</f>
        <v>0</v>
      </c>
      <c r="N95" s="4" t="str">
        <f>IF(Balancete_Oficial[[#Headers],[Maio]]='Balancete MLN_WebPosto'!$G$2,
SUMIFS('Balancete MLN_WebPosto'!$I:$I,'Balancete MLN_WebPosto'!$C:$C,$A95,'Balancete MLN_WebPosto'!$B:$B,$B$2),
  "0"
)</f>
        <v>0</v>
      </c>
      <c r="O95" s="4" t="str">
        <f>IF(Balancete_Oficial[[#Headers],[Junho]]='Balancete MLN_WebPosto'!$G$2,
SUMIFS('Balancete MLN_WebPosto'!$I:$I,'Balancete MLN_WebPosto'!$C:$C,$A95,'Balancete MLN_WebPosto'!$B:$B,$B$2),
  "0"
)</f>
        <v>0</v>
      </c>
      <c r="P95" s="4" t="str">
        <f>IF(Balancete_Oficial[[#Headers],[Julho]]='Balancete MLN_WebPosto'!$G$2,
SUMIFS('Balancete MLN_WebPosto'!$I:$I,'Balancete MLN_WebPosto'!$C:$C,$A95,'Balancete MLN_WebPosto'!$B:$B,$B$2),
  "0"
)</f>
        <v>0</v>
      </c>
      <c r="Q95" s="4" t="str">
        <f>IF(Balancete_Oficial[[#Headers],[Agosto]]='Balancete MLN_WebPosto'!$G$2,
SUMIFS('Balancete MLN_WebPosto'!$I:$I,'Balancete MLN_WebPosto'!$C:$C,$A95,'Balancete MLN_WebPosto'!$B:$B,$B$2),
  "0"
)</f>
        <v>0</v>
      </c>
      <c r="R95" s="4">
        <f>IF(Balancete_Oficial[[#Headers],[Setembro]]='Balancete MLN_WebPosto'!$G$2,
SUMIFS('Balancete MLN_WebPosto'!$I:$I,'Balancete MLN_WebPosto'!$C:$C,$A95,'Balancete MLN_WebPosto'!$B:$B,$B$2),
  "0"
)</f>
        <v>0</v>
      </c>
      <c r="S95" s="4" t="str">
        <f>IF(Balancete_Oficial[[#Headers],[Outubro]]='Balancete MLN_WebPosto'!$G$2,
SUMIFS('Balancete MLN_WebPosto'!$I:$I,'Balancete MLN_WebPosto'!$C:$C,$A95,'Balancete MLN_WebPosto'!$B:$B,$B$2),
  "0"
)</f>
        <v>0</v>
      </c>
      <c r="T95" s="4" t="str">
        <f>IF(Balancete_Oficial[[#Headers],[Novembro]]='Balancete MLN_WebPosto'!$G$2,
SUMIFS('Balancete MLN_WebPosto'!$I:$I,'Balancete MLN_WebPosto'!$C:$C,$A95,'Balancete MLN_WebPosto'!$B:$B,$B$2),
  "0"
)</f>
        <v>0</v>
      </c>
      <c r="U95" s="4" t="str">
        <f>IF(Balancete_Oficial[[#Headers],[Dezembro]]='Balancete MLN_WebPosto'!$G$2,
SUMIFS('Balancete MLN_WebPosto'!$I:$I,'Balancete MLN_WebPosto'!$C:$C,$A95,'Balancete MLN_WebPosto'!$B:$B,$B$2),
  "0"
)</f>
        <v>0</v>
      </c>
    </row>
    <row r="96" spans="1:21" s="2" customFormat="1" x14ac:dyDescent="0.25">
      <c r="A96" s="2" t="str">
        <f>IF(Dados!H93="","",Dados!H93)</f>
        <v/>
      </c>
      <c r="B96" s="2" t="e">
        <f>VLOOKUP(Balancete_Oficial[[#This Row],[Conta]],'Balancete MLN_WebPosto'!C:E,3,0)</f>
        <v>#N/A</v>
      </c>
      <c r="C96" s="3" t="str">
        <f t="shared" si="6"/>
        <v>Sintética</v>
      </c>
      <c r="D96" s="6" t="str">
        <f t="shared" si="7"/>
        <v>R</v>
      </c>
      <c r="E96" s="6" t="str">
        <f t="shared" si="8"/>
        <v/>
      </c>
      <c r="F96" s="6"/>
      <c r="G96" s="6"/>
      <c r="H96" s="6"/>
      <c r="I96" s="6"/>
      <c r="J96" s="4" t="str">
        <f>IF(Balancete_Oficial[[#Headers],[Janeiro]]='Balancete MLN_WebPosto'!$G$2,
SUMIFS('Balancete MLN_WebPosto'!$J:$J,'Balancete MLN_WebPosto'!$C:$C,$A96,'Balancete MLN_WebPosto'!$B:$B,$B$2),
  "0"
)</f>
        <v>0</v>
      </c>
      <c r="K96" s="4" t="str">
        <f>IF(Balancete_Oficial[[#Headers],[Fevereiro]]='Balancete MLN_WebPosto'!$G$2,
SUMIFS('Balancete MLN_WebPosto'!$J:$J,'Balancete MLN_WebPosto'!$C:$C,$A96,'Balancete MLN_WebPosto'!$B:$B,$B$2),
  "0"
)</f>
        <v>0</v>
      </c>
      <c r="L96" s="4" t="str">
        <f>IF(Balancete_Oficial[[#Headers],[Março]]='Balancete MLN_WebPosto'!$G$2,
SUMIFS('Balancete MLN_WebPosto'!$J:$J,'Balancete MLN_WebPosto'!$C:$C,$A96,'Balancete MLN_WebPosto'!$B:$B,$B$2),
  "0"
)</f>
        <v>0</v>
      </c>
      <c r="M96" s="4" t="str">
        <f>IF(Balancete_Oficial[[#Headers],[Abril]]='Balancete MLN_WebPosto'!$G$2,
SUMIFS('Balancete MLN_WebPosto'!$J:$J,'Balancete MLN_WebPosto'!$C:$C,$A96,'Balancete MLN_WebPosto'!$B:$B,$B$2),
  "0"
)</f>
        <v>0</v>
      </c>
      <c r="N96" s="4" t="str">
        <f>IF(Balancete_Oficial[[#Headers],[Maio]]='Balancete MLN_WebPosto'!$G$2,
SUMIFS('Balancete MLN_WebPosto'!$I:$I,'Balancete MLN_WebPosto'!$C:$C,$A96,'Balancete MLN_WebPosto'!$B:$B,$B$2),
  "0"
)</f>
        <v>0</v>
      </c>
      <c r="O96" s="4" t="str">
        <f>IF(Balancete_Oficial[[#Headers],[Junho]]='Balancete MLN_WebPosto'!$G$2,
SUMIFS('Balancete MLN_WebPosto'!$I:$I,'Balancete MLN_WebPosto'!$C:$C,$A96,'Balancete MLN_WebPosto'!$B:$B,$B$2),
  "0"
)</f>
        <v>0</v>
      </c>
      <c r="P96" s="4" t="str">
        <f>IF(Balancete_Oficial[[#Headers],[Julho]]='Balancete MLN_WebPosto'!$G$2,
SUMIFS('Balancete MLN_WebPosto'!$I:$I,'Balancete MLN_WebPosto'!$C:$C,$A96,'Balancete MLN_WebPosto'!$B:$B,$B$2),
  "0"
)</f>
        <v>0</v>
      </c>
      <c r="Q96" s="4" t="str">
        <f>IF(Balancete_Oficial[[#Headers],[Agosto]]='Balancete MLN_WebPosto'!$G$2,
SUMIFS('Balancete MLN_WebPosto'!$I:$I,'Balancete MLN_WebPosto'!$C:$C,$A96,'Balancete MLN_WebPosto'!$B:$B,$B$2),
  "0"
)</f>
        <v>0</v>
      </c>
      <c r="R96" s="4">
        <f>IF(Balancete_Oficial[[#Headers],[Setembro]]='Balancete MLN_WebPosto'!$G$2,
SUMIFS('Balancete MLN_WebPosto'!$I:$I,'Balancete MLN_WebPosto'!$C:$C,$A96,'Balancete MLN_WebPosto'!$B:$B,$B$2),
  "0"
)</f>
        <v>0</v>
      </c>
      <c r="S96" s="4" t="str">
        <f>IF(Balancete_Oficial[[#Headers],[Outubro]]='Balancete MLN_WebPosto'!$G$2,
SUMIFS('Balancete MLN_WebPosto'!$I:$I,'Balancete MLN_WebPosto'!$C:$C,$A96,'Balancete MLN_WebPosto'!$B:$B,$B$2),
  "0"
)</f>
        <v>0</v>
      </c>
      <c r="T96" s="4" t="str">
        <f>IF(Balancete_Oficial[[#Headers],[Novembro]]='Balancete MLN_WebPosto'!$G$2,
SUMIFS('Balancete MLN_WebPosto'!$I:$I,'Balancete MLN_WebPosto'!$C:$C,$A96,'Balancete MLN_WebPosto'!$B:$B,$B$2),
  "0"
)</f>
        <v>0</v>
      </c>
      <c r="U96" s="4" t="str">
        <f>IF(Balancete_Oficial[[#Headers],[Dezembro]]='Balancete MLN_WebPosto'!$G$2,
SUMIFS('Balancete MLN_WebPosto'!$I:$I,'Balancete MLN_WebPosto'!$C:$C,$A96,'Balancete MLN_WebPosto'!$B:$B,$B$2),
  "0"
)</f>
        <v>0</v>
      </c>
    </row>
    <row r="97" spans="1:21" s="2" customFormat="1" x14ac:dyDescent="0.25">
      <c r="A97" s="2" t="str">
        <f>IF(Dados!H94="","",Dados!H94)</f>
        <v/>
      </c>
      <c r="B97" s="2" t="e">
        <f>VLOOKUP(Balancete_Oficial[[#This Row],[Conta]],'Balancete MLN_WebPosto'!C:E,3,0)</f>
        <v>#N/A</v>
      </c>
      <c r="C97" s="3" t="str">
        <f t="shared" si="6"/>
        <v>Sintética</v>
      </c>
      <c r="D97" s="6" t="str">
        <f t="shared" si="7"/>
        <v>R</v>
      </c>
      <c r="E97" s="6" t="str">
        <f t="shared" si="8"/>
        <v/>
      </c>
      <c r="F97" s="6"/>
      <c r="G97" s="6"/>
      <c r="H97" s="6"/>
      <c r="I97" s="6"/>
      <c r="J97" s="4" t="str">
        <f>IF(Balancete_Oficial[[#Headers],[Janeiro]]='Balancete MLN_WebPosto'!$G$2,
SUMIFS('Balancete MLN_WebPosto'!$J:$J,'Balancete MLN_WebPosto'!$C:$C,$A97,'Balancete MLN_WebPosto'!$B:$B,$B$2),
  "0"
)</f>
        <v>0</v>
      </c>
      <c r="K97" s="4" t="str">
        <f>IF(Balancete_Oficial[[#Headers],[Fevereiro]]='Balancete MLN_WebPosto'!$G$2,
SUMIFS('Balancete MLN_WebPosto'!$J:$J,'Balancete MLN_WebPosto'!$C:$C,$A97,'Balancete MLN_WebPosto'!$B:$B,$B$2),
  "0"
)</f>
        <v>0</v>
      </c>
      <c r="L97" s="4" t="str">
        <f>IF(Balancete_Oficial[[#Headers],[Março]]='Balancete MLN_WebPosto'!$G$2,
SUMIFS('Balancete MLN_WebPosto'!$J:$J,'Balancete MLN_WebPosto'!$C:$C,$A97,'Balancete MLN_WebPosto'!$B:$B,$B$2),
  "0"
)</f>
        <v>0</v>
      </c>
      <c r="M97" s="4" t="str">
        <f>IF(Balancete_Oficial[[#Headers],[Abril]]='Balancete MLN_WebPosto'!$G$2,
SUMIFS('Balancete MLN_WebPosto'!$J:$J,'Balancete MLN_WebPosto'!$C:$C,$A97,'Balancete MLN_WebPosto'!$B:$B,$B$2),
  "0"
)</f>
        <v>0</v>
      </c>
      <c r="N97" s="4" t="str">
        <f>IF(Balancete_Oficial[[#Headers],[Maio]]='Balancete MLN_WebPosto'!$G$2,
SUMIFS('Balancete MLN_WebPosto'!$I:$I,'Balancete MLN_WebPosto'!$C:$C,$A97,'Balancete MLN_WebPosto'!$B:$B,$B$2),
  "0"
)</f>
        <v>0</v>
      </c>
      <c r="O97" s="4" t="str">
        <f>IF(Balancete_Oficial[[#Headers],[Junho]]='Balancete MLN_WebPosto'!$G$2,
SUMIFS('Balancete MLN_WebPosto'!$I:$I,'Balancete MLN_WebPosto'!$C:$C,$A97,'Balancete MLN_WebPosto'!$B:$B,$B$2),
  "0"
)</f>
        <v>0</v>
      </c>
      <c r="P97" s="4" t="str">
        <f>IF(Balancete_Oficial[[#Headers],[Julho]]='Balancete MLN_WebPosto'!$G$2,
SUMIFS('Balancete MLN_WebPosto'!$I:$I,'Balancete MLN_WebPosto'!$C:$C,$A97,'Balancete MLN_WebPosto'!$B:$B,$B$2),
  "0"
)</f>
        <v>0</v>
      </c>
      <c r="Q97" s="4" t="str">
        <f>IF(Balancete_Oficial[[#Headers],[Agosto]]='Balancete MLN_WebPosto'!$G$2,
SUMIFS('Balancete MLN_WebPosto'!$I:$I,'Balancete MLN_WebPosto'!$C:$C,$A97,'Balancete MLN_WebPosto'!$B:$B,$B$2),
  "0"
)</f>
        <v>0</v>
      </c>
      <c r="R97" s="4">
        <f>IF(Balancete_Oficial[[#Headers],[Setembro]]='Balancete MLN_WebPosto'!$G$2,
SUMIFS('Balancete MLN_WebPosto'!$I:$I,'Balancete MLN_WebPosto'!$C:$C,$A97,'Balancete MLN_WebPosto'!$B:$B,$B$2),
  "0"
)</f>
        <v>0</v>
      </c>
      <c r="S97" s="4" t="str">
        <f>IF(Balancete_Oficial[[#Headers],[Outubro]]='Balancete MLN_WebPosto'!$G$2,
SUMIFS('Balancete MLN_WebPosto'!$I:$I,'Balancete MLN_WebPosto'!$C:$C,$A97,'Balancete MLN_WebPosto'!$B:$B,$B$2),
  "0"
)</f>
        <v>0</v>
      </c>
      <c r="T97" s="4" t="str">
        <f>IF(Balancete_Oficial[[#Headers],[Novembro]]='Balancete MLN_WebPosto'!$G$2,
SUMIFS('Balancete MLN_WebPosto'!$I:$I,'Balancete MLN_WebPosto'!$C:$C,$A97,'Balancete MLN_WebPosto'!$B:$B,$B$2),
  "0"
)</f>
        <v>0</v>
      </c>
      <c r="U97" s="4" t="str">
        <f>IF(Balancete_Oficial[[#Headers],[Dezembro]]='Balancete MLN_WebPosto'!$G$2,
SUMIFS('Balancete MLN_WebPosto'!$I:$I,'Balancete MLN_WebPosto'!$C:$C,$A97,'Balancete MLN_WebPosto'!$B:$B,$B$2),
  "0"
)</f>
        <v>0</v>
      </c>
    </row>
    <row r="98" spans="1:21" s="2" customFormat="1" x14ac:dyDescent="0.25">
      <c r="A98" s="2" t="str">
        <f>IF(Dados!H95="","",Dados!H95)</f>
        <v/>
      </c>
      <c r="B98" s="2" t="e">
        <f>VLOOKUP(Balancete_Oficial[[#This Row],[Conta]],'Balancete MLN_WebPosto'!C:E,3,0)</f>
        <v>#N/A</v>
      </c>
      <c r="C98" s="3" t="str">
        <f t="shared" si="6"/>
        <v>Sintética</v>
      </c>
      <c r="D98" s="6" t="str">
        <f t="shared" si="7"/>
        <v>R</v>
      </c>
      <c r="E98" s="6" t="str">
        <f t="shared" si="8"/>
        <v/>
      </c>
      <c r="F98" s="6"/>
      <c r="G98" s="6"/>
      <c r="H98" s="6"/>
      <c r="I98" s="6"/>
      <c r="J98" s="4" t="str">
        <f>IF(Balancete_Oficial[[#Headers],[Janeiro]]='Balancete MLN_WebPosto'!$G$2,
SUMIFS('Balancete MLN_WebPosto'!$J:$J,'Balancete MLN_WebPosto'!$C:$C,$A98,'Balancete MLN_WebPosto'!$B:$B,$B$2),
  "0"
)</f>
        <v>0</v>
      </c>
      <c r="K98" s="4" t="str">
        <f>IF(Balancete_Oficial[[#Headers],[Fevereiro]]='Balancete MLN_WebPosto'!$G$2,
SUMIFS('Balancete MLN_WebPosto'!$J:$J,'Balancete MLN_WebPosto'!$C:$C,$A98,'Balancete MLN_WebPosto'!$B:$B,$B$2),
  "0"
)</f>
        <v>0</v>
      </c>
      <c r="L98" s="4" t="str">
        <f>IF(Balancete_Oficial[[#Headers],[Março]]='Balancete MLN_WebPosto'!$G$2,
SUMIFS('Balancete MLN_WebPosto'!$J:$J,'Balancete MLN_WebPosto'!$C:$C,$A98,'Balancete MLN_WebPosto'!$B:$B,$B$2),
  "0"
)</f>
        <v>0</v>
      </c>
      <c r="M98" s="4" t="str">
        <f>IF(Balancete_Oficial[[#Headers],[Abril]]='Balancete MLN_WebPosto'!$G$2,
SUMIFS('Balancete MLN_WebPosto'!$J:$J,'Balancete MLN_WebPosto'!$C:$C,$A98,'Balancete MLN_WebPosto'!$B:$B,$B$2),
  "0"
)</f>
        <v>0</v>
      </c>
      <c r="N98" s="4" t="str">
        <f>IF(Balancete_Oficial[[#Headers],[Maio]]='Balancete MLN_WebPosto'!$G$2,
SUMIFS('Balancete MLN_WebPosto'!$I:$I,'Balancete MLN_WebPosto'!$C:$C,$A98,'Balancete MLN_WebPosto'!$B:$B,$B$2),
  "0"
)</f>
        <v>0</v>
      </c>
      <c r="O98" s="4" t="str">
        <f>IF(Balancete_Oficial[[#Headers],[Junho]]='Balancete MLN_WebPosto'!$G$2,
SUMIFS('Balancete MLN_WebPosto'!$I:$I,'Balancete MLN_WebPosto'!$C:$C,$A98,'Balancete MLN_WebPosto'!$B:$B,$B$2),
  "0"
)</f>
        <v>0</v>
      </c>
      <c r="P98" s="4" t="str">
        <f>IF(Balancete_Oficial[[#Headers],[Julho]]='Balancete MLN_WebPosto'!$G$2,
SUMIFS('Balancete MLN_WebPosto'!$I:$I,'Balancete MLN_WebPosto'!$C:$C,$A98,'Balancete MLN_WebPosto'!$B:$B,$B$2),
  "0"
)</f>
        <v>0</v>
      </c>
      <c r="Q98" s="4" t="str">
        <f>IF(Balancete_Oficial[[#Headers],[Agosto]]='Balancete MLN_WebPosto'!$G$2,
SUMIFS('Balancete MLN_WebPosto'!$I:$I,'Balancete MLN_WebPosto'!$C:$C,$A98,'Balancete MLN_WebPosto'!$B:$B,$B$2),
  "0"
)</f>
        <v>0</v>
      </c>
      <c r="R98" s="4">
        <f>IF(Balancete_Oficial[[#Headers],[Setembro]]='Balancete MLN_WebPosto'!$G$2,
SUMIFS('Balancete MLN_WebPosto'!$I:$I,'Balancete MLN_WebPosto'!$C:$C,$A98,'Balancete MLN_WebPosto'!$B:$B,$B$2),
  "0"
)</f>
        <v>0</v>
      </c>
      <c r="S98" s="4" t="str">
        <f>IF(Balancete_Oficial[[#Headers],[Outubro]]='Balancete MLN_WebPosto'!$G$2,
SUMIFS('Balancete MLN_WebPosto'!$I:$I,'Balancete MLN_WebPosto'!$C:$C,$A98,'Balancete MLN_WebPosto'!$B:$B,$B$2),
  "0"
)</f>
        <v>0</v>
      </c>
      <c r="T98" s="4" t="str">
        <f>IF(Balancete_Oficial[[#Headers],[Novembro]]='Balancete MLN_WebPosto'!$G$2,
SUMIFS('Balancete MLN_WebPosto'!$I:$I,'Balancete MLN_WebPosto'!$C:$C,$A98,'Balancete MLN_WebPosto'!$B:$B,$B$2),
  "0"
)</f>
        <v>0</v>
      </c>
      <c r="U98" s="4" t="str">
        <f>IF(Balancete_Oficial[[#Headers],[Dezembro]]='Balancete MLN_WebPosto'!$G$2,
SUMIFS('Balancete MLN_WebPosto'!$I:$I,'Balancete MLN_WebPosto'!$C:$C,$A98,'Balancete MLN_WebPosto'!$B:$B,$B$2),
  "0"
)</f>
        <v>0</v>
      </c>
    </row>
    <row r="99" spans="1:21" s="2" customFormat="1" x14ac:dyDescent="0.25">
      <c r="A99" s="2" t="str">
        <f>IF(Dados!H96="","",Dados!H96)</f>
        <v/>
      </c>
      <c r="B99" s="2" t="e">
        <f>VLOOKUP(Balancete_Oficial[[#This Row],[Conta]],'Balancete MLN_WebPosto'!C:E,3,0)</f>
        <v>#N/A</v>
      </c>
      <c r="C99" s="3" t="str">
        <f t="shared" si="6"/>
        <v>Sintética</v>
      </c>
      <c r="D99" s="6" t="str">
        <f t="shared" si="7"/>
        <v>R</v>
      </c>
      <c r="E99" s="6" t="str">
        <f t="shared" si="8"/>
        <v/>
      </c>
      <c r="F99" s="6"/>
      <c r="G99" s="6"/>
      <c r="H99" s="6"/>
      <c r="I99" s="6"/>
      <c r="J99" s="4" t="str">
        <f>IF(Balancete_Oficial[[#Headers],[Janeiro]]='Balancete MLN_WebPosto'!$G$2,
SUMIFS('Balancete MLN_WebPosto'!$J:$J,'Balancete MLN_WebPosto'!$C:$C,$A99,'Balancete MLN_WebPosto'!$B:$B,$B$2),
  "0"
)</f>
        <v>0</v>
      </c>
      <c r="K99" s="4" t="str">
        <f>IF(Balancete_Oficial[[#Headers],[Fevereiro]]='Balancete MLN_WebPosto'!$G$2,
SUMIFS('Balancete MLN_WebPosto'!$J:$J,'Balancete MLN_WebPosto'!$C:$C,$A99,'Balancete MLN_WebPosto'!$B:$B,$B$2),
  "0"
)</f>
        <v>0</v>
      </c>
      <c r="L99" s="4" t="str">
        <f>IF(Balancete_Oficial[[#Headers],[Março]]='Balancete MLN_WebPosto'!$G$2,
SUMIFS('Balancete MLN_WebPosto'!$J:$J,'Balancete MLN_WebPosto'!$C:$C,$A99,'Balancete MLN_WebPosto'!$B:$B,$B$2),
  "0"
)</f>
        <v>0</v>
      </c>
      <c r="M99" s="4" t="str">
        <f>IF(Balancete_Oficial[[#Headers],[Abril]]='Balancete MLN_WebPosto'!$G$2,
SUMIFS('Balancete MLN_WebPosto'!$J:$J,'Balancete MLN_WebPosto'!$C:$C,$A99,'Balancete MLN_WebPosto'!$B:$B,$B$2),
  "0"
)</f>
        <v>0</v>
      </c>
      <c r="N99" s="4" t="str">
        <f>IF(Balancete_Oficial[[#Headers],[Maio]]='Balancete MLN_WebPosto'!$G$2,
SUMIFS('Balancete MLN_WebPosto'!$I:$I,'Balancete MLN_WebPosto'!$C:$C,$A99,'Balancete MLN_WebPosto'!$B:$B,$B$2),
  "0"
)</f>
        <v>0</v>
      </c>
      <c r="O99" s="4" t="str">
        <f>IF(Balancete_Oficial[[#Headers],[Junho]]='Balancete MLN_WebPosto'!$G$2,
SUMIFS('Balancete MLN_WebPosto'!$I:$I,'Balancete MLN_WebPosto'!$C:$C,$A99,'Balancete MLN_WebPosto'!$B:$B,$B$2),
  "0"
)</f>
        <v>0</v>
      </c>
      <c r="P99" s="4" t="str">
        <f>IF(Balancete_Oficial[[#Headers],[Julho]]='Balancete MLN_WebPosto'!$G$2,
SUMIFS('Balancete MLN_WebPosto'!$I:$I,'Balancete MLN_WebPosto'!$C:$C,$A99,'Balancete MLN_WebPosto'!$B:$B,$B$2),
  "0"
)</f>
        <v>0</v>
      </c>
      <c r="Q99" s="4" t="str">
        <f>IF(Balancete_Oficial[[#Headers],[Agosto]]='Balancete MLN_WebPosto'!$G$2,
SUMIFS('Balancete MLN_WebPosto'!$I:$I,'Balancete MLN_WebPosto'!$C:$C,$A99,'Balancete MLN_WebPosto'!$B:$B,$B$2),
  "0"
)</f>
        <v>0</v>
      </c>
      <c r="R99" s="4">
        <f>IF(Balancete_Oficial[[#Headers],[Setembro]]='Balancete MLN_WebPosto'!$G$2,
SUMIFS('Balancete MLN_WebPosto'!$I:$I,'Balancete MLN_WebPosto'!$C:$C,$A99,'Balancete MLN_WebPosto'!$B:$B,$B$2),
  "0"
)</f>
        <v>0</v>
      </c>
      <c r="S99" s="4" t="str">
        <f>IF(Balancete_Oficial[[#Headers],[Outubro]]='Balancete MLN_WebPosto'!$G$2,
SUMIFS('Balancete MLN_WebPosto'!$I:$I,'Balancete MLN_WebPosto'!$C:$C,$A99,'Balancete MLN_WebPosto'!$B:$B,$B$2),
  "0"
)</f>
        <v>0</v>
      </c>
      <c r="T99" s="4" t="str">
        <f>IF(Balancete_Oficial[[#Headers],[Novembro]]='Balancete MLN_WebPosto'!$G$2,
SUMIFS('Balancete MLN_WebPosto'!$I:$I,'Balancete MLN_WebPosto'!$C:$C,$A99,'Balancete MLN_WebPosto'!$B:$B,$B$2),
  "0"
)</f>
        <v>0</v>
      </c>
      <c r="U99" s="4" t="str">
        <f>IF(Balancete_Oficial[[#Headers],[Dezembro]]='Balancete MLN_WebPosto'!$G$2,
SUMIFS('Balancete MLN_WebPosto'!$I:$I,'Balancete MLN_WebPosto'!$C:$C,$A99,'Balancete MLN_WebPosto'!$B:$B,$B$2),
  "0"
)</f>
        <v>0</v>
      </c>
    </row>
    <row r="100" spans="1:21" s="2" customFormat="1" x14ac:dyDescent="0.25">
      <c r="A100" s="2" t="str">
        <f>IF(Dados!H97="","",Dados!H97)</f>
        <v/>
      </c>
      <c r="B100" s="2" t="e">
        <f>VLOOKUP(Balancete_Oficial[[#This Row],[Conta]],'Balancete MLN_WebPosto'!C:E,3,0)</f>
        <v>#N/A</v>
      </c>
      <c r="C100" s="3" t="str">
        <f t="shared" si="6"/>
        <v>Sintética</v>
      </c>
      <c r="D100" s="6" t="str">
        <f t="shared" si="7"/>
        <v>R</v>
      </c>
      <c r="E100" s="6" t="str">
        <f t="shared" si="8"/>
        <v/>
      </c>
      <c r="F100" s="6"/>
      <c r="G100" s="6"/>
      <c r="H100" s="6"/>
      <c r="I100" s="6"/>
      <c r="J100" s="4" t="str">
        <f>IF(Balancete_Oficial[[#Headers],[Janeiro]]='Balancete MLN_WebPosto'!$G$2,
SUMIFS('Balancete MLN_WebPosto'!$J:$J,'Balancete MLN_WebPosto'!$C:$C,$A100,'Balancete MLN_WebPosto'!$B:$B,$B$2),
  "0"
)</f>
        <v>0</v>
      </c>
      <c r="K100" s="4" t="str">
        <f>IF(Balancete_Oficial[[#Headers],[Fevereiro]]='Balancete MLN_WebPosto'!$G$2,
SUMIFS('Balancete MLN_WebPosto'!$J:$J,'Balancete MLN_WebPosto'!$C:$C,$A100,'Balancete MLN_WebPosto'!$B:$B,$B$2),
  "0"
)</f>
        <v>0</v>
      </c>
      <c r="L100" s="4" t="str">
        <f>IF(Balancete_Oficial[[#Headers],[Março]]='Balancete MLN_WebPosto'!$G$2,
SUMIFS('Balancete MLN_WebPosto'!$J:$J,'Balancete MLN_WebPosto'!$C:$C,$A100,'Balancete MLN_WebPosto'!$B:$B,$B$2),
  "0"
)</f>
        <v>0</v>
      </c>
      <c r="M100" s="4" t="str">
        <f>IF(Balancete_Oficial[[#Headers],[Abril]]='Balancete MLN_WebPosto'!$G$2,
SUMIFS('Balancete MLN_WebPosto'!$J:$J,'Balancete MLN_WebPosto'!$C:$C,$A100,'Balancete MLN_WebPosto'!$B:$B,$B$2),
  "0"
)</f>
        <v>0</v>
      </c>
      <c r="N100" s="4" t="str">
        <f>IF(Balancete_Oficial[[#Headers],[Maio]]='Balancete MLN_WebPosto'!$G$2,
SUMIFS('Balancete MLN_WebPosto'!$I:$I,'Balancete MLN_WebPosto'!$C:$C,$A100,'Balancete MLN_WebPosto'!$B:$B,$B$2),
  "0"
)</f>
        <v>0</v>
      </c>
      <c r="O100" s="4" t="str">
        <f>IF(Balancete_Oficial[[#Headers],[Junho]]='Balancete MLN_WebPosto'!$G$2,
SUMIFS('Balancete MLN_WebPosto'!$I:$I,'Balancete MLN_WebPosto'!$C:$C,$A100,'Balancete MLN_WebPosto'!$B:$B,$B$2),
  "0"
)</f>
        <v>0</v>
      </c>
      <c r="P100" s="4" t="str">
        <f>IF(Balancete_Oficial[[#Headers],[Julho]]='Balancete MLN_WebPosto'!$G$2,
SUMIFS('Balancete MLN_WebPosto'!$I:$I,'Balancete MLN_WebPosto'!$C:$C,$A100,'Balancete MLN_WebPosto'!$B:$B,$B$2),
  "0"
)</f>
        <v>0</v>
      </c>
      <c r="Q100" s="4" t="str">
        <f>IF(Balancete_Oficial[[#Headers],[Agosto]]='Balancete MLN_WebPosto'!$G$2,
SUMIFS('Balancete MLN_WebPosto'!$I:$I,'Balancete MLN_WebPosto'!$C:$C,$A100,'Balancete MLN_WebPosto'!$B:$B,$B$2),
  "0"
)</f>
        <v>0</v>
      </c>
      <c r="R100" s="4">
        <f>IF(Balancete_Oficial[[#Headers],[Setembro]]='Balancete MLN_WebPosto'!$G$2,
SUMIFS('Balancete MLN_WebPosto'!$I:$I,'Balancete MLN_WebPosto'!$C:$C,$A100,'Balancete MLN_WebPosto'!$B:$B,$B$2),
  "0"
)</f>
        <v>0</v>
      </c>
      <c r="S100" s="4" t="str">
        <f>IF(Balancete_Oficial[[#Headers],[Outubro]]='Balancete MLN_WebPosto'!$G$2,
SUMIFS('Balancete MLN_WebPosto'!$I:$I,'Balancete MLN_WebPosto'!$C:$C,$A100,'Balancete MLN_WebPosto'!$B:$B,$B$2),
  "0"
)</f>
        <v>0</v>
      </c>
      <c r="T100" s="4" t="str">
        <f>IF(Balancete_Oficial[[#Headers],[Novembro]]='Balancete MLN_WebPosto'!$G$2,
SUMIFS('Balancete MLN_WebPosto'!$I:$I,'Balancete MLN_WebPosto'!$C:$C,$A100,'Balancete MLN_WebPosto'!$B:$B,$B$2),
  "0"
)</f>
        <v>0</v>
      </c>
      <c r="U100" s="4" t="str">
        <f>IF(Balancete_Oficial[[#Headers],[Dezembro]]='Balancete MLN_WebPosto'!$G$2,
SUMIFS('Balancete MLN_WebPosto'!$I:$I,'Balancete MLN_WebPosto'!$C:$C,$A100,'Balancete MLN_WebPosto'!$B:$B,$B$2),
  "0"
)</f>
        <v>0</v>
      </c>
    </row>
    <row r="101" spans="1:21" s="2" customFormat="1" x14ac:dyDescent="0.25">
      <c r="A101" s="2" t="str">
        <f>IF(Dados!H98="","",Dados!H98)</f>
        <v/>
      </c>
      <c r="B101" s="2" t="e">
        <f>VLOOKUP(Balancete_Oficial[[#This Row],[Conta]],'Balancete MLN_WebPosto'!C:E,3,0)</f>
        <v>#N/A</v>
      </c>
      <c r="C101" s="3" t="str">
        <f t="shared" si="6"/>
        <v>Sintética</v>
      </c>
      <c r="D101" s="6" t="str">
        <f t="shared" si="7"/>
        <v>R</v>
      </c>
      <c r="E101" s="6" t="str">
        <f t="shared" si="8"/>
        <v/>
      </c>
      <c r="F101" s="6"/>
      <c r="G101" s="6"/>
      <c r="H101" s="6"/>
      <c r="I101" s="6"/>
      <c r="J101" s="4" t="str">
        <f>IF(Balancete_Oficial[[#Headers],[Janeiro]]='Balancete MLN_WebPosto'!$G$2,
SUMIFS('Balancete MLN_WebPosto'!$J:$J,'Balancete MLN_WebPosto'!$C:$C,$A101,'Balancete MLN_WebPosto'!$B:$B,$B$2),
  "0"
)</f>
        <v>0</v>
      </c>
      <c r="K101" s="4" t="str">
        <f>IF(Balancete_Oficial[[#Headers],[Fevereiro]]='Balancete MLN_WebPosto'!$G$2,
SUMIFS('Balancete MLN_WebPosto'!$J:$J,'Balancete MLN_WebPosto'!$C:$C,$A101,'Balancete MLN_WebPosto'!$B:$B,$B$2),
  "0"
)</f>
        <v>0</v>
      </c>
      <c r="L101" s="4" t="str">
        <f>IF(Balancete_Oficial[[#Headers],[Março]]='Balancete MLN_WebPosto'!$G$2,
SUMIFS('Balancete MLN_WebPosto'!$J:$J,'Balancete MLN_WebPosto'!$C:$C,$A101,'Balancete MLN_WebPosto'!$B:$B,$B$2),
  "0"
)</f>
        <v>0</v>
      </c>
      <c r="M101" s="4" t="str">
        <f>IF(Balancete_Oficial[[#Headers],[Abril]]='Balancete MLN_WebPosto'!$G$2,
SUMIFS('Balancete MLN_WebPosto'!$J:$J,'Balancete MLN_WebPosto'!$C:$C,$A101,'Balancete MLN_WebPosto'!$B:$B,$B$2),
  "0"
)</f>
        <v>0</v>
      </c>
      <c r="N101" s="4" t="str">
        <f>IF(Balancete_Oficial[[#Headers],[Maio]]='Balancete MLN_WebPosto'!$G$2,
SUMIFS('Balancete MLN_WebPosto'!$I:$I,'Balancete MLN_WebPosto'!$C:$C,$A101,'Balancete MLN_WebPosto'!$B:$B,$B$2),
  "0"
)</f>
        <v>0</v>
      </c>
      <c r="O101" s="4" t="str">
        <f>IF(Balancete_Oficial[[#Headers],[Junho]]='Balancete MLN_WebPosto'!$G$2,
SUMIFS('Balancete MLN_WebPosto'!$I:$I,'Balancete MLN_WebPosto'!$C:$C,$A101,'Balancete MLN_WebPosto'!$B:$B,$B$2),
  "0"
)</f>
        <v>0</v>
      </c>
      <c r="P101" s="4" t="str">
        <f>IF(Balancete_Oficial[[#Headers],[Julho]]='Balancete MLN_WebPosto'!$G$2,
SUMIFS('Balancete MLN_WebPosto'!$I:$I,'Balancete MLN_WebPosto'!$C:$C,$A101,'Balancete MLN_WebPosto'!$B:$B,$B$2),
  "0"
)</f>
        <v>0</v>
      </c>
      <c r="Q101" s="4" t="str">
        <f>IF(Balancete_Oficial[[#Headers],[Agosto]]='Balancete MLN_WebPosto'!$G$2,
SUMIFS('Balancete MLN_WebPosto'!$I:$I,'Balancete MLN_WebPosto'!$C:$C,$A101,'Balancete MLN_WebPosto'!$B:$B,$B$2),
  "0"
)</f>
        <v>0</v>
      </c>
      <c r="R101" s="4">
        <f>IF(Balancete_Oficial[[#Headers],[Setembro]]='Balancete MLN_WebPosto'!$G$2,
SUMIFS('Balancete MLN_WebPosto'!$I:$I,'Balancete MLN_WebPosto'!$C:$C,$A101,'Balancete MLN_WebPosto'!$B:$B,$B$2),
  "0"
)</f>
        <v>0</v>
      </c>
      <c r="S101" s="4" t="str">
        <f>IF(Balancete_Oficial[[#Headers],[Outubro]]='Balancete MLN_WebPosto'!$G$2,
SUMIFS('Balancete MLN_WebPosto'!$I:$I,'Balancete MLN_WebPosto'!$C:$C,$A101,'Balancete MLN_WebPosto'!$B:$B,$B$2),
  "0"
)</f>
        <v>0</v>
      </c>
      <c r="T101" s="4" t="str">
        <f>IF(Balancete_Oficial[[#Headers],[Novembro]]='Balancete MLN_WebPosto'!$G$2,
SUMIFS('Balancete MLN_WebPosto'!$I:$I,'Balancete MLN_WebPosto'!$C:$C,$A101,'Balancete MLN_WebPosto'!$B:$B,$B$2),
  "0"
)</f>
        <v>0</v>
      </c>
      <c r="U101" s="4" t="str">
        <f>IF(Balancete_Oficial[[#Headers],[Dezembro]]='Balancete MLN_WebPosto'!$G$2,
SUMIFS('Balancete MLN_WebPosto'!$I:$I,'Balancete MLN_WebPosto'!$C:$C,$A101,'Balancete MLN_WebPosto'!$B:$B,$B$2),
  "0"
)</f>
        <v>0</v>
      </c>
    </row>
    <row r="102" spans="1:21" s="2" customFormat="1" x14ac:dyDescent="0.25">
      <c r="A102" s="2" t="str">
        <f>IF(Dados!H99="","",Dados!H99)</f>
        <v/>
      </c>
      <c r="B102" s="2" t="e">
        <f>VLOOKUP(Balancete_Oficial[[#This Row],[Conta]],'Balancete MLN_WebPosto'!C:E,3,0)</f>
        <v>#N/A</v>
      </c>
      <c r="C102" s="3" t="str">
        <f t="shared" si="6"/>
        <v>Sintética</v>
      </c>
      <c r="D102" s="6" t="str">
        <f t="shared" si="7"/>
        <v>R</v>
      </c>
      <c r="E102" s="6" t="str">
        <f t="shared" si="8"/>
        <v/>
      </c>
      <c r="F102" s="6"/>
      <c r="G102" s="6"/>
      <c r="H102" s="6"/>
      <c r="I102" s="6"/>
      <c r="J102" s="4" t="str">
        <f>IF(Balancete_Oficial[[#Headers],[Janeiro]]='Balancete MLN_WebPosto'!$G$2,
SUMIFS('Balancete MLN_WebPosto'!$J:$J,'Balancete MLN_WebPosto'!$C:$C,$A102,'Balancete MLN_WebPosto'!$B:$B,$B$2),
  "0"
)</f>
        <v>0</v>
      </c>
      <c r="K102" s="4" t="str">
        <f>IF(Balancete_Oficial[[#Headers],[Fevereiro]]='Balancete MLN_WebPosto'!$G$2,
SUMIFS('Balancete MLN_WebPosto'!$J:$J,'Balancete MLN_WebPosto'!$C:$C,$A102,'Balancete MLN_WebPosto'!$B:$B,$B$2),
  "0"
)</f>
        <v>0</v>
      </c>
      <c r="L102" s="4" t="str">
        <f>IF(Balancete_Oficial[[#Headers],[Março]]='Balancete MLN_WebPosto'!$G$2,
SUMIFS('Balancete MLN_WebPosto'!$J:$J,'Balancete MLN_WebPosto'!$C:$C,$A102,'Balancete MLN_WebPosto'!$B:$B,$B$2),
  "0"
)</f>
        <v>0</v>
      </c>
      <c r="M102" s="4" t="str">
        <f>IF(Balancete_Oficial[[#Headers],[Abril]]='Balancete MLN_WebPosto'!$G$2,
SUMIFS('Balancete MLN_WebPosto'!$J:$J,'Balancete MLN_WebPosto'!$C:$C,$A102,'Balancete MLN_WebPosto'!$B:$B,$B$2),
  "0"
)</f>
        <v>0</v>
      </c>
      <c r="N102" s="4" t="str">
        <f>IF(Balancete_Oficial[[#Headers],[Maio]]='Balancete MLN_WebPosto'!$G$2,
SUMIFS('Balancete MLN_WebPosto'!$I:$I,'Balancete MLN_WebPosto'!$C:$C,$A102,'Balancete MLN_WebPosto'!$B:$B,$B$2),
  "0"
)</f>
        <v>0</v>
      </c>
      <c r="O102" s="4" t="str">
        <f>IF(Balancete_Oficial[[#Headers],[Junho]]='Balancete MLN_WebPosto'!$G$2,
SUMIFS('Balancete MLN_WebPosto'!$I:$I,'Balancete MLN_WebPosto'!$C:$C,$A102,'Balancete MLN_WebPosto'!$B:$B,$B$2),
  "0"
)</f>
        <v>0</v>
      </c>
      <c r="P102" s="4" t="str">
        <f>IF(Balancete_Oficial[[#Headers],[Julho]]='Balancete MLN_WebPosto'!$G$2,
SUMIFS('Balancete MLN_WebPosto'!$I:$I,'Balancete MLN_WebPosto'!$C:$C,$A102,'Balancete MLN_WebPosto'!$B:$B,$B$2),
  "0"
)</f>
        <v>0</v>
      </c>
      <c r="Q102" s="4" t="str">
        <f>IF(Balancete_Oficial[[#Headers],[Agosto]]='Balancete MLN_WebPosto'!$G$2,
SUMIFS('Balancete MLN_WebPosto'!$I:$I,'Balancete MLN_WebPosto'!$C:$C,$A102,'Balancete MLN_WebPosto'!$B:$B,$B$2),
  "0"
)</f>
        <v>0</v>
      </c>
      <c r="R102" s="4">
        <f>IF(Balancete_Oficial[[#Headers],[Setembro]]='Balancete MLN_WebPosto'!$G$2,
SUMIFS('Balancete MLN_WebPosto'!$I:$I,'Balancete MLN_WebPosto'!$C:$C,$A102,'Balancete MLN_WebPosto'!$B:$B,$B$2),
  "0"
)</f>
        <v>0</v>
      </c>
      <c r="S102" s="4" t="str">
        <f>IF(Balancete_Oficial[[#Headers],[Outubro]]='Balancete MLN_WebPosto'!$G$2,
SUMIFS('Balancete MLN_WebPosto'!$I:$I,'Balancete MLN_WebPosto'!$C:$C,$A102,'Balancete MLN_WebPosto'!$B:$B,$B$2),
  "0"
)</f>
        <v>0</v>
      </c>
      <c r="T102" s="4" t="str">
        <f>IF(Balancete_Oficial[[#Headers],[Novembro]]='Balancete MLN_WebPosto'!$G$2,
SUMIFS('Balancete MLN_WebPosto'!$I:$I,'Balancete MLN_WebPosto'!$C:$C,$A102,'Balancete MLN_WebPosto'!$B:$B,$B$2),
  "0"
)</f>
        <v>0</v>
      </c>
      <c r="U102" s="4" t="str">
        <f>IF(Balancete_Oficial[[#Headers],[Dezembro]]='Balancete MLN_WebPosto'!$G$2,
SUMIFS('Balancete MLN_WebPosto'!$I:$I,'Balancete MLN_WebPosto'!$C:$C,$A102,'Balancete MLN_WebPosto'!$B:$B,$B$2),
  "0"
)</f>
        <v>0</v>
      </c>
    </row>
    <row r="103" spans="1:21" s="2" customFormat="1" x14ac:dyDescent="0.25">
      <c r="A103" s="2" t="str">
        <f>IF(Dados!H100="","",Dados!H100)</f>
        <v/>
      </c>
      <c r="B103" s="2" t="e">
        <f>VLOOKUP(Balancete_Oficial[[#This Row],[Conta]],'Balancete MLN_WebPosto'!C:E,3,0)</f>
        <v>#N/A</v>
      </c>
      <c r="C103" s="3" t="str">
        <f t="shared" si="6"/>
        <v>Sintética</v>
      </c>
      <c r="D103" s="6" t="str">
        <f t="shared" si="7"/>
        <v>R</v>
      </c>
      <c r="E103" s="6" t="str">
        <f t="shared" si="8"/>
        <v/>
      </c>
      <c r="F103" s="6"/>
      <c r="G103" s="6"/>
      <c r="H103" s="6"/>
      <c r="I103" s="6"/>
      <c r="J103" s="4" t="str">
        <f>IF(Balancete_Oficial[[#Headers],[Janeiro]]='Balancete MLN_WebPosto'!$G$2,
SUMIFS('Balancete MLN_WebPosto'!$J:$J,'Balancete MLN_WebPosto'!$C:$C,$A103,'Balancete MLN_WebPosto'!$B:$B,$B$2),
  "0"
)</f>
        <v>0</v>
      </c>
      <c r="K103" s="4" t="str">
        <f>IF(Balancete_Oficial[[#Headers],[Fevereiro]]='Balancete MLN_WebPosto'!$G$2,
SUMIFS('Balancete MLN_WebPosto'!$J:$J,'Balancete MLN_WebPosto'!$C:$C,$A103,'Balancete MLN_WebPosto'!$B:$B,$B$2),
  "0"
)</f>
        <v>0</v>
      </c>
      <c r="L103" s="4" t="str">
        <f>IF(Balancete_Oficial[[#Headers],[Março]]='Balancete MLN_WebPosto'!$G$2,
SUMIFS('Balancete MLN_WebPosto'!$J:$J,'Balancete MLN_WebPosto'!$C:$C,$A103,'Balancete MLN_WebPosto'!$B:$B,$B$2),
  "0"
)</f>
        <v>0</v>
      </c>
      <c r="M103" s="4" t="str">
        <f>IF(Balancete_Oficial[[#Headers],[Abril]]='Balancete MLN_WebPosto'!$G$2,
SUMIFS('Balancete MLN_WebPosto'!$J:$J,'Balancete MLN_WebPosto'!$C:$C,$A103,'Balancete MLN_WebPosto'!$B:$B,$B$2),
  "0"
)</f>
        <v>0</v>
      </c>
      <c r="N103" s="4" t="str">
        <f>IF(Balancete_Oficial[[#Headers],[Maio]]='Balancete MLN_WebPosto'!$G$2,
SUMIFS('Balancete MLN_WebPosto'!$I:$I,'Balancete MLN_WebPosto'!$C:$C,$A103,'Balancete MLN_WebPosto'!$B:$B,$B$2),
  "0"
)</f>
        <v>0</v>
      </c>
      <c r="O103" s="4" t="str">
        <f>IF(Balancete_Oficial[[#Headers],[Junho]]='Balancete MLN_WebPosto'!$G$2,
SUMIFS('Balancete MLN_WebPosto'!$I:$I,'Balancete MLN_WebPosto'!$C:$C,$A103,'Balancete MLN_WebPosto'!$B:$B,$B$2),
  "0"
)</f>
        <v>0</v>
      </c>
      <c r="P103" s="4" t="str">
        <f>IF(Balancete_Oficial[[#Headers],[Julho]]='Balancete MLN_WebPosto'!$G$2,
SUMIFS('Balancete MLN_WebPosto'!$I:$I,'Balancete MLN_WebPosto'!$C:$C,$A103,'Balancete MLN_WebPosto'!$B:$B,$B$2),
  "0"
)</f>
        <v>0</v>
      </c>
      <c r="Q103" s="4" t="str">
        <f>IF(Balancete_Oficial[[#Headers],[Agosto]]='Balancete MLN_WebPosto'!$G$2,
SUMIFS('Balancete MLN_WebPosto'!$I:$I,'Balancete MLN_WebPosto'!$C:$C,$A103,'Balancete MLN_WebPosto'!$B:$B,$B$2),
  "0"
)</f>
        <v>0</v>
      </c>
      <c r="R103" s="4">
        <f>IF(Balancete_Oficial[[#Headers],[Setembro]]='Balancete MLN_WebPosto'!$G$2,
SUMIFS('Balancete MLN_WebPosto'!$I:$I,'Balancete MLN_WebPosto'!$C:$C,$A103,'Balancete MLN_WebPosto'!$B:$B,$B$2),
  "0"
)</f>
        <v>0</v>
      </c>
      <c r="S103" s="4" t="str">
        <f>IF(Balancete_Oficial[[#Headers],[Outubro]]='Balancete MLN_WebPosto'!$G$2,
SUMIFS('Balancete MLN_WebPosto'!$I:$I,'Balancete MLN_WebPosto'!$C:$C,$A103,'Balancete MLN_WebPosto'!$B:$B,$B$2),
  "0"
)</f>
        <v>0</v>
      </c>
      <c r="T103" s="4" t="str">
        <f>IF(Balancete_Oficial[[#Headers],[Novembro]]='Balancete MLN_WebPosto'!$G$2,
SUMIFS('Balancete MLN_WebPosto'!$I:$I,'Balancete MLN_WebPosto'!$C:$C,$A103,'Balancete MLN_WebPosto'!$B:$B,$B$2),
  "0"
)</f>
        <v>0</v>
      </c>
      <c r="U103" s="4" t="str">
        <f>IF(Balancete_Oficial[[#Headers],[Dezembro]]='Balancete MLN_WebPosto'!$G$2,
SUMIFS('Balancete MLN_WebPosto'!$I:$I,'Balancete MLN_WebPosto'!$C:$C,$A103,'Balancete MLN_WebPosto'!$B:$B,$B$2),
  "0"
)</f>
        <v>0</v>
      </c>
    </row>
    <row r="104" spans="1:21" s="2" customFormat="1" x14ac:dyDescent="0.25">
      <c r="A104" s="2" t="str">
        <f>IF(Dados!H101="","",Dados!H101)</f>
        <v/>
      </c>
      <c r="B104" s="2" t="e">
        <f>VLOOKUP(Balancete_Oficial[[#This Row],[Conta]],'Balancete MLN_WebPosto'!C:E,3,0)</f>
        <v>#N/A</v>
      </c>
      <c r="C104" s="3" t="str">
        <f t="shared" si="6"/>
        <v>Sintética</v>
      </c>
      <c r="D104" s="6" t="str">
        <f t="shared" si="7"/>
        <v>R</v>
      </c>
      <c r="E104" s="6" t="str">
        <f t="shared" si="8"/>
        <v/>
      </c>
      <c r="F104" s="6"/>
      <c r="G104" s="6"/>
      <c r="H104" s="6"/>
      <c r="I104" s="6"/>
      <c r="J104" s="4" t="str">
        <f>IF(Balancete_Oficial[[#Headers],[Janeiro]]='Balancete MLN_WebPosto'!$G$2,
SUMIFS('Balancete MLN_WebPosto'!$J:$J,'Balancete MLN_WebPosto'!$C:$C,$A104,'Balancete MLN_WebPosto'!$B:$B,$B$2),
  "0"
)</f>
        <v>0</v>
      </c>
      <c r="K104" s="4" t="str">
        <f>IF(Balancete_Oficial[[#Headers],[Fevereiro]]='Balancete MLN_WebPosto'!$G$2,
SUMIFS('Balancete MLN_WebPosto'!$J:$J,'Balancete MLN_WebPosto'!$C:$C,$A104,'Balancete MLN_WebPosto'!$B:$B,$B$2),
  "0"
)</f>
        <v>0</v>
      </c>
      <c r="L104" s="4" t="str">
        <f>IF(Balancete_Oficial[[#Headers],[Março]]='Balancete MLN_WebPosto'!$G$2,
SUMIFS('Balancete MLN_WebPosto'!$J:$J,'Balancete MLN_WebPosto'!$C:$C,$A104,'Balancete MLN_WebPosto'!$B:$B,$B$2),
  "0"
)</f>
        <v>0</v>
      </c>
      <c r="M104" s="4" t="str">
        <f>IF(Balancete_Oficial[[#Headers],[Abril]]='Balancete MLN_WebPosto'!$G$2,
SUMIFS('Balancete MLN_WebPosto'!$J:$J,'Balancete MLN_WebPosto'!$C:$C,$A104,'Balancete MLN_WebPosto'!$B:$B,$B$2),
  "0"
)</f>
        <v>0</v>
      </c>
      <c r="N104" s="4" t="str">
        <f>IF(Balancete_Oficial[[#Headers],[Maio]]='Balancete MLN_WebPosto'!$G$2,
SUMIFS('Balancete MLN_WebPosto'!$I:$I,'Balancete MLN_WebPosto'!$C:$C,$A104,'Balancete MLN_WebPosto'!$B:$B,$B$2),
  "0"
)</f>
        <v>0</v>
      </c>
      <c r="O104" s="4" t="str">
        <f>IF(Balancete_Oficial[[#Headers],[Junho]]='Balancete MLN_WebPosto'!$G$2,
SUMIFS('Balancete MLN_WebPosto'!$I:$I,'Balancete MLN_WebPosto'!$C:$C,$A104,'Balancete MLN_WebPosto'!$B:$B,$B$2),
  "0"
)</f>
        <v>0</v>
      </c>
      <c r="P104" s="4" t="str">
        <f>IF(Balancete_Oficial[[#Headers],[Julho]]='Balancete MLN_WebPosto'!$G$2,
SUMIFS('Balancete MLN_WebPosto'!$I:$I,'Balancete MLN_WebPosto'!$C:$C,$A104,'Balancete MLN_WebPosto'!$B:$B,$B$2),
  "0"
)</f>
        <v>0</v>
      </c>
      <c r="Q104" s="4" t="str">
        <f>IF(Balancete_Oficial[[#Headers],[Agosto]]='Balancete MLN_WebPosto'!$G$2,
SUMIFS('Balancete MLN_WebPosto'!$I:$I,'Balancete MLN_WebPosto'!$C:$C,$A104,'Balancete MLN_WebPosto'!$B:$B,$B$2),
  "0"
)</f>
        <v>0</v>
      </c>
      <c r="R104" s="4">
        <f>IF(Balancete_Oficial[[#Headers],[Setembro]]='Balancete MLN_WebPosto'!$G$2,
SUMIFS('Balancete MLN_WebPosto'!$I:$I,'Balancete MLN_WebPosto'!$C:$C,$A104,'Balancete MLN_WebPosto'!$B:$B,$B$2),
  "0"
)</f>
        <v>0</v>
      </c>
      <c r="S104" s="4" t="str">
        <f>IF(Balancete_Oficial[[#Headers],[Outubro]]='Balancete MLN_WebPosto'!$G$2,
SUMIFS('Balancete MLN_WebPosto'!$I:$I,'Balancete MLN_WebPosto'!$C:$C,$A104,'Balancete MLN_WebPosto'!$B:$B,$B$2),
  "0"
)</f>
        <v>0</v>
      </c>
      <c r="T104" s="4" t="str">
        <f>IF(Balancete_Oficial[[#Headers],[Novembro]]='Balancete MLN_WebPosto'!$G$2,
SUMIFS('Balancete MLN_WebPosto'!$I:$I,'Balancete MLN_WebPosto'!$C:$C,$A104,'Balancete MLN_WebPosto'!$B:$B,$B$2),
  "0"
)</f>
        <v>0</v>
      </c>
      <c r="U104" s="4" t="str">
        <f>IF(Balancete_Oficial[[#Headers],[Dezembro]]='Balancete MLN_WebPosto'!$G$2,
SUMIFS('Balancete MLN_WebPosto'!$I:$I,'Balancete MLN_WebPosto'!$C:$C,$A104,'Balancete MLN_WebPosto'!$B:$B,$B$2),
  "0"
)</f>
        <v>0</v>
      </c>
    </row>
    <row r="105" spans="1:21" s="2" customFormat="1" x14ac:dyDescent="0.25">
      <c r="A105" s="2" t="str">
        <f>IF(Dados!H102="","",Dados!H102)</f>
        <v/>
      </c>
      <c r="B105" s="2" t="e">
        <f>VLOOKUP(Balancete_Oficial[[#This Row],[Conta]],'Balancete MLN_WebPosto'!C:E,3,0)</f>
        <v>#N/A</v>
      </c>
      <c r="C105" s="3" t="str">
        <f t="shared" si="6"/>
        <v>Sintética</v>
      </c>
      <c r="D105" s="6" t="str">
        <f t="shared" si="7"/>
        <v>R</v>
      </c>
      <c r="E105" s="6" t="str">
        <f t="shared" si="8"/>
        <v/>
      </c>
      <c r="F105" s="6"/>
      <c r="G105" s="6"/>
      <c r="H105" s="6"/>
      <c r="I105" s="6"/>
      <c r="J105" s="4" t="str">
        <f>IF(Balancete_Oficial[[#Headers],[Janeiro]]='Balancete MLN_WebPosto'!$G$2,
SUMIFS('Balancete MLN_WebPosto'!$J:$J,'Balancete MLN_WebPosto'!$C:$C,$A105,'Balancete MLN_WebPosto'!$B:$B,$B$2),
  "0"
)</f>
        <v>0</v>
      </c>
      <c r="K105" s="4" t="str">
        <f>IF(Balancete_Oficial[[#Headers],[Fevereiro]]='Balancete MLN_WebPosto'!$G$2,
SUMIFS('Balancete MLN_WebPosto'!$J:$J,'Balancete MLN_WebPosto'!$C:$C,$A105,'Balancete MLN_WebPosto'!$B:$B,$B$2),
  "0"
)</f>
        <v>0</v>
      </c>
      <c r="L105" s="4" t="str">
        <f>IF(Balancete_Oficial[[#Headers],[Março]]='Balancete MLN_WebPosto'!$G$2,
SUMIFS('Balancete MLN_WebPosto'!$J:$J,'Balancete MLN_WebPosto'!$C:$C,$A105,'Balancete MLN_WebPosto'!$B:$B,$B$2),
  "0"
)</f>
        <v>0</v>
      </c>
      <c r="M105" s="4" t="str">
        <f>IF(Balancete_Oficial[[#Headers],[Abril]]='Balancete MLN_WebPosto'!$G$2,
SUMIFS('Balancete MLN_WebPosto'!$J:$J,'Balancete MLN_WebPosto'!$C:$C,$A105,'Balancete MLN_WebPosto'!$B:$B,$B$2),
  "0"
)</f>
        <v>0</v>
      </c>
      <c r="N105" s="4" t="str">
        <f>IF(Balancete_Oficial[[#Headers],[Maio]]='Balancete MLN_WebPosto'!$G$2,
SUMIFS('Balancete MLN_WebPosto'!$I:$I,'Balancete MLN_WebPosto'!$C:$C,$A105,'Balancete MLN_WebPosto'!$B:$B,$B$2),
  "0"
)</f>
        <v>0</v>
      </c>
      <c r="O105" s="4" t="str">
        <f>IF(Balancete_Oficial[[#Headers],[Junho]]='Balancete MLN_WebPosto'!$G$2,
SUMIFS('Balancete MLN_WebPosto'!$I:$I,'Balancete MLN_WebPosto'!$C:$C,$A105,'Balancete MLN_WebPosto'!$B:$B,$B$2),
  "0"
)</f>
        <v>0</v>
      </c>
      <c r="P105" s="4" t="str">
        <f>IF(Balancete_Oficial[[#Headers],[Julho]]='Balancete MLN_WebPosto'!$G$2,
SUMIFS('Balancete MLN_WebPosto'!$I:$I,'Balancete MLN_WebPosto'!$C:$C,$A105,'Balancete MLN_WebPosto'!$B:$B,$B$2),
  "0"
)</f>
        <v>0</v>
      </c>
      <c r="Q105" s="4" t="str">
        <f>IF(Balancete_Oficial[[#Headers],[Agosto]]='Balancete MLN_WebPosto'!$G$2,
SUMIFS('Balancete MLN_WebPosto'!$I:$I,'Balancete MLN_WebPosto'!$C:$C,$A105,'Balancete MLN_WebPosto'!$B:$B,$B$2),
  "0"
)</f>
        <v>0</v>
      </c>
      <c r="R105" s="4">
        <f>IF(Balancete_Oficial[[#Headers],[Setembro]]='Balancete MLN_WebPosto'!$G$2,
SUMIFS('Balancete MLN_WebPosto'!$I:$I,'Balancete MLN_WebPosto'!$C:$C,$A105,'Balancete MLN_WebPosto'!$B:$B,$B$2),
  "0"
)</f>
        <v>0</v>
      </c>
      <c r="S105" s="4" t="str">
        <f>IF(Balancete_Oficial[[#Headers],[Outubro]]='Balancete MLN_WebPosto'!$G$2,
SUMIFS('Balancete MLN_WebPosto'!$I:$I,'Balancete MLN_WebPosto'!$C:$C,$A105,'Balancete MLN_WebPosto'!$B:$B,$B$2),
  "0"
)</f>
        <v>0</v>
      </c>
      <c r="T105" s="4" t="str">
        <f>IF(Balancete_Oficial[[#Headers],[Novembro]]='Balancete MLN_WebPosto'!$G$2,
SUMIFS('Balancete MLN_WebPosto'!$I:$I,'Balancete MLN_WebPosto'!$C:$C,$A105,'Balancete MLN_WebPosto'!$B:$B,$B$2),
  "0"
)</f>
        <v>0</v>
      </c>
      <c r="U105" s="4" t="str">
        <f>IF(Balancete_Oficial[[#Headers],[Dezembro]]='Balancete MLN_WebPosto'!$G$2,
SUMIFS('Balancete MLN_WebPosto'!$I:$I,'Balancete MLN_WebPosto'!$C:$C,$A105,'Balancete MLN_WebPosto'!$B:$B,$B$2),
  "0"
)</f>
        <v>0</v>
      </c>
    </row>
    <row r="106" spans="1:21" s="2" customFormat="1" x14ac:dyDescent="0.25">
      <c r="A106" s="2" t="str">
        <f>IF(Dados!H103="","",Dados!H103)</f>
        <v/>
      </c>
      <c r="B106" s="2" t="e">
        <f>VLOOKUP(Balancete_Oficial[[#This Row],[Conta]],'Balancete MLN_WebPosto'!C:E,3,0)</f>
        <v>#N/A</v>
      </c>
      <c r="C106" s="3" t="str">
        <f t="shared" si="6"/>
        <v>Sintética</v>
      </c>
      <c r="D106" s="6" t="str">
        <f t="shared" si="7"/>
        <v>R</v>
      </c>
      <c r="E106" s="6" t="str">
        <f t="shared" si="8"/>
        <v/>
      </c>
      <c r="F106" s="6"/>
      <c r="G106" s="6"/>
      <c r="H106" s="6"/>
      <c r="I106" s="6"/>
      <c r="J106" s="4" t="str">
        <f>IF(Balancete_Oficial[[#Headers],[Janeiro]]='Balancete MLN_WebPosto'!$G$2,
SUMIFS('Balancete MLN_WebPosto'!$J:$J,'Balancete MLN_WebPosto'!$C:$C,$A106,'Balancete MLN_WebPosto'!$B:$B,$B$2),
  "0"
)</f>
        <v>0</v>
      </c>
      <c r="K106" s="4" t="str">
        <f>IF(Balancete_Oficial[[#Headers],[Fevereiro]]='Balancete MLN_WebPosto'!$G$2,
SUMIFS('Balancete MLN_WebPosto'!$J:$J,'Balancete MLN_WebPosto'!$C:$C,$A106,'Balancete MLN_WebPosto'!$B:$B,$B$2),
  "0"
)</f>
        <v>0</v>
      </c>
      <c r="L106" s="4" t="str">
        <f>IF(Balancete_Oficial[[#Headers],[Março]]='Balancete MLN_WebPosto'!$G$2,
SUMIFS('Balancete MLN_WebPosto'!$J:$J,'Balancete MLN_WebPosto'!$C:$C,$A106,'Balancete MLN_WebPosto'!$B:$B,$B$2),
  "0"
)</f>
        <v>0</v>
      </c>
      <c r="M106" s="4" t="str">
        <f>IF(Balancete_Oficial[[#Headers],[Abril]]='Balancete MLN_WebPosto'!$G$2,
SUMIFS('Balancete MLN_WebPosto'!$J:$J,'Balancete MLN_WebPosto'!$C:$C,$A106,'Balancete MLN_WebPosto'!$B:$B,$B$2),
  "0"
)</f>
        <v>0</v>
      </c>
      <c r="N106" s="4" t="str">
        <f>IF(Balancete_Oficial[[#Headers],[Maio]]='Balancete MLN_WebPosto'!$G$2,
SUMIFS('Balancete MLN_WebPosto'!$I:$I,'Balancete MLN_WebPosto'!$C:$C,$A106,'Balancete MLN_WebPosto'!$B:$B,$B$2),
  "0"
)</f>
        <v>0</v>
      </c>
      <c r="O106" s="4" t="str">
        <f>IF(Balancete_Oficial[[#Headers],[Junho]]='Balancete MLN_WebPosto'!$G$2,
SUMIFS('Balancete MLN_WebPosto'!$I:$I,'Balancete MLN_WebPosto'!$C:$C,$A106,'Balancete MLN_WebPosto'!$B:$B,$B$2),
  "0"
)</f>
        <v>0</v>
      </c>
      <c r="P106" s="4" t="str">
        <f>IF(Balancete_Oficial[[#Headers],[Julho]]='Balancete MLN_WebPosto'!$G$2,
SUMIFS('Balancete MLN_WebPosto'!$I:$I,'Balancete MLN_WebPosto'!$C:$C,$A106,'Balancete MLN_WebPosto'!$B:$B,$B$2),
  "0"
)</f>
        <v>0</v>
      </c>
      <c r="Q106" s="4" t="str">
        <f>IF(Balancete_Oficial[[#Headers],[Agosto]]='Balancete MLN_WebPosto'!$G$2,
SUMIFS('Balancete MLN_WebPosto'!$I:$I,'Balancete MLN_WebPosto'!$C:$C,$A106,'Balancete MLN_WebPosto'!$B:$B,$B$2),
  "0"
)</f>
        <v>0</v>
      </c>
      <c r="R106" s="4">
        <f>IF(Balancete_Oficial[[#Headers],[Setembro]]='Balancete MLN_WebPosto'!$G$2,
SUMIFS('Balancete MLN_WebPosto'!$I:$I,'Balancete MLN_WebPosto'!$C:$C,$A106,'Balancete MLN_WebPosto'!$B:$B,$B$2),
  "0"
)</f>
        <v>0</v>
      </c>
      <c r="S106" s="4" t="str">
        <f>IF(Balancete_Oficial[[#Headers],[Outubro]]='Balancete MLN_WebPosto'!$G$2,
SUMIFS('Balancete MLN_WebPosto'!$I:$I,'Balancete MLN_WebPosto'!$C:$C,$A106,'Balancete MLN_WebPosto'!$B:$B,$B$2),
  "0"
)</f>
        <v>0</v>
      </c>
      <c r="T106" s="4" t="str">
        <f>IF(Balancete_Oficial[[#Headers],[Novembro]]='Balancete MLN_WebPosto'!$G$2,
SUMIFS('Balancete MLN_WebPosto'!$I:$I,'Balancete MLN_WebPosto'!$C:$C,$A106,'Balancete MLN_WebPosto'!$B:$B,$B$2),
  "0"
)</f>
        <v>0</v>
      </c>
      <c r="U106" s="4" t="str">
        <f>IF(Balancete_Oficial[[#Headers],[Dezembro]]='Balancete MLN_WebPosto'!$G$2,
SUMIFS('Balancete MLN_WebPosto'!$I:$I,'Balancete MLN_WebPosto'!$C:$C,$A106,'Balancete MLN_WebPosto'!$B:$B,$B$2),
  "0"
)</f>
        <v>0</v>
      </c>
    </row>
    <row r="107" spans="1:21" s="2" customFormat="1" x14ac:dyDescent="0.25">
      <c r="A107" s="2" t="str">
        <f>IF(Dados!H104="","",Dados!H104)</f>
        <v/>
      </c>
      <c r="B107" s="2" t="e">
        <f>VLOOKUP(Balancete_Oficial[[#This Row],[Conta]],'Balancete MLN_WebPosto'!C:E,3,0)</f>
        <v>#N/A</v>
      </c>
      <c r="C107" s="3" t="str">
        <f t="shared" si="6"/>
        <v>Sintética</v>
      </c>
      <c r="D107" s="6" t="str">
        <f t="shared" si="7"/>
        <v>R</v>
      </c>
      <c r="E107" s="6" t="str">
        <f t="shared" si="8"/>
        <v/>
      </c>
      <c r="F107" s="6"/>
      <c r="G107" s="6"/>
      <c r="H107" s="6"/>
      <c r="I107" s="6"/>
      <c r="J107" s="4" t="str">
        <f>IF(Balancete_Oficial[[#Headers],[Janeiro]]='Balancete MLN_WebPosto'!$G$2,
SUMIFS('Balancete MLN_WebPosto'!$J:$J,'Balancete MLN_WebPosto'!$C:$C,$A107,'Balancete MLN_WebPosto'!$B:$B,$B$2),
  "0"
)</f>
        <v>0</v>
      </c>
      <c r="K107" s="4" t="str">
        <f>IF(Balancete_Oficial[[#Headers],[Fevereiro]]='Balancete MLN_WebPosto'!$G$2,
SUMIFS('Balancete MLN_WebPosto'!$J:$J,'Balancete MLN_WebPosto'!$C:$C,$A107,'Balancete MLN_WebPosto'!$B:$B,$B$2),
  "0"
)</f>
        <v>0</v>
      </c>
      <c r="L107" s="4" t="str">
        <f>IF(Balancete_Oficial[[#Headers],[Março]]='Balancete MLN_WebPosto'!$G$2,
SUMIFS('Balancete MLN_WebPosto'!$J:$J,'Balancete MLN_WebPosto'!$C:$C,$A107,'Balancete MLN_WebPosto'!$B:$B,$B$2),
  "0"
)</f>
        <v>0</v>
      </c>
      <c r="M107" s="4" t="str">
        <f>IF(Balancete_Oficial[[#Headers],[Abril]]='Balancete MLN_WebPosto'!$G$2,
SUMIFS('Balancete MLN_WebPosto'!$J:$J,'Balancete MLN_WebPosto'!$C:$C,$A107,'Balancete MLN_WebPosto'!$B:$B,$B$2),
  "0"
)</f>
        <v>0</v>
      </c>
      <c r="N107" s="4" t="str">
        <f>IF(Balancete_Oficial[[#Headers],[Maio]]='Balancete MLN_WebPosto'!$G$2,
SUMIFS('Balancete MLN_WebPosto'!$I:$I,'Balancete MLN_WebPosto'!$C:$C,$A107,'Balancete MLN_WebPosto'!$B:$B,$B$2),
  "0"
)</f>
        <v>0</v>
      </c>
      <c r="O107" s="4" t="str">
        <f>IF(Balancete_Oficial[[#Headers],[Junho]]='Balancete MLN_WebPosto'!$G$2,
SUMIFS('Balancete MLN_WebPosto'!$I:$I,'Balancete MLN_WebPosto'!$C:$C,$A107,'Balancete MLN_WebPosto'!$B:$B,$B$2),
  "0"
)</f>
        <v>0</v>
      </c>
      <c r="P107" s="4" t="str">
        <f>IF(Balancete_Oficial[[#Headers],[Julho]]='Balancete MLN_WebPosto'!$G$2,
SUMIFS('Balancete MLN_WebPosto'!$I:$I,'Balancete MLN_WebPosto'!$C:$C,$A107,'Balancete MLN_WebPosto'!$B:$B,$B$2),
  "0"
)</f>
        <v>0</v>
      </c>
      <c r="Q107" s="4" t="str">
        <f>IF(Balancete_Oficial[[#Headers],[Agosto]]='Balancete MLN_WebPosto'!$G$2,
SUMIFS('Balancete MLN_WebPosto'!$I:$I,'Balancete MLN_WebPosto'!$C:$C,$A107,'Balancete MLN_WebPosto'!$B:$B,$B$2),
  "0"
)</f>
        <v>0</v>
      </c>
      <c r="R107" s="4">
        <f>IF(Balancete_Oficial[[#Headers],[Setembro]]='Balancete MLN_WebPosto'!$G$2,
SUMIFS('Balancete MLN_WebPosto'!$I:$I,'Balancete MLN_WebPosto'!$C:$C,$A107,'Balancete MLN_WebPosto'!$B:$B,$B$2),
  "0"
)</f>
        <v>0</v>
      </c>
      <c r="S107" s="4" t="str">
        <f>IF(Balancete_Oficial[[#Headers],[Outubro]]='Balancete MLN_WebPosto'!$G$2,
SUMIFS('Balancete MLN_WebPosto'!$I:$I,'Balancete MLN_WebPosto'!$C:$C,$A107,'Balancete MLN_WebPosto'!$B:$B,$B$2),
  "0"
)</f>
        <v>0</v>
      </c>
      <c r="T107" s="4" t="str">
        <f>IF(Balancete_Oficial[[#Headers],[Novembro]]='Balancete MLN_WebPosto'!$G$2,
SUMIFS('Balancete MLN_WebPosto'!$I:$I,'Balancete MLN_WebPosto'!$C:$C,$A107,'Balancete MLN_WebPosto'!$B:$B,$B$2),
  "0"
)</f>
        <v>0</v>
      </c>
      <c r="U107" s="4" t="str">
        <f>IF(Balancete_Oficial[[#Headers],[Dezembro]]='Balancete MLN_WebPosto'!$G$2,
SUMIFS('Balancete MLN_WebPosto'!$I:$I,'Balancete MLN_WebPosto'!$C:$C,$A107,'Balancete MLN_WebPosto'!$B:$B,$B$2),
  "0"
)</f>
        <v>0</v>
      </c>
    </row>
    <row r="108" spans="1:21" s="2" customFormat="1" x14ac:dyDescent="0.25">
      <c r="A108" s="2" t="str">
        <f>IF(Dados!H105="","",Dados!H105)</f>
        <v/>
      </c>
      <c r="B108" s="2" t="e">
        <f>VLOOKUP(Balancete_Oficial[[#This Row],[Conta]],'Balancete MLN_WebPosto'!C:E,3,0)</f>
        <v>#N/A</v>
      </c>
      <c r="C108" s="3" t="str">
        <f t="shared" si="6"/>
        <v>Sintética</v>
      </c>
      <c r="D108" s="6" t="str">
        <f t="shared" si="7"/>
        <v>R</v>
      </c>
      <c r="E108" s="6" t="str">
        <f t="shared" si="8"/>
        <v/>
      </c>
      <c r="F108" s="6"/>
      <c r="G108" s="6"/>
      <c r="H108" s="6"/>
      <c r="I108" s="6"/>
      <c r="J108" s="4" t="str">
        <f>IF(Balancete_Oficial[[#Headers],[Janeiro]]='Balancete MLN_WebPosto'!$G$2,
SUMIFS('Balancete MLN_WebPosto'!$J:$J,'Balancete MLN_WebPosto'!$C:$C,$A108,'Balancete MLN_WebPosto'!$B:$B,$B$2),
  "0"
)</f>
        <v>0</v>
      </c>
      <c r="K108" s="4" t="str">
        <f>IF(Balancete_Oficial[[#Headers],[Fevereiro]]='Balancete MLN_WebPosto'!$G$2,
SUMIFS('Balancete MLN_WebPosto'!$J:$J,'Balancete MLN_WebPosto'!$C:$C,$A108,'Balancete MLN_WebPosto'!$B:$B,$B$2),
  "0"
)</f>
        <v>0</v>
      </c>
      <c r="L108" s="4" t="str">
        <f>IF(Balancete_Oficial[[#Headers],[Março]]='Balancete MLN_WebPosto'!$G$2,
SUMIFS('Balancete MLN_WebPosto'!$J:$J,'Balancete MLN_WebPosto'!$C:$C,$A108,'Balancete MLN_WebPosto'!$B:$B,$B$2),
  "0"
)</f>
        <v>0</v>
      </c>
      <c r="M108" s="4" t="str">
        <f>IF(Balancete_Oficial[[#Headers],[Abril]]='Balancete MLN_WebPosto'!$G$2,
SUMIFS('Balancete MLN_WebPosto'!$J:$J,'Balancete MLN_WebPosto'!$C:$C,$A108,'Balancete MLN_WebPosto'!$B:$B,$B$2),
  "0"
)</f>
        <v>0</v>
      </c>
      <c r="N108" s="4" t="str">
        <f>IF(Balancete_Oficial[[#Headers],[Maio]]='Balancete MLN_WebPosto'!$G$2,
SUMIFS('Balancete MLN_WebPosto'!$I:$I,'Balancete MLN_WebPosto'!$C:$C,$A108,'Balancete MLN_WebPosto'!$B:$B,$B$2),
  "0"
)</f>
        <v>0</v>
      </c>
      <c r="O108" s="4" t="str">
        <f>IF(Balancete_Oficial[[#Headers],[Junho]]='Balancete MLN_WebPosto'!$G$2,
SUMIFS('Balancete MLN_WebPosto'!$I:$I,'Balancete MLN_WebPosto'!$C:$C,$A108,'Balancete MLN_WebPosto'!$B:$B,$B$2),
  "0"
)</f>
        <v>0</v>
      </c>
      <c r="P108" s="4" t="str">
        <f>IF(Balancete_Oficial[[#Headers],[Julho]]='Balancete MLN_WebPosto'!$G$2,
SUMIFS('Balancete MLN_WebPosto'!$I:$I,'Balancete MLN_WebPosto'!$C:$C,$A108,'Balancete MLN_WebPosto'!$B:$B,$B$2),
  "0"
)</f>
        <v>0</v>
      </c>
      <c r="Q108" s="4" t="str">
        <f>IF(Balancete_Oficial[[#Headers],[Agosto]]='Balancete MLN_WebPosto'!$G$2,
SUMIFS('Balancete MLN_WebPosto'!$I:$I,'Balancete MLN_WebPosto'!$C:$C,$A108,'Balancete MLN_WebPosto'!$B:$B,$B$2),
  "0"
)</f>
        <v>0</v>
      </c>
      <c r="R108" s="4">
        <f>IF(Balancete_Oficial[[#Headers],[Setembro]]='Balancete MLN_WebPosto'!$G$2,
SUMIFS('Balancete MLN_WebPosto'!$I:$I,'Balancete MLN_WebPosto'!$C:$C,$A108,'Balancete MLN_WebPosto'!$B:$B,$B$2),
  "0"
)</f>
        <v>0</v>
      </c>
      <c r="S108" s="4" t="str">
        <f>IF(Balancete_Oficial[[#Headers],[Outubro]]='Balancete MLN_WebPosto'!$G$2,
SUMIFS('Balancete MLN_WebPosto'!$I:$I,'Balancete MLN_WebPosto'!$C:$C,$A108,'Balancete MLN_WebPosto'!$B:$B,$B$2),
  "0"
)</f>
        <v>0</v>
      </c>
      <c r="T108" s="4" t="str">
        <f>IF(Balancete_Oficial[[#Headers],[Novembro]]='Balancete MLN_WebPosto'!$G$2,
SUMIFS('Balancete MLN_WebPosto'!$I:$I,'Balancete MLN_WebPosto'!$C:$C,$A108,'Balancete MLN_WebPosto'!$B:$B,$B$2),
  "0"
)</f>
        <v>0</v>
      </c>
      <c r="U108" s="4" t="str">
        <f>IF(Balancete_Oficial[[#Headers],[Dezembro]]='Balancete MLN_WebPosto'!$G$2,
SUMIFS('Balancete MLN_WebPosto'!$I:$I,'Balancete MLN_WebPosto'!$C:$C,$A108,'Balancete MLN_WebPosto'!$B:$B,$B$2),
  "0"
)</f>
        <v>0</v>
      </c>
    </row>
    <row r="109" spans="1:21" s="2" customFormat="1" x14ac:dyDescent="0.25">
      <c r="A109" s="2" t="str">
        <f>IF(Dados!H106="","",Dados!H106)</f>
        <v/>
      </c>
      <c r="B109" s="2" t="e">
        <f>VLOOKUP(Balancete_Oficial[[#This Row],[Conta]],'Balancete MLN_WebPosto'!C:E,3,0)</f>
        <v>#N/A</v>
      </c>
      <c r="C109" s="3" t="str">
        <f t="shared" si="6"/>
        <v>Sintética</v>
      </c>
      <c r="D109" s="6" t="str">
        <f t="shared" si="7"/>
        <v>R</v>
      </c>
      <c r="E109" s="6" t="str">
        <f t="shared" si="8"/>
        <v/>
      </c>
      <c r="F109" s="6"/>
      <c r="G109" s="6"/>
      <c r="H109" s="6"/>
      <c r="I109" s="6"/>
      <c r="J109" s="4" t="str">
        <f>IF(Balancete_Oficial[[#Headers],[Janeiro]]='Balancete MLN_WebPosto'!$G$2,
SUMIFS('Balancete MLN_WebPosto'!$J:$J,'Balancete MLN_WebPosto'!$C:$C,$A109,'Balancete MLN_WebPosto'!$B:$B,$B$2),
  "0"
)</f>
        <v>0</v>
      </c>
      <c r="K109" s="4" t="str">
        <f>IF(Balancete_Oficial[[#Headers],[Fevereiro]]='Balancete MLN_WebPosto'!$G$2,
SUMIFS('Balancete MLN_WebPosto'!$J:$J,'Balancete MLN_WebPosto'!$C:$C,$A109,'Balancete MLN_WebPosto'!$B:$B,$B$2),
  "0"
)</f>
        <v>0</v>
      </c>
      <c r="L109" s="4" t="str">
        <f>IF(Balancete_Oficial[[#Headers],[Março]]='Balancete MLN_WebPosto'!$G$2,
SUMIFS('Balancete MLN_WebPosto'!$J:$J,'Balancete MLN_WebPosto'!$C:$C,$A109,'Balancete MLN_WebPosto'!$B:$B,$B$2),
  "0"
)</f>
        <v>0</v>
      </c>
      <c r="M109" s="4" t="str">
        <f>IF(Balancete_Oficial[[#Headers],[Abril]]='Balancete MLN_WebPosto'!$G$2,
SUMIFS('Balancete MLN_WebPosto'!$J:$J,'Balancete MLN_WebPosto'!$C:$C,$A109,'Balancete MLN_WebPosto'!$B:$B,$B$2),
  "0"
)</f>
        <v>0</v>
      </c>
      <c r="N109" s="4" t="str">
        <f>IF(Balancete_Oficial[[#Headers],[Maio]]='Balancete MLN_WebPosto'!$G$2,
SUMIFS('Balancete MLN_WebPosto'!$I:$I,'Balancete MLN_WebPosto'!$C:$C,$A109,'Balancete MLN_WebPosto'!$B:$B,$B$2),
  "0"
)</f>
        <v>0</v>
      </c>
      <c r="O109" s="4" t="str">
        <f>IF(Balancete_Oficial[[#Headers],[Junho]]='Balancete MLN_WebPosto'!$G$2,
SUMIFS('Balancete MLN_WebPosto'!$I:$I,'Balancete MLN_WebPosto'!$C:$C,$A109,'Balancete MLN_WebPosto'!$B:$B,$B$2),
  "0"
)</f>
        <v>0</v>
      </c>
      <c r="P109" s="4" t="str">
        <f>IF(Balancete_Oficial[[#Headers],[Julho]]='Balancete MLN_WebPosto'!$G$2,
SUMIFS('Balancete MLN_WebPosto'!$I:$I,'Balancete MLN_WebPosto'!$C:$C,$A109,'Balancete MLN_WebPosto'!$B:$B,$B$2),
  "0"
)</f>
        <v>0</v>
      </c>
      <c r="Q109" s="4" t="str">
        <f>IF(Balancete_Oficial[[#Headers],[Agosto]]='Balancete MLN_WebPosto'!$G$2,
SUMIFS('Balancete MLN_WebPosto'!$I:$I,'Balancete MLN_WebPosto'!$C:$C,$A109,'Balancete MLN_WebPosto'!$B:$B,$B$2),
  "0"
)</f>
        <v>0</v>
      </c>
      <c r="R109" s="4">
        <f>IF(Balancete_Oficial[[#Headers],[Setembro]]='Balancete MLN_WebPosto'!$G$2,
SUMIFS('Balancete MLN_WebPosto'!$I:$I,'Balancete MLN_WebPosto'!$C:$C,$A109,'Balancete MLN_WebPosto'!$B:$B,$B$2),
  "0"
)</f>
        <v>0</v>
      </c>
      <c r="S109" s="4" t="str">
        <f>IF(Balancete_Oficial[[#Headers],[Outubro]]='Balancete MLN_WebPosto'!$G$2,
SUMIFS('Balancete MLN_WebPosto'!$I:$I,'Balancete MLN_WebPosto'!$C:$C,$A109,'Balancete MLN_WebPosto'!$B:$B,$B$2),
  "0"
)</f>
        <v>0</v>
      </c>
      <c r="T109" s="4" t="str">
        <f>IF(Balancete_Oficial[[#Headers],[Novembro]]='Balancete MLN_WebPosto'!$G$2,
SUMIFS('Balancete MLN_WebPosto'!$I:$I,'Balancete MLN_WebPosto'!$C:$C,$A109,'Balancete MLN_WebPosto'!$B:$B,$B$2),
  "0"
)</f>
        <v>0</v>
      </c>
      <c r="U109" s="4" t="str">
        <f>IF(Balancete_Oficial[[#Headers],[Dezembro]]='Balancete MLN_WebPosto'!$G$2,
SUMIFS('Balancete MLN_WebPosto'!$I:$I,'Balancete MLN_WebPosto'!$C:$C,$A109,'Balancete MLN_WebPosto'!$B:$B,$B$2),
  "0"
)</f>
        <v>0</v>
      </c>
    </row>
    <row r="110" spans="1:21" s="2" customFormat="1" x14ac:dyDescent="0.25">
      <c r="A110" s="2" t="str">
        <f>IF(Dados!H107="","",Dados!H107)</f>
        <v/>
      </c>
      <c r="B110" s="2" t="e">
        <f>VLOOKUP(Balancete_Oficial[[#This Row],[Conta]],'Balancete MLN_WebPosto'!C:E,3,0)</f>
        <v>#N/A</v>
      </c>
      <c r="C110" s="3" t="str">
        <f t="shared" si="6"/>
        <v>Sintética</v>
      </c>
      <c r="D110" s="6" t="str">
        <f t="shared" si="7"/>
        <v>R</v>
      </c>
      <c r="E110" s="6" t="str">
        <f t="shared" si="8"/>
        <v/>
      </c>
      <c r="F110" s="6"/>
      <c r="G110" s="6"/>
      <c r="H110" s="6"/>
      <c r="I110" s="6"/>
      <c r="J110" s="4" t="str">
        <f>IF(Balancete_Oficial[[#Headers],[Janeiro]]='Balancete MLN_WebPosto'!$G$2,
SUMIFS('Balancete MLN_WebPosto'!$J:$J,'Balancete MLN_WebPosto'!$C:$C,$A110,'Balancete MLN_WebPosto'!$B:$B,$B$2),
  "0"
)</f>
        <v>0</v>
      </c>
      <c r="K110" s="4" t="str">
        <f>IF(Balancete_Oficial[[#Headers],[Fevereiro]]='Balancete MLN_WebPosto'!$G$2,
SUMIFS('Balancete MLN_WebPosto'!$J:$J,'Balancete MLN_WebPosto'!$C:$C,$A110,'Balancete MLN_WebPosto'!$B:$B,$B$2),
  "0"
)</f>
        <v>0</v>
      </c>
      <c r="L110" s="4" t="str">
        <f>IF(Balancete_Oficial[[#Headers],[Março]]='Balancete MLN_WebPosto'!$G$2,
SUMIFS('Balancete MLN_WebPosto'!$J:$J,'Balancete MLN_WebPosto'!$C:$C,$A110,'Balancete MLN_WebPosto'!$B:$B,$B$2),
  "0"
)</f>
        <v>0</v>
      </c>
      <c r="M110" s="4" t="str">
        <f>IF(Balancete_Oficial[[#Headers],[Abril]]='Balancete MLN_WebPosto'!$G$2,
SUMIFS('Balancete MLN_WebPosto'!$J:$J,'Balancete MLN_WebPosto'!$C:$C,$A110,'Balancete MLN_WebPosto'!$B:$B,$B$2),
  "0"
)</f>
        <v>0</v>
      </c>
      <c r="N110" s="4" t="str">
        <f>IF(Balancete_Oficial[[#Headers],[Maio]]='Balancete MLN_WebPosto'!$G$2,
SUMIFS('Balancete MLN_WebPosto'!$I:$I,'Balancete MLN_WebPosto'!$C:$C,$A110,'Balancete MLN_WebPosto'!$B:$B,$B$2),
  "0"
)</f>
        <v>0</v>
      </c>
      <c r="O110" s="4" t="str">
        <f>IF(Balancete_Oficial[[#Headers],[Junho]]='Balancete MLN_WebPosto'!$G$2,
SUMIFS('Balancete MLN_WebPosto'!$I:$I,'Balancete MLN_WebPosto'!$C:$C,$A110,'Balancete MLN_WebPosto'!$B:$B,$B$2),
  "0"
)</f>
        <v>0</v>
      </c>
      <c r="P110" s="4" t="str">
        <f>IF(Balancete_Oficial[[#Headers],[Julho]]='Balancete MLN_WebPosto'!$G$2,
SUMIFS('Balancete MLN_WebPosto'!$I:$I,'Balancete MLN_WebPosto'!$C:$C,$A110,'Balancete MLN_WebPosto'!$B:$B,$B$2),
  "0"
)</f>
        <v>0</v>
      </c>
      <c r="Q110" s="4" t="str">
        <f>IF(Balancete_Oficial[[#Headers],[Agosto]]='Balancete MLN_WebPosto'!$G$2,
SUMIFS('Balancete MLN_WebPosto'!$I:$I,'Balancete MLN_WebPosto'!$C:$C,$A110,'Balancete MLN_WebPosto'!$B:$B,$B$2),
  "0"
)</f>
        <v>0</v>
      </c>
      <c r="R110" s="4">
        <f>IF(Balancete_Oficial[[#Headers],[Setembro]]='Balancete MLN_WebPosto'!$G$2,
SUMIFS('Balancete MLN_WebPosto'!$I:$I,'Balancete MLN_WebPosto'!$C:$C,$A110,'Balancete MLN_WebPosto'!$B:$B,$B$2),
  "0"
)</f>
        <v>0</v>
      </c>
      <c r="S110" s="4" t="str">
        <f>IF(Balancete_Oficial[[#Headers],[Outubro]]='Balancete MLN_WebPosto'!$G$2,
SUMIFS('Balancete MLN_WebPosto'!$I:$I,'Balancete MLN_WebPosto'!$C:$C,$A110,'Balancete MLN_WebPosto'!$B:$B,$B$2),
  "0"
)</f>
        <v>0</v>
      </c>
      <c r="T110" s="4" t="str">
        <f>IF(Balancete_Oficial[[#Headers],[Novembro]]='Balancete MLN_WebPosto'!$G$2,
SUMIFS('Balancete MLN_WebPosto'!$I:$I,'Balancete MLN_WebPosto'!$C:$C,$A110,'Balancete MLN_WebPosto'!$B:$B,$B$2),
  "0"
)</f>
        <v>0</v>
      </c>
      <c r="U110" s="4" t="str">
        <f>IF(Balancete_Oficial[[#Headers],[Dezembro]]='Balancete MLN_WebPosto'!$G$2,
SUMIFS('Balancete MLN_WebPosto'!$I:$I,'Balancete MLN_WebPosto'!$C:$C,$A110,'Balancete MLN_WebPosto'!$B:$B,$B$2),
  "0"
)</f>
        <v>0</v>
      </c>
    </row>
    <row r="111" spans="1:21" s="2" customFormat="1" x14ac:dyDescent="0.25">
      <c r="A111" s="2" t="str">
        <f>IF(Dados!H108="","",Dados!H108)</f>
        <v/>
      </c>
      <c r="B111" s="2" t="e">
        <f>VLOOKUP(Balancete_Oficial[[#This Row],[Conta]],'Balancete MLN_WebPosto'!C:E,3,0)</f>
        <v>#N/A</v>
      </c>
      <c r="C111" s="3" t="str">
        <f t="shared" si="6"/>
        <v>Sintética</v>
      </c>
      <c r="D111" s="6" t="str">
        <f t="shared" si="7"/>
        <v>R</v>
      </c>
      <c r="E111" s="6" t="str">
        <f t="shared" si="8"/>
        <v/>
      </c>
      <c r="F111" s="6"/>
      <c r="G111" s="6"/>
      <c r="H111" s="6"/>
      <c r="I111" s="6"/>
      <c r="J111" s="4" t="str">
        <f>IF(Balancete_Oficial[[#Headers],[Janeiro]]='Balancete MLN_WebPosto'!$G$2,
SUMIFS('Balancete MLN_WebPosto'!$J:$J,'Balancete MLN_WebPosto'!$C:$C,$A111,'Balancete MLN_WebPosto'!$B:$B,$B$2),
  "0"
)</f>
        <v>0</v>
      </c>
      <c r="K111" s="4" t="str">
        <f>IF(Balancete_Oficial[[#Headers],[Fevereiro]]='Balancete MLN_WebPosto'!$G$2,
SUMIFS('Balancete MLN_WebPosto'!$J:$J,'Balancete MLN_WebPosto'!$C:$C,$A111,'Balancete MLN_WebPosto'!$B:$B,$B$2),
  "0"
)</f>
        <v>0</v>
      </c>
      <c r="L111" s="4" t="str">
        <f>IF(Balancete_Oficial[[#Headers],[Março]]='Balancete MLN_WebPosto'!$G$2,
SUMIFS('Balancete MLN_WebPosto'!$J:$J,'Balancete MLN_WebPosto'!$C:$C,$A111,'Balancete MLN_WebPosto'!$B:$B,$B$2),
  "0"
)</f>
        <v>0</v>
      </c>
      <c r="M111" s="4" t="str">
        <f>IF(Balancete_Oficial[[#Headers],[Abril]]='Balancete MLN_WebPosto'!$G$2,
SUMIFS('Balancete MLN_WebPosto'!$J:$J,'Balancete MLN_WebPosto'!$C:$C,$A111,'Balancete MLN_WebPosto'!$B:$B,$B$2),
  "0"
)</f>
        <v>0</v>
      </c>
      <c r="N111" s="4" t="str">
        <f>IF(Balancete_Oficial[[#Headers],[Maio]]='Balancete MLN_WebPosto'!$G$2,
SUMIFS('Balancete MLN_WebPosto'!$I:$I,'Balancete MLN_WebPosto'!$C:$C,$A111,'Balancete MLN_WebPosto'!$B:$B,$B$2),
  "0"
)</f>
        <v>0</v>
      </c>
      <c r="O111" s="4" t="str">
        <f>IF(Balancete_Oficial[[#Headers],[Junho]]='Balancete MLN_WebPosto'!$G$2,
SUMIFS('Balancete MLN_WebPosto'!$I:$I,'Balancete MLN_WebPosto'!$C:$C,$A111,'Balancete MLN_WebPosto'!$B:$B,$B$2),
  "0"
)</f>
        <v>0</v>
      </c>
      <c r="P111" s="4" t="str">
        <f>IF(Balancete_Oficial[[#Headers],[Julho]]='Balancete MLN_WebPosto'!$G$2,
SUMIFS('Balancete MLN_WebPosto'!$I:$I,'Balancete MLN_WebPosto'!$C:$C,$A111,'Balancete MLN_WebPosto'!$B:$B,$B$2),
  "0"
)</f>
        <v>0</v>
      </c>
      <c r="Q111" s="4" t="str">
        <f>IF(Balancete_Oficial[[#Headers],[Agosto]]='Balancete MLN_WebPosto'!$G$2,
SUMIFS('Balancete MLN_WebPosto'!$I:$I,'Balancete MLN_WebPosto'!$C:$C,$A111,'Balancete MLN_WebPosto'!$B:$B,$B$2),
  "0"
)</f>
        <v>0</v>
      </c>
      <c r="R111" s="4">
        <f>IF(Balancete_Oficial[[#Headers],[Setembro]]='Balancete MLN_WebPosto'!$G$2,
SUMIFS('Balancete MLN_WebPosto'!$I:$I,'Balancete MLN_WebPosto'!$C:$C,$A111,'Balancete MLN_WebPosto'!$B:$B,$B$2),
  "0"
)</f>
        <v>0</v>
      </c>
      <c r="S111" s="4" t="str">
        <f>IF(Balancete_Oficial[[#Headers],[Outubro]]='Balancete MLN_WebPosto'!$G$2,
SUMIFS('Balancete MLN_WebPosto'!$I:$I,'Balancete MLN_WebPosto'!$C:$C,$A111,'Balancete MLN_WebPosto'!$B:$B,$B$2),
  "0"
)</f>
        <v>0</v>
      </c>
      <c r="T111" s="4" t="str">
        <f>IF(Balancete_Oficial[[#Headers],[Novembro]]='Balancete MLN_WebPosto'!$G$2,
SUMIFS('Balancete MLN_WebPosto'!$I:$I,'Balancete MLN_WebPosto'!$C:$C,$A111,'Balancete MLN_WebPosto'!$B:$B,$B$2),
  "0"
)</f>
        <v>0</v>
      </c>
      <c r="U111" s="4" t="str">
        <f>IF(Balancete_Oficial[[#Headers],[Dezembro]]='Balancete MLN_WebPosto'!$G$2,
SUMIFS('Balancete MLN_WebPosto'!$I:$I,'Balancete MLN_WebPosto'!$C:$C,$A111,'Balancete MLN_WebPosto'!$B:$B,$B$2),
  "0"
)</f>
        <v>0</v>
      </c>
    </row>
    <row r="112" spans="1:21" s="2" customFormat="1" x14ac:dyDescent="0.25">
      <c r="A112" s="2" t="str">
        <f>IF(Dados!H109="","",Dados!H109)</f>
        <v/>
      </c>
      <c r="B112" s="2" t="e">
        <f>VLOOKUP(Balancete_Oficial[[#This Row],[Conta]],'Balancete MLN_WebPosto'!C:E,3,0)</f>
        <v>#N/A</v>
      </c>
      <c r="C112" s="3" t="str">
        <f t="shared" si="6"/>
        <v>Sintética</v>
      </c>
      <c r="D112" s="6" t="str">
        <f t="shared" si="7"/>
        <v>R</v>
      </c>
      <c r="E112" s="6" t="str">
        <f t="shared" si="8"/>
        <v/>
      </c>
      <c r="F112" s="6"/>
      <c r="G112" s="6"/>
      <c r="H112" s="6"/>
      <c r="I112" s="6"/>
      <c r="J112" s="4" t="str">
        <f>IF(Balancete_Oficial[[#Headers],[Janeiro]]='Balancete MLN_WebPosto'!$G$2,
SUMIFS('Balancete MLN_WebPosto'!$J:$J,'Balancete MLN_WebPosto'!$C:$C,$A112,'Balancete MLN_WebPosto'!$B:$B,$B$2),
  "0"
)</f>
        <v>0</v>
      </c>
      <c r="K112" s="4" t="str">
        <f>IF(Balancete_Oficial[[#Headers],[Fevereiro]]='Balancete MLN_WebPosto'!$G$2,
SUMIFS('Balancete MLN_WebPosto'!$J:$J,'Balancete MLN_WebPosto'!$C:$C,$A112,'Balancete MLN_WebPosto'!$B:$B,$B$2),
  "0"
)</f>
        <v>0</v>
      </c>
      <c r="L112" s="4" t="str">
        <f>IF(Balancete_Oficial[[#Headers],[Março]]='Balancete MLN_WebPosto'!$G$2,
SUMIFS('Balancete MLN_WebPosto'!$J:$J,'Balancete MLN_WebPosto'!$C:$C,$A112,'Balancete MLN_WebPosto'!$B:$B,$B$2),
  "0"
)</f>
        <v>0</v>
      </c>
      <c r="M112" s="4" t="str">
        <f>IF(Balancete_Oficial[[#Headers],[Abril]]='Balancete MLN_WebPosto'!$G$2,
SUMIFS('Balancete MLN_WebPosto'!$J:$J,'Balancete MLN_WebPosto'!$C:$C,$A112,'Balancete MLN_WebPosto'!$B:$B,$B$2),
  "0"
)</f>
        <v>0</v>
      </c>
      <c r="N112" s="4" t="str">
        <f>IF(Balancete_Oficial[[#Headers],[Maio]]='Balancete MLN_WebPosto'!$G$2,
SUMIFS('Balancete MLN_WebPosto'!$I:$I,'Balancete MLN_WebPosto'!$C:$C,$A112,'Balancete MLN_WebPosto'!$B:$B,$B$2),
  "0"
)</f>
        <v>0</v>
      </c>
      <c r="O112" s="4" t="str">
        <f>IF(Balancete_Oficial[[#Headers],[Junho]]='Balancete MLN_WebPosto'!$G$2,
SUMIFS('Balancete MLN_WebPosto'!$I:$I,'Balancete MLN_WebPosto'!$C:$C,$A112,'Balancete MLN_WebPosto'!$B:$B,$B$2),
  "0"
)</f>
        <v>0</v>
      </c>
      <c r="P112" s="4" t="str">
        <f>IF(Balancete_Oficial[[#Headers],[Julho]]='Balancete MLN_WebPosto'!$G$2,
SUMIFS('Balancete MLN_WebPosto'!$I:$I,'Balancete MLN_WebPosto'!$C:$C,$A112,'Balancete MLN_WebPosto'!$B:$B,$B$2),
  "0"
)</f>
        <v>0</v>
      </c>
      <c r="Q112" s="4" t="str">
        <f>IF(Balancete_Oficial[[#Headers],[Agosto]]='Balancete MLN_WebPosto'!$G$2,
SUMIFS('Balancete MLN_WebPosto'!$I:$I,'Balancete MLN_WebPosto'!$C:$C,$A112,'Balancete MLN_WebPosto'!$B:$B,$B$2),
  "0"
)</f>
        <v>0</v>
      </c>
      <c r="R112" s="4">
        <f>IF(Balancete_Oficial[[#Headers],[Setembro]]='Balancete MLN_WebPosto'!$G$2,
SUMIFS('Balancete MLN_WebPosto'!$I:$I,'Balancete MLN_WebPosto'!$C:$C,$A112,'Balancete MLN_WebPosto'!$B:$B,$B$2),
  "0"
)</f>
        <v>0</v>
      </c>
      <c r="S112" s="4" t="str">
        <f>IF(Balancete_Oficial[[#Headers],[Outubro]]='Balancete MLN_WebPosto'!$G$2,
SUMIFS('Balancete MLN_WebPosto'!$I:$I,'Balancete MLN_WebPosto'!$C:$C,$A112,'Balancete MLN_WebPosto'!$B:$B,$B$2),
  "0"
)</f>
        <v>0</v>
      </c>
      <c r="T112" s="4" t="str">
        <f>IF(Balancete_Oficial[[#Headers],[Novembro]]='Balancete MLN_WebPosto'!$G$2,
SUMIFS('Balancete MLN_WebPosto'!$I:$I,'Balancete MLN_WebPosto'!$C:$C,$A112,'Balancete MLN_WebPosto'!$B:$B,$B$2),
  "0"
)</f>
        <v>0</v>
      </c>
      <c r="U112" s="4" t="str">
        <f>IF(Balancete_Oficial[[#Headers],[Dezembro]]='Balancete MLN_WebPosto'!$G$2,
SUMIFS('Balancete MLN_WebPosto'!$I:$I,'Balancete MLN_WebPosto'!$C:$C,$A112,'Balancete MLN_WebPosto'!$B:$B,$B$2),
  "0"
)</f>
        <v>0</v>
      </c>
    </row>
    <row r="113" spans="1:21" s="2" customFormat="1" x14ac:dyDescent="0.25">
      <c r="A113" s="2" t="str">
        <f>IF(Dados!H110="","",Dados!H110)</f>
        <v/>
      </c>
      <c r="B113" s="2" t="e">
        <f>VLOOKUP(Balancete_Oficial[[#This Row],[Conta]],'Balancete MLN_WebPosto'!C:E,3,0)</f>
        <v>#N/A</v>
      </c>
      <c r="C113" s="3" t="str">
        <f t="shared" si="6"/>
        <v>Sintética</v>
      </c>
      <c r="D113" s="6" t="str">
        <f t="shared" si="7"/>
        <v>R</v>
      </c>
      <c r="E113" s="6" t="str">
        <f t="shared" si="8"/>
        <v/>
      </c>
      <c r="F113" s="6"/>
      <c r="G113" s="6"/>
      <c r="H113" s="6"/>
      <c r="I113" s="6"/>
      <c r="J113" s="4" t="str">
        <f>IF(Balancete_Oficial[[#Headers],[Janeiro]]='Balancete MLN_WebPosto'!$G$2,
SUMIFS('Balancete MLN_WebPosto'!$J:$J,'Balancete MLN_WebPosto'!$C:$C,$A113,'Balancete MLN_WebPosto'!$B:$B,$B$2),
  "0"
)</f>
        <v>0</v>
      </c>
      <c r="K113" s="4" t="str">
        <f>IF(Balancete_Oficial[[#Headers],[Fevereiro]]='Balancete MLN_WebPosto'!$G$2,
SUMIFS('Balancete MLN_WebPosto'!$J:$J,'Balancete MLN_WebPosto'!$C:$C,$A113,'Balancete MLN_WebPosto'!$B:$B,$B$2),
  "0"
)</f>
        <v>0</v>
      </c>
      <c r="L113" s="4" t="str">
        <f>IF(Balancete_Oficial[[#Headers],[Março]]='Balancete MLN_WebPosto'!$G$2,
SUMIFS('Balancete MLN_WebPosto'!$J:$J,'Balancete MLN_WebPosto'!$C:$C,$A113,'Balancete MLN_WebPosto'!$B:$B,$B$2),
  "0"
)</f>
        <v>0</v>
      </c>
      <c r="M113" s="4" t="str">
        <f>IF(Balancete_Oficial[[#Headers],[Abril]]='Balancete MLN_WebPosto'!$G$2,
SUMIFS('Balancete MLN_WebPosto'!$J:$J,'Balancete MLN_WebPosto'!$C:$C,$A113,'Balancete MLN_WebPosto'!$B:$B,$B$2),
  "0"
)</f>
        <v>0</v>
      </c>
      <c r="N113" s="4" t="str">
        <f>IF(Balancete_Oficial[[#Headers],[Maio]]='Balancete MLN_WebPosto'!$G$2,
SUMIFS('Balancete MLN_WebPosto'!$I:$I,'Balancete MLN_WebPosto'!$C:$C,$A113,'Balancete MLN_WebPosto'!$B:$B,$B$2),
  "0"
)</f>
        <v>0</v>
      </c>
      <c r="O113" s="4" t="str">
        <f>IF(Balancete_Oficial[[#Headers],[Junho]]='Balancete MLN_WebPosto'!$G$2,
SUMIFS('Balancete MLN_WebPosto'!$I:$I,'Balancete MLN_WebPosto'!$C:$C,$A113,'Balancete MLN_WebPosto'!$B:$B,$B$2),
  "0"
)</f>
        <v>0</v>
      </c>
      <c r="P113" s="4" t="str">
        <f>IF(Balancete_Oficial[[#Headers],[Julho]]='Balancete MLN_WebPosto'!$G$2,
SUMIFS('Balancete MLN_WebPosto'!$I:$I,'Balancete MLN_WebPosto'!$C:$C,$A113,'Balancete MLN_WebPosto'!$B:$B,$B$2),
  "0"
)</f>
        <v>0</v>
      </c>
      <c r="Q113" s="4" t="str">
        <f>IF(Balancete_Oficial[[#Headers],[Agosto]]='Balancete MLN_WebPosto'!$G$2,
SUMIFS('Balancete MLN_WebPosto'!$I:$I,'Balancete MLN_WebPosto'!$C:$C,$A113,'Balancete MLN_WebPosto'!$B:$B,$B$2),
  "0"
)</f>
        <v>0</v>
      </c>
      <c r="R113" s="4">
        <f>IF(Balancete_Oficial[[#Headers],[Setembro]]='Balancete MLN_WebPosto'!$G$2,
SUMIFS('Balancete MLN_WebPosto'!$I:$I,'Balancete MLN_WebPosto'!$C:$C,$A113,'Balancete MLN_WebPosto'!$B:$B,$B$2),
  "0"
)</f>
        <v>0</v>
      </c>
      <c r="S113" s="4" t="str">
        <f>IF(Balancete_Oficial[[#Headers],[Outubro]]='Balancete MLN_WebPosto'!$G$2,
SUMIFS('Balancete MLN_WebPosto'!$I:$I,'Balancete MLN_WebPosto'!$C:$C,$A113,'Balancete MLN_WebPosto'!$B:$B,$B$2),
  "0"
)</f>
        <v>0</v>
      </c>
      <c r="T113" s="4" t="str">
        <f>IF(Balancete_Oficial[[#Headers],[Novembro]]='Balancete MLN_WebPosto'!$G$2,
SUMIFS('Balancete MLN_WebPosto'!$I:$I,'Balancete MLN_WebPosto'!$C:$C,$A113,'Balancete MLN_WebPosto'!$B:$B,$B$2),
  "0"
)</f>
        <v>0</v>
      </c>
      <c r="U113" s="4" t="str">
        <f>IF(Balancete_Oficial[[#Headers],[Dezembro]]='Balancete MLN_WebPosto'!$G$2,
SUMIFS('Balancete MLN_WebPosto'!$I:$I,'Balancete MLN_WebPosto'!$C:$C,$A113,'Balancete MLN_WebPosto'!$B:$B,$B$2),
  "0"
)</f>
        <v>0</v>
      </c>
    </row>
    <row r="114" spans="1:21" s="2" customFormat="1" x14ac:dyDescent="0.25">
      <c r="A114" s="2" t="str">
        <f>IF(Dados!H111="","",Dados!H111)</f>
        <v/>
      </c>
      <c r="B114" s="2" t="e">
        <f>VLOOKUP(Balancete_Oficial[[#This Row],[Conta]],'Balancete MLN_WebPosto'!C:E,3,0)</f>
        <v>#N/A</v>
      </c>
      <c r="C114" s="3" t="str">
        <f t="shared" si="6"/>
        <v>Sintética</v>
      </c>
      <c r="D114" s="6" t="str">
        <f t="shared" si="7"/>
        <v>R</v>
      </c>
      <c r="E114" s="6" t="str">
        <f t="shared" si="8"/>
        <v/>
      </c>
      <c r="F114" s="6"/>
      <c r="G114" s="6"/>
      <c r="H114" s="6"/>
      <c r="I114" s="6"/>
      <c r="J114" s="4" t="str">
        <f>IF(Balancete_Oficial[[#Headers],[Janeiro]]='Balancete MLN_WebPosto'!$G$2,
SUMIFS('Balancete MLN_WebPosto'!$J:$J,'Balancete MLN_WebPosto'!$C:$C,$A114,'Balancete MLN_WebPosto'!$B:$B,$B$2),
  "0"
)</f>
        <v>0</v>
      </c>
      <c r="K114" s="4" t="str">
        <f>IF(Balancete_Oficial[[#Headers],[Fevereiro]]='Balancete MLN_WebPosto'!$G$2,
SUMIFS('Balancete MLN_WebPosto'!$J:$J,'Balancete MLN_WebPosto'!$C:$C,$A114,'Balancete MLN_WebPosto'!$B:$B,$B$2),
  "0"
)</f>
        <v>0</v>
      </c>
      <c r="L114" s="4" t="str">
        <f>IF(Balancete_Oficial[[#Headers],[Março]]='Balancete MLN_WebPosto'!$G$2,
SUMIFS('Balancete MLN_WebPosto'!$J:$J,'Balancete MLN_WebPosto'!$C:$C,$A114,'Balancete MLN_WebPosto'!$B:$B,$B$2),
  "0"
)</f>
        <v>0</v>
      </c>
      <c r="M114" s="4" t="str">
        <f>IF(Balancete_Oficial[[#Headers],[Abril]]='Balancete MLN_WebPosto'!$G$2,
SUMIFS('Balancete MLN_WebPosto'!$J:$J,'Balancete MLN_WebPosto'!$C:$C,$A114,'Balancete MLN_WebPosto'!$B:$B,$B$2),
  "0"
)</f>
        <v>0</v>
      </c>
      <c r="N114" s="4" t="str">
        <f>IF(Balancete_Oficial[[#Headers],[Maio]]='Balancete MLN_WebPosto'!$G$2,
SUMIFS('Balancete MLN_WebPosto'!$I:$I,'Balancete MLN_WebPosto'!$C:$C,$A114,'Balancete MLN_WebPosto'!$B:$B,$B$2),
  "0"
)</f>
        <v>0</v>
      </c>
      <c r="O114" s="4" t="str">
        <f>IF(Balancete_Oficial[[#Headers],[Junho]]='Balancete MLN_WebPosto'!$G$2,
SUMIFS('Balancete MLN_WebPosto'!$I:$I,'Balancete MLN_WebPosto'!$C:$C,$A114,'Balancete MLN_WebPosto'!$B:$B,$B$2),
  "0"
)</f>
        <v>0</v>
      </c>
      <c r="P114" s="4" t="str">
        <f>IF(Balancete_Oficial[[#Headers],[Julho]]='Balancete MLN_WebPosto'!$G$2,
SUMIFS('Balancete MLN_WebPosto'!$I:$I,'Balancete MLN_WebPosto'!$C:$C,$A114,'Balancete MLN_WebPosto'!$B:$B,$B$2),
  "0"
)</f>
        <v>0</v>
      </c>
      <c r="Q114" s="4" t="str">
        <f>IF(Balancete_Oficial[[#Headers],[Agosto]]='Balancete MLN_WebPosto'!$G$2,
SUMIFS('Balancete MLN_WebPosto'!$I:$I,'Balancete MLN_WebPosto'!$C:$C,$A114,'Balancete MLN_WebPosto'!$B:$B,$B$2),
  "0"
)</f>
        <v>0</v>
      </c>
      <c r="R114" s="4">
        <f>IF(Balancete_Oficial[[#Headers],[Setembro]]='Balancete MLN_WebPosto'!$G$2,
SUMIFS('Balancete MLN_WebPosto'!$I:$I,'Balancete MLN_WebPosto'!$C:$C,$A114,'Balancete MLN_WebPosto'!$B:$B,$B$2),
  "0"
)</f>
        <v>0</v>
      </c>
      <c r="S114" s="4" t="str">
        <f>IF(Balancete_Oficial[[#Headers],[Outubro]]='Balancete MLN_WebPosto'!$G$2,
SUMIFS('Balancete MLN_WebPosto'!$I:$I,'Balancete MLN_WebPosto'!$C:$C,$A114,'Balancete MLN_WebPosto'!$B:$B,$B$2),
  "0"
)</f>
        <v>0</v>
      </c>
      <c r="T114" s="4" t="str">
        <f>IF(Balancete_Oficial[[#Headers],[Novembro]]='Balancete MLN_WebPosto'!$G$2,
SUMIFS('Balancete MLN_WebPosto'!$I:$I,'Balancete MLN_WebPosto'!$C:$C,$A114,'Balancete MLN_WebPosto'!$B:$B,$B$2),
  "0"
)</f>
        <v>0</v>
      </c>
      <c r="U114" s="4" t="str">
        <f>IF(Balancete_Oficial[[#Headers],[Dezembro]]='Balancete MLN_WebPosto'!$G$2,
SUMIFS('Balancete MLN_WebPosto'!$I:$I,'Balancete MLN_WebPosto'!$C:$C,$A114,'Balancete MLN_WebPosto'!$B:$B,$B$2),
  "0"
)</f>
        <v>0</v>
      </c>
    </row>
    <row r="115" spans="1:21" s="2" customFormat="1" x14ac:dyDescent="0.25">
      <c r="A115" s="2" t="str">
        <f>IF(Dados!H112="","",Dados!H112)</f>
        <v/>
      </c>
      <c r="B115" s="2" t="e">
        <f>VLOOKUP(Balancete_Oficial[[#This Row],[Conta]],'Balancete MLN_WebPosto'!C:E,3,0)</f>
        <v>#N/A</v>
      </c>
      <c r="C115" s="3" t="str">
        <f t="shared" si="6"/>
        <v>Sintética</v>
      </c>
      <c r="D115" s="6" t="str">
        <f t="shared" si="7"/>
        <v>R</v>
      </c>
      <c r="E115" s="6" t="str">
        <f t="shared" si="8"/>
        <v/>
      </c>
      <c r="F115" s="6"/>
      <c r="G115" s="6"/>
      <c r="H115" s="6"/>
      <c r="I115" s="6"/>
      <c r="J115" s="4" t="str">
        <f>IF(Balancete_Oficial[[#Headers],[Janeiro]]='Balancete MLN_WebPosto'!$G$2,
SUMIFS('Balancete MLN_WebPosto'!$J:$J,'Balancete MLN_WebPosto'!$C:$C,$A115,'Balancete MLN_WebPosto'!$B:$B,$B$2),
  "0"
)</f>
        <v>0</v>
      </c>
      <c r="K115" s="4" t="str">
        <f>IF(Balancete_Oficial[[#Headers],[Fevereiro]]='Balancete MLN_WebPosto'!$G$2,
SUMIFS('Balancete MLN_WebPosto'!$J:$J,'Balancete MLN_WebPosto'!$C:$C,$A115,'Balancete MLN_WebPosto'!$B:$B,$B$2),
  "0"
)</f>
        <v>0</v>
      </c>
      <c r="L115" s="4" t="str">
        <f>IF(Balancete_Oficial[[#Headers],[Março]]='Balancete MLN_WebPosto'!$G$2,
SUMIFS('Balancete MLN_WebPosto'!$J:$J,'Balancete MLN_WebPosto'!$C:$C,$A115,'Balancete MLN_WebPosto'!$B:$B,$B$2),
  "0"
)</f>
        <v>0</v>
      </c>
      <c r="M115" s="4" t="str">
        <f>IF(Balancete_Oficial[[#Headers],[Abril]]='Balancete MLN_WebPosto'!$G$2,
SUMIFS('Balancete MLN_WebPosto'!$J:$J,'Balancete MLN_WebPosto'!$C:$C,$A115,'Balancete MLN_WebPosto'!$B:$B,$B$2),
  "0"
)</f>
        <v>0</v>
      </c>
      <c r="N115" s="4" t="str">
        <f>IF(Balancete_Oficial[[#Headers],[Maio]]='Balancete MLN_WebPosto'!$G$2,
SUMIFS('Balancete MLN_WebPosto'!$I:$I,'Balancete MLN_WebPosto'!$C:$C,$A115,'Balancete MLN_WebPosto'!$B:$B,$B$2),
  "0"
)</f>
        <v>0</v>
      </c>
      <c r="O115" s="4" t="str">
        <f>IF(Balancete_Oficial[[#Headers],[Junho]]='Balancete MLN_WebPosto'!$G$2,
SUMIFS('Balancete MLN_WebPosto'!$I:$I,'Balancete MLN_WebPosto'!$C:$C,$A115,'Balancete MLN_WebPosto'!$B:$B,$B$2),
  "0"
)</f>
        <v>0</v>
      </c>
      <c r="P115" s="4" t="str">
        <f>IF(Balancete_Oficial[[#Headers],[Julho]]='Balancete MLN_WebPosto'!$G$2,
SUMIFS('Balancete MLN_WebPosto'!$I:$I,'Balancete MLN_WebPosto'!$C:$C,$A115,'Balancete MLN_WebPosto'!$B:$B,$B$2),
  "0"
)</f>
        <v>0</v>
      </c>
      <c r="Q115" s="4" t="str">
        <f>IF(Balancete_Oficial[[#Headers],[Agosto]]='Balancete MLN_WebPosto'!$G$2,
SUMIFS('Balancete MLN_WebPosto'!$I:$I,'Balancete MLN_WebPosto'!$C:$C,$A115,'Balancete MLN_WebPosto'!$B:$B,$B$2),
  "0"
)</f>
        <v>0</v>
      </c>
      <c r="R115" s="4">
        <f>IF(Balancete_Oficial[[#Headers],[Setembro]]='Balancete MLN_WebPosto'!$G$2,
SUMIFS('Balancete MLN_WebPosto'!$I:$I,'Balancete MLN_WebPosto'!$C:$C,$A115,'Balancete MLN_WebPosto'!$B:$B,$B$2),
  "0"
)</f>
        <v>0</v>
      </c>
      <c r="S115" s="4" t="str">
        <f>IF(Balancete_Oficial[[#Headers],[Outubro]]='Balancete MLN_WebPosto'!$G$2,
SUMIFS('Balancete MLN_WebPosto'!$I:$I,'Balancete MLN_WebPosto'!$C:$C,$A115,'Balancete MLN_WebPosto'!$B:$B,$B$2),
  "0"
)</f>
        <v>0</v>
      </c>
      <c r="T115" s="4" t="str">
        <f>IF(Balancete_Oficial[[#Headers],[Novembro]]='Balancete MLN_WebPosto'!$G$2,
SUMIFS('Balancete MLN_WebPosto'!$I:$I,'Balancete MLN_WebPosto'!$C:$C,$A115,'Balancete MLN_WebPosto'!$B:$B,$B$2),
  "0"
)</f>
        <v>0</v>
      </c>
      <c r="U115" s="4" t="str">
        <f>IF(Balancete_Oficial[[#Headers],[Dezembro]]='Balancete MLN_WebPosto'!$G$2,
SUMIFS('Balancete MLN_WebPosto'!$I:$I,'Balancete MLN_WebPosto'!$C:$C,$A115,'Balancete MLN_WebPosto'!$B:$B,$B$2),
  "0"
)</f>
        <v>0</v>
      </c>
    </row>
    <row r="116" spans="1:21" s="2" customFormat="1" x14ac:dyDescent="0.25">
      <c r="A116" s="2" t="str">
        <f>IF(Dados!H113="","",Dados!H113)</f>
        <v/>
      </c>
      <c r="B116" s="2" t="e">
        <f>VLOOKUP(Balancete_Oficial[[#This Row],[Conta]],'Balancete MLN_WebPosto'!C:E,3,0)</f>
        <v>#N/A</v>
      </c>
      <c r="C116" s="3" t="str">
        <f t="shared" si="6"/>
        <v>Sintética</v>
      </c>
      <c r="D116" s="6" t="str">
        <f t="shared" si="7"/>
        <v>R</v>
      </c>
      <c r="E116" s="6" t="str">
        <f t="shared" si="8"/>
        <v/>
      </c>
      <c r="F116" s="6"/>
      <c r="G116" s="6"/>
      <c r="H116" s="6"/>
      <c r="I116" s="6"/>
      <c r="J116" s="4" t="str">
        <f>IF(Balancete_Oficial[[#Headers],[Janeiro]]='Balancete MLN_WebPosto'!$G$2,
SUMIFS('Balancete MLN_WebPosto'!$J:$J,'Balancete MLN_WebPosto'!$C:$C,$A116,'Balancete MLN_WebPosto'!$B:$B,$B$2),
  "0"
)</f>
        <v>0</v>
      </c>
      <c r="K116" s="4" t="str">
        <f>IF(Balancete_Oficial[[#Headers],[Fevereiro]]='Balancete MLN_WebPosto'!$G$2,
SUMIFS('Balancete MLN_WebPosto'!$J:$J,'Balancete MLN_WebPosto'!$C:$C,$A116,'Balancete MLN_WebPosto'!$B:$B,$B$2),
  "0"
)</f>
        <v>0</v>
      </c>
      <c r="L116" s="4" t="str">
        <f>IF(Balancete_Oficial[[#Headers],[Março]]='Balancete MLN_WebPosto'!$G$2,
SUMIFS('Balancete MLN_WebPosto'!$J:$J,'Balancete MLN_WebPosto'!$C:$C,$A116,'Balancete MLN_WebPosto'!$B:$B,$B$2),
  "0"
)</f>
        <v>0</v>
      </c>
      <c r="M116" s="4" t="str">
        <f>IF(Balancete_Oficial[[#Headers],[Abril]]='Balancete MLN_WebPosto'!$G$2,
SUMIFS('Balancete MLN_WebPosto'!$J:$J,'Balancete MLN_WebPosto'!$C:$C,$A116,'Balancete MLN_WebPosto'!$B:$B,$B$2),
  "0"
)</f>
        <v>0</v>
      </c>
      <c r="N116" s="4" t="str">
        <f>IF(Balancete_Oficial[[#Headers],[Maio]]='Balancete MLN_WebPosto'!$G$2,
SUMIFS('Balancete MLN_WebPosto'!$I:$I,'Balancete MLN_WebPosto'!$C:$C,$A116,'Balancete MLN_WebPosto'!$B:$B,$B$2),
  "0"
)</f>
        <v>0</v>
      </c>
      <c r="O116" s="4" t="str">
        <f>IF(Balancete_Oficial[[#Headers],[Junho]]='Balancete MLN_WebPosto'!$G$2,
SUMIFS('Balancete MLN_WebPosto'!$I:$I,'Balancete MLN_WebPosto'!$C:$C,$A116,'Balancete MLN_WebPosto'!$B:$B,$B$2),
  "0"
)</f>
        <v>0</v>
      </c>
      <c r="P116" s="4" t="str">
        <f>IF(Balancete_Oficial[[#Headers],[Julho]]='Balancete MLN_WebPosto'!$G$2,
SUMIFS('Balancete MLN_WebPosto'!$I:$I,'Balancete MLN_WebPosto'!$C:$C,$A116,'Balancete MLN_WebPosto'!$B:$B,$B$2),
  "0"
)</f>
        <v>0</v>
      </c>
      <c r="Q116" s="4" t="str">
        <f>IF(Balancete_Oficial[[#Headers],[Agosto]]='Balancete MLN_WebPosto'!$G$2,
SUMIFS('Balancete MLN_WebPosto'!$I:$I,'Balancete MLN_WebPosto'!$C:$C,$A116,'Balancete MLN_WebPosto'!$B:$B,$B$2),
  "0"
)</f>
        <v>0</v>
      </c>
      <c r="R116" s="4">
        <f>IF(Balancete_Oficial[[#Headers],[Setembro]]='Balancete MLN_WebPosto'!$G$2,
SUMIFS('Balancete MLN_WebPosto'!$I:$I,'Balancete MLN_WebPosto'!$C:$C,$A116,'Balancete MLN_WebPosto'!$B:$B,$B$2),
  "0"
)</f>
        <v>0</v>
      </c>
      <c r="S116" s="4" t="str">
        <f>IF(Balancete_Oficial[[#Headers],[Outubro]]='Balancete MLN_WebPosto'!$G$2,
SUMIFS('Balancete MLN_WebPosto'!$I:$I,'Balancete MLN_WebPosto'!$C:$C,$A116,'Balancete MLN_WebPosto'!$B:$B,$B$2),
  "0"
)</f>
        <v>0</v>
      </c>
      <c r="T116" s="4" t="str">
        <f>IF(Balancete_Oficial[[#Headers],[Novembro]]='Balancete MLN_WebPosto'!$G$2,
SUMIFS('Balancete MLN_WebPosto'!$I:$I,'Balancete MLN_WebPosto'!$C:$C,$A116,'Balancete MLN_WebPosto'!$B:$B,$B$2),
  "0"
)</f>
        <v>0</v>
      </c>
      <c r="U116" s="4" t="str">
        <f>IF(Balancete_Oficial[[#Headers],[Dezembro]]='Balancete MLN_WebPosto'!$G$2,
SUMIFS('Balancete MLN_WebPosto'!$I:$I,'Balancete MLN_WebPosto'!$C:$C,$A116,'Balancete MLN_WebPosto'!$B:$B,$B$2),
  "0"
)</f>
        <v>0</v>
      </c>
    </row>
    <row r="117" spans="1:21" s="2" customFormat="1" x14ac:dyDescent="0.25">
      <c r="A117" s="2" t="str">
        <f>IF(Dados!H114="","",Dados!H114)</f>
        <v/>
      </c>
      <c r="B117" s="2" t="e">
        <f>VLOOKUP(Balancete_Oficial[[#This Row],[Conta]],'Balancete MLN_WebPosto'!C:E,3,0)</f>
        <v>#N/A</v>
      </c>
      <c r="C117" s="3" t="str">
        <f t="shared" si="6"/>
        <v>Sintética</v>
      </c>
      <c r="D117" s="6" t="str">
        <f t="shared" si="7"/>
        <v>R</v>
      </c>
      <c r="E117" s="6" t="str">
        <f t="shared" si="8"/>
        <v/>
      </c>
      <c r="F117" s="6"/>
      <c r="G117" s="6"/>
      <c r="H117" s="6"/>
      <c r="I117" s="6"/>
      <c r="J117" s="4" t="str">
        <f>IF(Balancete_Oficial[[#Headers],[Janeiro]]='Balancete MLN_WebPosto'!$G$2,
SUMIFS('Balancete MLN_WebPosto'!$J:$J,'Balancete MLN_WebPosto'!$C:$C,$A117,'Balancete MLN_WebPosto'!$B:$B,$B$2),
  "0"
)</f>
        <v>0</v>
      </c>
      <c r="K117" s="4" t="str">
        <f>IF(Balancete_Oficial[[#Headers],[Fevereiro]]='Balancete MLN_WebPosto'!$G$2,
SUMIFS('Balancete MLN_WebPosto'!$J:$J,'Balancete MLN_WebPosto'!$C:$C,$A117,'Balancete MLN_WebPosto'!$B:$B,$B$2),
  "0"
)</f>
        <v>0</v>
      </c>
      <c r="L117" s="4" t="str">
        <f>IF(Balancete_Oficial[[#Headers],[Março]]='Balancete MLN_WebPosto'!$G$2,
SUMIFS('Balancete MLN_WebPosto'!$J:$J,'Balancete MLN_WebPosto'!$C:$C,$A117,'Balancete MLN_WebPosto'!$B:$B,$B$2),
  "0"
)</f>
        <v>0</v>
      </c>
      <c r="M117" s="4" t="str">
        <f>IF(Balancete_Oficial[[#Headers],[Abril]]='Balancete MLN_WebPosto'!$G$2,
SUMIFS('Balancete MLN_WebPosto'!$J:$J,'Balancete MLN_WebPosto'!$C:$C,$A117,'Balancete MLN_WebPosto'!$B:$B,$B$2),
  "0"
)</f>
        <v>0</v>
      </c>
      <c r="N117" s="4" t="str">
        <f>IF(Balancete_Oficial[[#Headers],[Maio]]='Balancete MLN_WebPosto'!$G$2,
SUMIFS('Balancete MLN_WebPosto'!$I:$I,'Balancete MLN_WebPosto'!$C:$C,$A117,'Balancete MLN_WebPosto'!$B:$B,$B$2),
  "0"
)</f>
        <v>0</v>
      </c>
      <c r="O117" s="4" t="str">
        <f>IF(Balancete_Oficial[[#Headers],[Junho]]='Balancete MLN_WebPosto'!$G$2,
SUMIFS('Balancete MLN_WebPosto'!$I:$I,'Balancete MLN_WebPosto'!$C:$C,$A117,'Balancete MLN_WebPosto'!$B:$B,$B$2),
  "0"
)</f>
        <v>0</v>
      </c>
      <c r="P117" s="4" t="str">
        <f>IF(Balancete_Oficial[[#Headers],[Julho]]='Balancete MLN_WebPosto'!$G$2,
SUMIFS('Balancete MLN_WebPosto'!$I:$I,'Balancete MLN_WebPosto'!$C:$C,$A117,'Balancete MLN_WebPosto'!$B:$B,$B$2),
  "0"
)</f>
        <v>0</v>
      </c>
      <c r="Q117" s="4" t="str">
        <f>IF(Balancete_Oficial[[#Headers],[Agosto]]='Balancete MLN_WebPosto'!$G$2,
SUMIFS('Balancete MLN_WebPosto'!$I:$I,'Balancete MLN_WebPosto'!$C:$C,$A117,'Balancete MLN_WebPosto'!$B:$B,$B$2),
  "0"
)</f>
        <v>0</v>
      </c>
      <c r="R117" s="4">
        <f>IF(Balancete_Oficial[[#Headers],[Setembro]]='Balancete MLN_WebPosto'!$G$2,
SUMIFS('Balancete MLN_WebPosto'!$I:$I,'Balancete MLN_WebPosto'!$C:$C,$A117,'Balancete MLN_WebPosto'!$B:$B,$B$2),
  "0"
)</f>
        <v>0</v>
      </c>
      <c r="S117" s="4" t="str">
        <f>IF(Balancete_Oficial[[#Headers],[Outubro]]='Balancete MLN_WebPosto'!$G$2,
SUMIFS('Balancete MLN_WebPosto'!$I:$I,'Balancete MLN_WebPosto'!$C:$C,$A117,'Balancete MLN_WebPosto'!$B:$B,$B$2),
  "0"
)</f>
        <v>0</v>
      </c>
      <c r="T117" s="4" t="str">
        <f>IF(Balancete_Oficial[[#Headers],[Novembro]]='Balancete MLN_WebPosto'!$G$2,
SUMIFS('Balancete MLN_WebPosto'!$I:$I,'Balancete MLN_WebPosto'!$C:$C,$A117,'Balancete MLN_WebPosto'!$B:$B,$B$2),
  "0"
)</f>
        <v>0</v>
      </c>
      <c r="U117" s="4" t="str">
        <f>IF(Balancete_Oficial[[#Headers],[Dezembro]]='Balancete MLN_WebPosto'!$G$2,
SUMIFS('Balancete MLN_WebPosto'!$I:$I,'Balancete MLN_WebPosto'!$C:$C,$A117,'Balancete MLN_WebPosto'!$B:$B,$B$2),
  "0"
)</f>
        <v>0</v>
      </c>
    </row>
    <row r="118" spans="1:21" s="2" customFormat="1" x14ac:dyDescent="0.25">
      <c r="A118" s="2" t="str">
        <f>IF(Dados!H115="","",Dados!H115)</f>
        <v/>
      </c>
      <c r="B118" s="2" t="e">
        <f>VLOOKUP(Balancete_Oficial[[#This Row],[Conta]],'Balancete MLN_WebPosto'!C:E,3,0)</f>
        <v>#N/A</v>
      </c>
      <c r="C118" s="3" t="str">
        <f t="shared" si="6"/>
        <v>Sintética</v>
      </c>
      <c r="D118" s="6" t="str">
        <f t="shared" si="7"/>
        <v>R</v>
      </c>
      <c r="E118" s="6" t="str">
        <f t="shared" si="8"/>
        <v/>
      </c>
      <c r="F118" s="6"/>
      <c r="G118" s="6"/>
      <c r="H118" s="6"/>
      <c r="I118" s="6"/>
      <c r="J118" s="4" t="str">
        <f>IF(Balancete_Oficial[[#Headers],[Janeiro]]='Balancete MLN_WebPosto'!$G$2,
SUMIFS('Balancete MLN_WebPosto'!$J:$J,'Balancete MLN_WebPosto'!$C:$C,$A118,'Balancete MLN_WebPosto'!$B:$B,$B$2),
  "0"
)</f>
        <v>0</v>
      </c>
      <c r="K118" s="4" t="str">
        <f>IF(Balancete_Oficial[[#Headers],[Fevereiro]]='Balancete MLN_WebPosto'!$G$2,
SUMIFS('Balancete MLN_WebPosto'!$J:$J,'Balancete MLN_WebPosto'!$C:$C,$A118,'Balancete MLN_WebPosto'!$B:$B,$B$2),
  "0"
)</f>
        <v>0</v>
      </c>
      <c r="L118" s="4" t="str">
        <f>IF(Balancete_Oficial[[#Headers],[Março]]='Balancete MLN_WebPosto'!$G$2,
SUMIFS('Balancete MLN_WebPosto'!$J:$J,'Balancete MLN_WebPosto'!$C:$C,$A118,'Balancete MLN_WebPosto'!$B:$B,$B$2),
  "0"
)</f>
        <v>0</v>
      </c>
      <c r="M118" s="4" t="str">
        <f>IF(Balancete_Oficial[[#Headers],[Abril]]='Balancete MLN_WebPosto'!$G$2,
SUMIFS('Balancete MLN_WebPosto'!$J:$J,'Balancete MLN_WebPosto'!$C:$C,$A118,'Balancete MLN_WebPosto'!$B:$B,$B$2),
  "0"
)</f>
        <v>0</v>
      </c>
      <c r="N118" s="4" t="str">
        <f>IF(Balancete_Oficial[[#Headers],[Maio]]='Balancete MLN_WebPosto'!$G$2,
SUMIFS('Balancete MLN_WebPosto'!$I:$I,'Balancete MLN_WebPosto'!$C:$C,$A118,'Balancete MLN_WebPosto'!$B:$B,$B$2),
  "0"
)</f>
        <v>0</v>
      </c>
      <c r="O118" s="4" t="str">
        <f>IF(Balancete_Oficial[[#Headers],[Junho]]='Balancete MLN_WebPosto'!$G$2,
SUMIFS('Balancete MLN_WebPosto'!$I:$I,'Balancete MLN_WebPosto'!$C:$C,$A118,'Balancete MLN_WebPosto'!$B:$B,$B$2),
  "0"
)</f>
        <v>0</v>
      </c>
      <c r="P118" s="4" t="str">
        <f>IF(Balancete_Oficial[[#Headers],[Julho]]='Balancete MLN_WebPosto'!$G$2,
SUMIFS('Balancete MLN_WebPosto'!$I:$I,'Balancete MLN_WebPosto'!$C:$C,$A118,'Balancete MLN_WebPosto'!$B:$B,$B$2),
  "0"
)</f>
        <v>0</v>
      </c>
      <c r="Q118" s="4" t="str">
        <f>IF(Balancete_Oficial[[#Headers],[Agosto]]='Balancete MLN_WebPosto'!$G$2,
SUMIFS('Balancete MLN_WebPosto'!$I:$I,'Balancete MLN_WebPosto'!$C:$C,$A118,'Balancete MLN_WebPosto'!$B:$B,$B$2),
  "0"
)</f>
        <v>0</v>
      </c>
      <c r="R118" s="4">
        <f>IF(Balancete_Oficial[[#Headers],[Setembro]]='Balancete MLN_WebPosto'!$G$2,
SUMIFS('Balancete MLN_WebPosto'!$I:$I,'Balancete MLN_WebPosto'!$C:$C,$A118,'Balancete MLN_WebPosto'!$B:$B,$B$2),
  "0"
)</f>
        <v>0</v>
      </c>
      <c r="S118" s="4" t="str">
        <f>IF(Balancete_Oficial[[#Headers],[Outubro]]='Balancete MLN_WebPosto'!$G$2,
SUMIFS('Balancete MLN_WebPosto'!$I:$I,'Balancete MLN_WebPosto'!$C:$C,$A118,'Balancete MLN_WebPosto'!$B:$B,$B$2),
  "0"
)</f>
        <v>0</v>
      </c>
      <c r="T118" s="4" t="str">
        <f>IF(Balancete_Oficial[[#Headers],[Novembro]]='Balancete MLN_WebPosto'!$G$2,
SUMIFS('Balancete MLN_WebPosto'!$I:$I,'Balancete MLN_WebPosto'!$C:$C,$A118,'Balancete MLN_WebPosto'!$B:$B,$B$2),
  "0"
)</f>
        <v>0</v>
      </c>
      <c r="U118" s="4" t="str">
        <f>IF(Balancete_Oficial[[#Headers],[Dezembro]]='Balancete MLN_WebPosto'!$G$2,
SUMIFS('Balancete MLN_WebPosto'!$I:$I,'Balancete MLN_WebPosto'!$C:$C,$A118,'Balancete MLN_WebPosto'!$B:$B,$B$2),
  "0"
)</f>
        <v>0</v>
      </c>
    </row>
    <row r="119" spans="1:21" s="2" customFormat="1" x14ac:dyDescent="0.25">
      <c r="A119" s="2" t="str">
        <f>IF(Dados!H116="","",Dados!H116)</f>
        <v/>
      </c>
      <c r="B119" s="2" t="e">
        <f>VLOOKUP(Balancete_Oficial[[#This Row],[Conta]],'Balancete MLN_WebPosto'!C:E,3,0)</f>
        <v>#N/A</v>
      </c>
      <c r="C119" s="3" t="str">
        <f t="shared" si="6"/>
        <v>Sintética</v>
      </c>
      <c r="D119" s="6" t="str">
        <f t="shared" si="7"/>
        <v>R</v>
      </c>
      <c r="E119" s="6" t="str">
        <f t="shared" si="8"/>
        <v/>
      </c>
      <c r="F119" s="6"/>
      <c r="G119" s="6"/>
      <c r="H119" s="6"/>
      <c r="I119" s="6"/>
      <c r="J119" s="4" t="str">
        <f>IF(Balancete_Oficial[[#Headers],[Janeiro]]='Balancete MLN_WebPosto'!$G$2,
SUMIFS('Balancete MLN_WebPosto'!$J:$J,'Balancete MLN_WebPosto'!$C:$C,$A119,'Balancete MLN_WebPosto'!$B:$B,$B$2),
  "0"
)</f>
        <v>0</v>
      </c>
      <c r="K119" s="4" t="str">
        <f>IF(Balancete_Oficial[[#Headers],[Fevereiro]]='Balancete MLN_WebPosto'!$G$2,
SUMIFS('Balancete MLN_WebPosto'!$J:$J,'Balancete MLN_WebPosto'!$C:$C,$A119,'Balancete MLN_WebPosto'!$B:$B,$B$2),
  "0"
)</f>
        <v>0</v>
      </c>
      <c r="L119" s="4" t="str">
        <f>IF(Balancete_Oficial[[#Headers],[Março]]='Balancete MLN_WebPosto'!$G$2,
SUMIFS('Balancete MLN_WebPosto'!$J:$J,'Balancete MLN_WebPosto'!$C:$C,$A119,'Balancete MLN_WebPosto'!$B:$B,$B$2),
  "0"
)</f>
        <v>0</v>
      </c>
      <c r="M119" s="4" t="str">
        <f>IF(Balancete_Oficial[[#Headers],[Abril]]='Balancete MLN_WebPosto'!$G$2,
SUMIFS('Balancete MLN_WebPosto'!$J:$J,'Balancete MLN_WebPosto'!$C:$C,$A119,'Balancete MLN_WebPosto'!$B:$B,$B$2),
  "0"
)</f>
        <v>0</v>
      </c>
      <c r="N119" s="4" t="str">
        <f>IF(Balancete_Oficial[[#Headers],[Maio]]='Balancete MLN_WebPosto'!$G$2,
SUMIFS('Balancete MLN_WebPosto'!$I:$I,'Balancete MLN_WebPosto'!$C:$C,$A119,'Balancete MLN_WebPosto'!$B:$B,$B$2),
  "0"
)</f>
        <v>0</v>
      </c>
      <c r="O119" s="4" t="str">
        <f>IF(Balancete_Oficial[[#Headers],[Junho]]='Balancete MLN_WebPosto'!$G$2,
SUMIFS('Balancete MLN_WebPosto'!$I:$I,'Balancete MLN_WebPosto'!$C:$C,$A119,'Balancete MLN_WebPosto'!$B:$B,$B$2),
  "0"
)</f>
        <v>0</v>
      </c>
      <c r="P119" s="4" t="str">
        <f>IF(Balancete_Oficial[[#Headers],[Julho]]='Balancete MLN_WebPosto'!$G$2,
SUMIFS('Balancete MLN_WebPosto'!$I:$I,'Balancete MLN_WebPosto'!$C:$C,$A119,'Balancete MLN_WebPosto'!$B:$B,$B$2),
  "0"
)</f>
        <v>0</v>
      </c>
      <c r="Q119" s="4" t="str">
        <f>IF(Balancete_Oficial[[#Headers],[Agosto]]='Balancete MLN_WebPosto'!$G$2,
SUMIFS('Balancete MLN_WebPosto'!$I:$I,'Balancete MLN_WebPosto'!$C:$C,$A119,'Balancete MLN_WebPosto'!$B:$B,$B$2),
  "0"
)</f>
        <v>0</v>
      </c>
      <c r="R119" s="4">
        <f>IF(Balancete_Oficial[[#Headers],[Setembro]]='Balancete MLN_WebPosto'!$G$2,
SUMIFS('Balancete MLN_WebPosto'!$I:$I,'Balancete MLN_WebPosto'!$C:$C,$A119,'Balancete MLN_WebPosto'!$B:$B,$B$2),
  "0"
)</f>
        <v>0</v>
      </c>
      <c r="S119" s="4" t="str">
        <f>IF(Balancete_Oficial[[#Headers],[Outubro]]='Balancete MLN_WebPosto'!$G$2,
SUMIFS('Balancete MLN_WebPosto'!$I:$I,'Balancete MLN_WebPosto'!$C:$C,$A119,'Balancete MLN_WebPosto'!$B:$B,$B$2),
  "0"
)</f>
        <v>0</v>
      </c>
      <c r="T119" s="4" t="str">
        <f>IF(Balancete_Oficial[[#Headers],[Novembro]]='Balancete MLN_WebPosto'!$G$2,
SUMIFS('Balancete MLN_WebPosto'!$I:$I,'Balancete MLN_WebPosto'!$C:$C,$A119,'Balancete MLN_WebPosto'!$B:$B,$B$2),
  "0"
)</f>
        <v>0</v>
      </c>
      <c r="U119" s="4" t="str">
        <f>IF(Balancete_Oficial[[#Headers],[Dezembro]]='Balancete MLN_WebPosto'!$G$2,
SUMIFS('Balancete MLN_WebPosto'!$I:$I,'Balancete MLN_WebPosto'!$C:$C,$A119,'Balancete MLN_WebPosto'!$B:$B,$B$2),
  "0"
)</f>
        <v>0</v>
      </c>
    </row>
    <row r="120" spans="1:21" s="2" customFormat="1" x14ac:dyDescent="0.25">
      <c r="A120" s="2" t="str">
        <f>IF(Dados!H117="","",Dados!H117)</f>
        <v/>
      </c>
      <c r="B120" s="2" t="e">
        <f>VLOOKUP(Balancete_Oficial[[#This Row],[Conta]],'Balancete MLN_WebPosto'!C:E,3,0)</f>
        <v>#N/A</v>
      </c>
      <c r="C120" s="3" t="str">
        <f t="shared" si="6"/>
        <v>Sintética</v>
      </c>
      <c r="D120" s="6" t="str">
        <f t="shared" si="7"/>
        <v>R</v>
      </c>
      <c r="E120" s="6" t="str">
        <f t="shared" si="8"/>
        <v/>
      </c>
      <c r="F120" s="6"/>
      <c r="G120" s="6"/>
      <c r="H120" s="6"/>
      <c r="I120" s="6"/>
      <c r="J120" s="4" t="str">
        <f>IF(Balancete_Oficial[[#Headers],[Janeiro]]='Balancete MLN_WebPosto'!$G$2,
SUMIFS('Balancete MLN_WebPosto'!$J:$J,'Balancete MLN_WebPosto'!$C:$C,$A120,'Balancete MLN_WebPosto'!$B:$B,$B$2),
  "0"
)</f>
        <v>0</v>
      </c>
      <c r="K120" s="4" t="str">
        <f>IF(Balancete_Oficial[[#Headers],[Fevereiro]]='Balancete MLN_WebPosto'!$G$2,
SUMIFS('Balancete MLN_WebPosto'!$J:$J,'Balancete MLN_WebPosto'!$C:$C,$A120,'Balancete MLN_WebPosto'!$B:$B,$B$2),
  "0"
)</f>
        <v>0</v>
      </c>
      <c r="L120" s="4" t="str">
        <f>IF(Balancete_Oficial[[#Headers],[Março]]='Balancete MLN_WebPosto'!$G$2,
SUMIFS('Balancete MLN_WebPosto'!$J:$J,'Balancete MLN_WebPosto'!$C:$C,$A120,'Balancete MLN_WebPosto'!$B:$B,$B$2),
  "0"
)</f>
        <v>0</v>
      </c>
      <c r="M120" s="4" t="str">
        <f>IF(Balancete_Oficial[[#Headers],[Abril]]='Balancete MLN_WebPosto'!$G$2,
SUMIFS('Balancete MLN_WebPosto'!$J:$J,'Balancete MLN_WebPosto'!$C:$C,$A120,'Balancete MLN_WebPosto'!$B:$B,$B$2),
  "0"
)</f>
        <v>0</v>
      </c>
      <c r="N120" s="4" t="str">
        <f>IF(Balancete_Oficial[[#Headers],[Maio]]='Balancete MLN_WebPosto'!$G$2,
SUMIFS('Balancete MLN_WebPosto'!$I:$I,'Balancete MLN_WebPosto'!$C:$C,$A120,'Balancete MLN_WebPosto'!$B:$B,$B$2),
  "0"
)</f>
        <v>0</v>
      </c>
      <c r="O120" s="4" t="str">
        <f>IF(Balancete_Oficial[[#Headers],[Junho]]='Balancete MLN_WebPosto'!$G$2,
SUMIFS('Balancete MLN_WebPosto'!$I:$I,'Balancete MLN_WebPosto'!$C:$C,$A120,'Balancete MLN_WebPosto'!$B:$B,$B$2),
  "0"
)</f>
        <v>0</v>
      </c>
      <c r="P120" s="4" t="str">
        <f>IF(Balancete_Oficial[[#Headers],[Julho]]='Balancete MLN_WebPosto'!$G$2,
SUMIFS('Balancete MLN_WebPosto'!$I:$I,'Balancete MLN_WebPosto'!$C:$C,$A120,'Balancete MLN_WebPosto'!$B:$B,$B$2),
  "0"
)</f>
        <v>0</v>
      </c>
      <c r="Q120" s="4" t="str">
        <f>IF(Balancete_Oficial[[#Headers],[Agosto]]='Balancete MLN_WebPosto'!$G$2,
SUMIFS('Balancete MLN_WebPosto'!$I:$I,'Balancete MLN_WebPosto'!$C:$C,$A120,'Balancete MLN_WebPosto'!$B:$B,$B$2),
  "0"
)</f>
        <v>0</v>
      </c>
      <c r="R120" s="4">
        <f>IF(Balancete_Oficial[[#Headers],[Setembro]]='Balancete MLN_WebPosto'!$G$2,
SUMIFS('Balancete MLN_WebPosto'!$I:$I,'Balancete MLN_WebPosto'!$C:$C,$A120,'Balancete MLN_WebPosto'!$B:$B,$B$2),
  "0"
)</f>
        <v>0</v>
      </c>
      <c r="S120" s="4" t="str">
        <f>IF(Balancete_Oficial[[#Headers],[Outubro]]='Balancete MLN_WebPosto'!$G$2,
SUMIFS('Balancete MLN_WebPosto'!$I:$I,'Balancete MLN_WebPosto'!$C:$C,$A120,'Balancete MLN_WebPosto'!$B:$B,$B$2),
  "0"
)</f>
        <v>0</v>
      </c>
      <c r="T120" s="4" t="str">
        <f>IF(Balancete_Oficial[[#Headers],[Novembro]]='Balancete MLN_WebPosto'!$G$2,
SUMIFS('Balancete MLN_WebPosto'!$I:$I,'Balancete MLN_WebPosto'!$C:$C,$A120,'Balancete MLN_WebPosto'!$B:$B,$B$2),
  "0"
)</f>
        <v>0</v>
      </c>
      <c r="U120" s="4" t="str">
        <f>IF(Balancete_Oficial[[#Headers],[Dezembro]]='Balancete MLN_WebPosto'!$G$2,
SUMIFS('Balancete MLN_WebPosto'!$I:$I,'Balancete MLN_WebPosto'!$C:$C,$A120,'Balancete MLN_WebPosto'!$B:$B,$B$2),
  "0"
)</f>
        <v>0</v>
      </c>
    </row>
    <row r="121" spans="1:21" s="2" customFormat="1" x14ac:dyDescent="0.25">
      <c r="A121" s="2" t="str">
        <f>IF(Dados!H118="","",Dados!H118)</f>
        <v/>
      </c>
      <c r="B121" s="2" t="e">
        <f>VLOOKUP(Balancete_Oficial[[#This Row],[Conta]],'Balancete MLN_WebPosto'!C:E,3,0)</f>
        <v>#N/A</v>
      </c>
      <c r="C121" s="3" t="str">
        <f t="shared" si="6"/>
        <v>Sintética</v>
      </c>
      <c r="D121" s="6" t="str">
        <f t="shared" si="7"/>
        <v>R</v>
      </c>
      <c r="E121" s="6" t="str">
        <f t="shared" si="8"/>
        <v/>
      </c>
      <c r="F121" s="6"/>
      <c r="G121" s="6"/>
      <c r="H121" s="6"/>
      <c r="I121" s="6"/>
      <c r="J121" s="4" t="str">
        <f>IF(Balancete_Oficial[[#Headers],[Janeiro]]='Balancete MLN_WebPosto'!$G$2,
SUMIFS('Balancete MLN_WebPosto'!$J:$J,'Balancete MLN_WebPosto'!$C:$C,$A121,'Balancete MLN_WebPosto'!$B:$B,$B$2),
  "0"
)</f>
        <v>0</v>
      </c>
      <c r="K121" s="4" t="str">
        <f>IF(Balancete_Oficial[[#Headers],[Fevereiro]]='Balancete MLN_WebPosto'!$G$2,
SUMIFS('Balancete MLN_WebPosto'!$J:$J,'Balancete MLN_WebPosto'!$C:$C,$A121,'Balancete MLN_WebPosto'!$B:$B,$B$2),
  "0"
)</f>
        <v>0</v>
      </c>
      <c r="L121" s="4" t="str">
        <f>IF(Balancete_Oficial[[#Headers],[Março]]='Balancete MLN_WebPosto'!$G$2,
SUMIFS('Balancete MLN_WebPosto'!$J:$J,'Balancete MLN_WebPosto'!$C:$C,$A121,'Balancete MLN_WebPosto'!$B:$B,$B$2),
  "0"
)</f>
        <v>0</v>
      </c>
      <c r="M121" s="4" t="str">
        <f>IF(Balancete_Oficial[[#Headers],[Abril]]='Balancete MLN_WebPosto'!$G$2,
SUMIFS('Balancete MLN_WebPosto'!$J:$J,'Balancete MLN_WebPosto'!$C:$C,$A121,'Balancete MLN_WebPosto'!$B:$B,$B$2),
  "0"
)</f>
        <v>0</v>
      </c>
      <c r="N121" s="4" t="str">
        <f>IF(Balancete_Oficial[[#Headers],[Maio]]='Balancete MLN_WebPosto'!$G$2,
SUMIFS('Balancete MLN_WebPosto'!$I:$I,'Balancete MLN_WebPosto'!$C:$C,$A121,'Balancete MLN_WebPosto'!$B:$B,$B$2),
  "0"
)</f>
        <v>0</v>
      </c>
      <c r="O121" s="4" t="str">
        <f>IF(Balancete_Oficial[[#Headers],[Junho]]='Balancete MLN_WebPosto'!$G$2,
SUMIFS('Balancete MLN_WebPosto'!$I:$I,'Balancete MLN_WebPosto'!$C:$C,$A121,'Balancete MLN_WebPosto'!$B:$B,$B$2),
  "0"
)</f>
        <v>0</v>
      </c>
      <c r="P121" s="4" t="str">
        <f>IF(Balancete_Oficial[[#Headers],[Julho]]='Balancete MLN_WebPosto'!$G$2,
SUMIFS('Balancete MLN_WebPosto'!$I:$I,'Balancete MLN_WebPosto'!$C:$C,$A121,'Balancete MLN_WebPosto'!$B:$B,$B$2),
  "0"
)</f>
        <v>0</v>
      </c>
      <c r="Q121" s="4" t="str">
        <f>IF(Balancete_Oficial[[#Headers],[Agosto]]='Balancete MLN_WebPosto'!$G$2,
SUMIFS('Balancete MLN_WebPosto'!$I:$I,'Balancete MLN_WebPosto'!$C:$C,$A121,'Balancete MLN_WebPosto'!$B:$B,$B$2),
  "0"
)</f>
        <v>0</v>
      </c>
      <c r="R121" s="4">
        <f>IF(Balancete_Oficial[[#Headers],[Setembro]]='Balancete MLN_WebPosto'!$G$2,
SUMIFS('Balancete MLN_WebPosto'!$I:$I,'Balancete MLN_WebPosto'!$C:$C,$A121,'Balancete MLN_WebPosto'!$B:$B,$B$2),
  "0"
)</f>
        <v>0</v>
      </c>
      <c r="S121" s="4" t="str">
        <f>IF(Balancete_Oficial[[#Headers],[Outubro]]='Balancete MLN_WebPosto'!$G$2,
SUMIFS('Balancete MLN_WebPosto'!$I:$I,'Balancete MLN_WebPosto'!$C:$C,$A121,'Balancete MLN_WebPosto'!$B:$B,$B$2),
  "0"
)</f>
        <v>0</v>
      </c>
      <c r="T121" s="4" t="str">
        <f>IF(Balancete_Oficial[[#Headers],[Novembro]]='Balancete MLN_WebPosto'!$G$2,
SUMIFS('Balancete MLN_WebPosto'!$I:$I,'Balancete MLN_WebPosto'!$C:$C,$A121,'Balancete MLN_WebPosto'!$B:$B,$B$2),
  "0"
)</f>
        <v>0</v>
      </c>
      <c r="U121" s="4" t="str">
        <f>IF(Balancete_Oficial[[#Headers],[Dezembro]]='Balancete MLN_WebPosto'!$G$2,
SUMIFS('Balancete MLN_WebPosto'!$I:$I,'Balancete MLN_WebPosto'!$C:$C,$A121,'Balancete MLN_WebPosto'!$B:$B,$B$2),
  "0"
)</f>
        <v>0</v>
      </c>
    </row>
    <row r="122" spans="1:21" s="2" customFormat="1" x14ac:dyDescent="0.25">
      <c r="A122" s="2" t="str">
        <f>IF(Dados!H119="","",Dados!H119)</f>
        <v/>
      </c>
      <c r="B122" s="2" t="e">
        <f>VLOOKUP(Balancete_Oficial[[#This Row],[Conta]],'Balancete MLN_WebPosto'!C:E,3,0)</f>
        <v>#N/A</v>
      </c>
      <c r="C122" s="3" t="str">
        <f t="shared" si="6"/>
        <v>Sintética</v>
      </c>
      <c r="D122" s="6" t="str">
        <f t="shared" si="7"/>
        <v>R</v>
      </c>
      <c r="E122" s="6" t="str">
        <f t="shared" si="8"/>
        <v/>
      </c>
      <c r="F122" s="6"/>
      <c r="G122" s="6"/>
      <c r="H122" s="6"/>
      <c r="I122" s="6"/>
      <c r="J122" s="4" t="str">
        <f>IF(Balancete_Oficial[[#Headers],[Janeiro]]='Balancete MLN_WebPosto'!$G$2,
SUMIFS('Balancete MLN_WebPosto'!$J:$J,'Balancete MLN_WebPosto'!$C:$C,$A122,'Balancete MLN_WebPosto'!$B:$B,$B$2),
  "0"
)</f>
        <v>0</v>
      </c>
      <c r="K122" s="4" t="str">
        <f>IF(Balancete_Oficial[[#Headers],[Fevereiro]]='Balancete MLN_WebPosto'!$G$2,
SUMIFS('Balancete MLN_WebPosto'!$J:$J,'Balancete MLN_WebPosto'!$C:$C,$A122,'Balancete MLN_WebPosto'!$B:$B,$B$2),
  "0"
)</f>
        <v>0</v>
      </c>
      <c r="L122" s="4" t="str">
        <f>IF(Balancete_Oficial[[#Headers],[Março]]='Balancete MLN_WebPosto'!$G$2,
SUMIFS('Balancete MLN_WebPosto'!$J:$J,'Balancete MLN_WebPosto'!$C:$C,$A122,'Balancete MLN_WebPosto'!$B:$B,$B$2),
  "0"
)</f>
        <v>0</v>
      </c>
      <c r="M122" s="4" t="str">
        <f>IF(Balancete_Oficial[[#Headers],[Abril]]='Balancete MLN_WebPosto'!$G$2,
SUMIFS('Balancete MLN_WebPosto'!$J:$J,'Balancete MLN_WebPosto'!$C:$C,$A122,'Balancete MLN_WebPosto'!$B:$B,$B$2),
  "0"
)</f>
        <v>0</v>
      </c>
      <c r="N122" s="4" t="str">
        <f>IF(Balancete_Oficial[[#Headers],[Maio]]='Balancete MLN_WebPosto'!$G$2,
SUMIFS('Balancete MLN_WebPosto'!$I:$I,'Balancete MLN_WebPosto'!$C:$C,$A122,'Balancete MLN_WebPosto'!$B:$B,$B$2),
  "0"
)</f>
        <v>0</v>
      </c>
      <c r="O122" s="4" t="str">
        <f>IF(Balancete_Oficial[[#Headers],[Junho]]='Balancete MLN_WebPosto'!$G$2,
SUMIFS('Balancete MLN_WebPosto'!$I:$I,'Balancete MLN_WebPosto'!$C:$C,$A122,'Balancete MLN_WebPosto'!$B:$B,$B$2),
  "0"
)</f>
        <v>0</v>
      </c>
      <c r="P122" s="4" t="str">
        <f>IF(Balancete_Oficial[[#Headers],[Julho]]='Balancete MLN_WebPosto'!$G$2,
SUMIFS('Balancete MLN_WebPosto'!$I:$I,'Balancete MLN_WebPosto'!$C:$C,$A122,'Balancete MLN_WebPosto'!$B:$B,$B$2),
  "0"
)</f>
        <v>0</v>
      </c>
      <c r="Q122" s="4" t="str">
        <f>IF(Balancete_Oficial[[#Headers],[Agosto]]='Balancete MLN_WebPosto'!$G$2,
SUMIFS('Balancete MLN_WebPosto'!$I:$I,'Balancete MLN_WebPosto'!$C:$C,$A122,'Balancete MLN_WebPosto'!$B:$B,$B$2),
  "0"
)</f>
        <v>0</v>
      </c>
      <c r="R122" s="4">
        <f>IF(Balancete_Oficial[[#Headers],[Setembro]]='Balancete MLN_WebPosto'!$G$2,
SUMIFS('Balancete MLN_WebPosto'!$I:$I,'Balancete MLN_WebPosto'!$C:$C,$A122,'Balancete MLN_WebPosto'!$B:$B,$B$2),
  "0"
)</f>
        <v>0</v>
      </c>
      <c r="S122" s="4" t="str">
        <f>IF(Balancete_Oficial[[#Headers],[Outubro]]='Balancete MLN_WebPosto'!$G$2,
SUMIFS('Balancete MLN_WebPosto'!$I:$I,'Balancete MLN_WebPosto'!$C:$C,$A122,'Balancete MLN_WebPosto'!$B:$B,$B$2),
  "0"
)</f>
        <v>0</v>
      </c>
      <c r="T122" s="4" t="str">
        <f>IF(Balancete_Oficial[[#Headers],[Novembro]]='Balancete MLN_WebPosto'!$G$2,
SUMIFS('Balancete MLN_WebPosto'!$I:$I,'Balancete MLN_WebPosto'!$C:$C,$A122,'Balancete MLN_WebPosto'!$B:$B,$B$2),
  "0"
)</f>
        <v>0</v>
      </c>
      <c r="U122" s="4" t="str">
        <f>IF(Balancete_Oficial[[#Headers],[Dezembro]]='Balancete MLN_WebPosto'!$G$2,
SUMIFS('Balancete MLN_WebPosto'!$I:$I,'Balancete MLN_WebPosto'!$C:$C,$A122,'Balancete MLN_WebPosto'!$B:$B,$B$2),
  "0"
)</f>
        <v>0</v>
      </c>
    </row>
    <row r="123" spans="1:21" s="2" customFormat="1" x14ac:dyDescent="0.25">
      <c r="A123" s="2" t="str">
        <f>IF(Dados!H120="","",Dados!H120)</f>
        <v/>
      </c>
      <c r="B123" s="2" t="e">
        <f>VLOOKUP(Balancete_Oficial[[#This Row],[Conta]],'Balancete MLN_WebPosto'!C:E,3,0)</f>
        <v>#N/A</v>
      </c>
      <c r="C123" s="3" t="str">
        <f t="shared" si="6"/>
        <v>Sintética</v>
      </c>
      <c r="D123" s="6" t="str">
        <f t="shared" si="7"/>
        <v>R</v>
      </c>
      <c r="E123" s="6" t="str">
        <f t="shared" si="8"/>
        <v/>
      </c>
      <c r="F123" s="6"/>
      <c r="G123" s="6"/>
      <c r="H123" s="6"/>
      <c r="I123" s="6"/>
      <c r="J123" s="4" t="str">
        <f>IF(Balancete_Oficial[[#Headers],[Janeiro]]='Balancete MLN_WebPosto'!$G$2,
SUMIFS('Balancete MLN_WebPosto'!$J:$J,'Balancete MLN_WebPosto'!$C:$C,$A123,'Balancete MLN_WebPosto'!$B:$B,$B$2),
  "0"
)</f>
        <v>0</v>
      </c>
      <c r="K123" s="4" t="str">
        <f>IF(Balancete_Oficial[[#Headers],[Fevereiro]]='Balancete MLN_WebPosto'!$G$2,
SUMIFS('Balancete MLN_WebPosto'!$J:$J,'Balancete MLN_WebPosto'!$C:$C,$A123,'Balancete MLN_WebPosto'!$B:$B,$B$2),
  "0"
)</f>
        <v>0</v>
      </c>
      <c r="L123" s="4" t="str">
        <f>IF(Balancete_Oficial[[#Headers],[Março]]='Balancete MLN_WebPosto'!$G$2,
SUMIFS('Balancete MLN_WebPosto'!$J:$J,'Balancete MLN_WebPosto'!$C:$C,$A123,'Balancete MLN_WebPosto'!$B:$B,$B$2),
  "0"
)</f>
        <v>0</v>
      </c>
      <c r="M123" s="4" t="str">
        <f>IF(Balancete_Oficial[[#Headers],[Abril]]='Balancete MLN_WebPosto'!$G$2,
SUMIFS('Balancete MLN_WebPosto'!$J:$J,'Balancete MLN_WebPosto'!$C:$C,$A123,'Balancete MLN_WebPosto'!$B:$B,$B$2),
  "0"
)</f>
        <v>0</v>
      </c>
      <c r="N123" s="4" t="str">
        <f>IF(Balancete_Oficial[[#Headers],[Maio]]='Balancete MLN_WebPosto'!$G$2,
SUMIFS('Balancete MLN_WebPosto'!$I:$I,'Balancete MLN_WebPosto'!$C:$C,$A123,'Balancete MLN_WebPosto'!$B:$B,$B$2),
  "0"
)</f>
        <v>0</v>
      </c>
      <c r="O123" s="4" t="str">
        <f>IF(Balancete_Oficial[[#Headers],[Junho]]='Balancete MLN_WebPosto'!$G$2,
SUMIFS('Balancete MLN_WebPosto'!$I:$I,'Balancete MLN_WebPosto'!$C:$C,$A123,'Balancete MLN_WebPosto'!$B:$B,$B$2),
  "0"
)</f>
        <v>0</v>
      </c>
      <c r="P123" s="4" t="str">
        <f>IF(Balancete_Oficial[[#Headers],[Julho]]='Balancete MLN_WebPosto'!$G$2,
SUMIFS('Balancete MLN_WebPosto'!$I:$I,'Balancete MLN_WebPosto'!$C:$C,$A123,'Balancete MLN_WebPosto'!$B:$B,$B$2),
  "0"
)</f>
        <v>0</v>
      </c>
      <c r="Q123" s="4" t="str">
        <f>IF(Balancete_Oficial[[#Headers],[Agosto]]='Balancete MLN_WebPosto'!$G$2,
SUMIFS('Balancete MLN_WebPosto'!$I:$I,'Balancete MLN_WebPosto'!$C:$C,$A123,'Balancete MLN_WebPosto'!$B:$B,$B$2),
  "0"
)</f>
        <v>0</v>
      </c>
      <c r="R123" s="4">
        <f>IF(Balancete_Oficial[[#Headers],[Setembro]]='Balancete MLN_WebPosto'!$G$2,
SUMIFS('Balancete MLN_WebPosto'!$I:$I,'Balancete MLN_WebPosto'!$C:$C,$A123,'Balancete MLN_WebPosto'!$B:$B,$B$2),
  "0"
)</f>
        <v>0</v>
      </c>
      <c r="S123" s="4" t="str">
        <f>IF(Balancete_Oficial[[#Headers],[Outubro]]='Balancete MLN_WebPosto'!$G$2,
SUMIFS('Balancete MLN_WebPosto'!$I:$I,'Balancete MLN_WebPosto'!$C:$C,$A123,'Balancete MLN_WebPosto'!$B:$B,$B$2),
  "0"
)</f>
        <v>0</v>
      </c>
      <c r="T123" s="4" t="str">
        <f>IF(Balancete_Oficial[[#Headers],[Novembro]]='Balancete MLN_WebPosto'!$G$2,
SUMIFS('Balancete MLN_WebPosto'!$I:$I,'Balancete MLN_WebPosto'!$C:$C,$A123,'Balancete MLN_WebPosto'!$B:$B,$B$2),
  "0"
)</f>
        <v>0</v>
      </c>
      <c r="U123" s="4" t="str">
        <f>IF(Balancete_Oficial[[#Headers],[Dezembro]]='Balancete MLN_WebPosto'!$G$2,
SUMIFS('Balancete MLN_WebPosto'!$I:$I,'Balancete MLN_WebPosto'!$C:$C,$A123,'Balancete MLN_WebPosto'!$B:$B,$B$2),
  "0"
)</f>
        <v>0</v>
      </c>
    </row>
    <row r="124" spans="1:21" s="2" customFormat="1" x14ac:dyDescent="0.25">
      <c r="A124" s="2" t="str">
        <f>IF(Dados!H121="","",Dados!H121)</f>
        <v/>
      </c>
      <c r="B124" s="2" t="e">
        <f>VLOOKUP(Balancete_Oficial[[#This Row],[Conta]],'Balancete MLN_WebPosto'!C:E,3,0)</f>
        <v>#N/A</v>
      </c>
      <c r="C124" s="3" t="str">
        <f t="shared" si="6"/>
        <v>Sintética</v>
      </c>
      <c r="D124" s="6" t="str">
        <f t="shared" si="7"/>
        <v>R</v>
      </c>
      <c r="E124" s="6" t="str">
        <f t="shared" si="8"/>
        <v/>
      </c>
      <c r="F124" s="6"/>
      <c r="G124" s="6"/>
      <c r="H124" s="6"/>
      <c r="I124" s="6"/>
      <c r="J124" s="4" t="str">
        <f>IF(Balancete_Oficial[[#Headers],[Janeiro]]='Balancete MLN_WebPosto'!$G$2,
SUMIFS('Balancete MLN_WebPosto'!$J:$J,'Balancete MLN_WebPosto'!$C:$C,$A124,'Balancete MLN_WebPosto'!$B:$B,$B$2),
  "0"
)</f>
        <v>0</v>
      </c>
      <c r="K124" s="4" t="str">
        <f>IF(Balancete_Oficial[[#Headers],[Fevereiro]]='Balancete MLN_WebPosto'!$G$2,
SUMIFS('Balancete MLN_WebPosto'!$J:$J,'Balancete MLN_WebPosto'!$C:$C,$A124,'Balancete MLN_WebPosto'!$B:$B,$B$2),
  "0"
)</f>
        <v>0</v>
      </c>
      <c r="L124" s="4" t="str">
        <f>IF(Balancete_Oficial[[#Headers],[Março]]='Balancete MLN_WebPosto'!$G$2,
SUMIFS('Balancete MLN_WebPosto'!$J:$J,'Balancete MLN_WebPosto'!$C:$C,$A124,'Balancete MLN_WebPosto'!$B:$B,$B$2),
  "0"
)</f>
        <v>0</v>
      </c>
      <c r="M124" s="4" t="str">
        <f>IF(Balancete_Oficial[[#Headers],[Abril]]='Balancete MLN_WebPosto'!$G$2,
SUMIFS('Balancete MLN_WebPosto'!$J:$J,'Balancete MLN_WebPosto'!$C:$C,$A124,'Balancete MLN_WebPosto'!$B:$B,$B$2),
  "0"
)</f>
        <v>0</v>
      </c>
      <c r="N124" s="4" t="str">
        <f>IF(Balancete_Oficial[[#Headers],[Maio]]='Balancete MLN_WebPosto'!$G$2,
SUMIFS('Balancete MLN_WebPosto'!$I:$I,'Balancete MLN_WebPosto'!$C:$C,$A124,'Balancete MLN_WebPosto'!$B:$B,$B$2),
  "0"
)</f>
        <v>0</v>
      </c>
      <c r="O124" s="4" t="str">
        <f>IF(Balancete_Oficial[[#Headers],[Junho]]='Balancete MLN_WebPosto'!$G$2,
SUMIFS('Balancete MLN_WebPosto'!$I:$I,'Balancete MLN_WebPosto'!$C:$C,$A124,'Balancete MLN_WebPosto'!$B:$B,$B$2),
  "0"
)</f>
        <v>0</v>
      </c>
      <c r="P124" s="4" t="str">
        <f>IF(Balancete_Oficial[[#Headers],[Julho]]='Balancete MLN_WebPosto'!$G$2,
SUMIFS('Balancete MLN_WebPosto'!$I:$I,'Balancete MLN_WebPosto'!$C:$C,$A124,'Balancete MLN_WebPosto'!$B:$B,$B$2),
  "0"
)</f>
        <v>0</v>
      </c>
      <c r="Q124" s="4" t="str">
        <f>IF(Balancete_Oficial[[#Headers],[Agosto]]='Balancete MLN_WebPosto'!$G$2,
SUMIFS('Balancete MLN_WebPosto'!$I:$I,'Balancete MLN_WebPosto'!$C:$C,$A124,'Balancete MLN_WebPosto'!$B:$B,$B$2),
  "0"
)</f>
        <v>0</v>
      </c>
      <c r="R124" s="4">
        <f>IF(Balancete_Oficial[[#Headers],[Setembro]]='Balancete MLN_WebPosto'!$G$2,
SUMIFS('Balancete MLN_WebPosto'!$I:$I,'Balancete MLN_WebPosto'!$C:$C,$A124,'Balancete MLN_WebPosto'!$B:$B,$B$2),
  "0"
)</f>
        <v>0</v>
      </c>
      <c r="S124" s="4" t="str">
        <f>IF(Balancete_Oficial[[#Headers],[Outubro]]='Balancete MLN_WebPosto'!$G$2,
SUMIFS('Balancete MLN_WebPosto'!$I:$I,'Balancete MLN_WebPosto'!$C:$C,$A124,'Balancete MLN_WebPosto'!$B:$B,$B$2),
  "0"
)</f>
        <v>0</v>
      </c>
      <c r="T124" s="4" t="str">
        <f>IF(Balancete_Oficial[[#Headers],[Novembro]]='Balancete MLN_WebPosto'!$G$2,
SUMIFS('Balancete MLN_WebPosto'!$I:$I,'Balancete MLN_WebPosto'!$C:$C,$A124,'Balancete MLN_WebPosto'!$B:$B,$B$2),
  "0"
)</f>
        <v>0</v>
      </c>
      <c r="U124" s="4" t="str">
        <f>IF(Balancete_Oficial[[#Headers],[Dezembro]]='Balancete MLN_WebPosto'!$G$2,
SUMIFS('Balancete MLN_WebPosto'!$I:$I,'Balancete MLN_WebPosto'!$C:$C,$A124,'Balancete MLN_WebPosto'!$B:$B,$B$2),
  "0"
)</f>
        <v>0</v>
      </c>
    </row>
    <row r="125" spans="1:21" s="2" customFormat="1" x14ac:dyDescent="0.25">
      <c r="A125" s="2" t="str">
        <f>IF(Dados!H122="","",Dados!H122)</f>
        <v/>
      </c>
      <c r="B125" s="2" t="e">
        <f>VLOOKUP(Balancete_Oficial[[#This Row],[Conta]],'Balancete MLN_WebPosto'!C:E,3,0)</f>
        <v>#N/A</v>
      </c>
      <c r="C125" s="3" t="str">
        <f t="shared" si="6"/>
        <v>Sintética</v>
      </c>
      <c r="D125" s="6" t="str">
        <f t="shared" si="7"/>
        <v>R</v>
      </c>
      <c r="E125" s="6" t="str">
        <f t="shared" si="8"/>
        <v/>
      </c>
      <c r="F125" s="6"/>
      <c r="G125" s="6"/>
      <c r="H125" s="6"/>
      <c r="I125" s="6"/>
      <c r="J125" s="4" t="str">
        <f>IF(Balancete_Oficial[[#Headers],[Janeiro]]='Balancete MLN_WebPosto'!$G$2,
SUMIFS('Balancete MLN_WebPosto'!$J:$J,'Balancete MLN_WebPosto'!$C:$C,$A125,'Balancete MLN_WebPosto'!$B:$B,$B$2),
  "0"
)</f>
        <v>0</v>
      </c>
      <c r="K125" s="4" t="str">
        <f>IF(Balancete_Oficial[[#Headers],[Fevereiro]]='Balancete MLN_WebPosto'!$G$2,
SUMIFS('Balancete MLN_WebPosto'!$J:$J,'Balancete MLN_WebPosto'!$C:$C,$A125,'Balancete MLN_WebPosto'!$B:$B,$B$2),
  "0"
)</f>
        <v>0</v>
      </c>
      <c r="L125" s="4" t="str">
        <f>IF(Balancete_Oficial[[#Headers],[Março]]='Balancete MLN_WebPosto'!$G$2,
SUMIFS('Balancete MLN_WebPosto'!$J:$J,'Balancete MLN_WebPosto'!$C:$C,$A125,'Balancete MLN_WebPosto'!$B:$B,$B$2),
  "0"
)</f>
        <v>0</v>
      </c>
      <c r="M125" s="4" t="str">
        <f>IF(Balancete_Oficial[[#Headers],[Abril]]='Balancete MLN_WebPosto'!$G$2,
SUMIFS('Balancete MLN_WebPosto'!$J:$J,'Balancete MLN_WebPosto'!$C:$C,$A125,'Balancete MLN_WebPosto'!$B:$B,$B$2),
  "0"
)</f>
        <v>0</v>
      </c>
      <c r="N125" s="4" t="str">
        <f>IF(Balancete_Oficial[[#Headers],[Maio]]='Balancete MLN_WebPosto'!$G$2,
SUMIFS('Balancete MLN_WebPosto'!$I:$I,'Balancete MLN_WebPosto'!$C:$C,$A125,'Balancete MLN_WebPosto'!$B:$B,$B$2),
  "0"
)</f>
        <v>0</v>
      </c>
      <c r="O125" s="4" t="str">
        <f>IF(Balancete_Oficial[[#Headers],[Junho]]='Balancete MLN_WebPosto'!$G$2,
SUMIFS('Balancete MLN_WebPosto'!$I:$I,'Balancete MLN_WebPosto'!$C:$C,$A125,'Balancete MLN_WebPosto'!$B:$B,$B$2),
  "0"
)</f>
        <v>0</v>
      </c>
      <c r="P125" s="4" t="str">
        <f>IF(Balancete_Oficial[[#Headers],[Julho]]='Balancete MLN_WebPosto'!$G$2,
SUMIFS('Balancete MLN_WebPosto'!$I:$I,'Balancete MLN_WebPosto'!$C:$C,$A125,'Balancete MLN_WebPosto'!$B:$B,$B$2),
  "0"
)</f>
        <v>0</v>
      </c>
      <c r="Q125" s="4" t="str">
        <f>IF(Balancete_Oficial[[#Headers],[Agosto]]='Balancete MLN_WebPosto'!$G$2,
SUMIFS('Balancete MLN_WebPosto'!$I:$I,'Balancete MLN_WebPosto'!$C:$C,$A125,'Balancete MLN_WebPosto'!$B:$B,$B$2),
  "0"
)</f>
        <v>0</v>
      </c>
      <c r="R125" s="4">
        <f>IF(Balancete_Oficial[[#Headers],[Setembro]]='Balancete MLN_WebPosto'!$G$2,
SUMIFS('Balancete MLN_WebPosto'!$I:$I,'Balancete MLN_WebPosto'!$C:$C,$A125,'Balancete MLN_WebPosto'!$B:$B,$B$2),
  "0"
)</f>
        <v>0</v>
      </c>
      <c r="S125" s="4" t="str">
        <f>IF(Balancete_Oficial[[#Headers],[Outubro]]='Balancete MLN_WebPosto'!$G$2,
SUMIFS('Balancete MLN_WebPosto'!$I:$I,'Balancete MLN_WebPosto'!$C:$C,$A125,'Balancete MLN_WebPosto'!$B:$B,$B$2),
  "0"
)</f>
        <v>0</v>
      </c>
      <c r="T125" s="4" t="str">
        <f>IF(Balancete_Oficial[[#Headers],[Novembro]]='Balancete MLN_WebPosto'!$G$2,
SUMIFS('Balancete MLN_WebPosto'!$I:$I,'Balancete MLN_WebPosto'!$C:$C,$A125,'Balancete MLN_WebPosto'!$B:$B,$B$2),
  "0"
)</f>
        <v>0</v>
      </c>
      <c r="U125" s="4" t="str">
        <f>IF(Balancete_Oficial[[#Headers],[Dezembro]]='Balancete MLN_WebPosto'!$G$2,
SUMIFS('Balancete MLN_WebPosto'!$I:$I,'Balancete MLN_WebPosto'!$C:$C,$A125,'Balancete MLN_WebPosto'!$B:$B,$B$2),
  "0"
)</f>
        <v>0</v>
      </c>
    </row>
    <row r="126" spans="1:21" x14ac:dyDescent="0.25">
      <c r="A126" s="2" t="str">
        <f>IF(Dados!H123="","",Dados!H123)</f>
        <v/>
      </c>
      <c r="B126" s="2" t="e">
        <f>VLOOKUP(Balancete_Oficial[[#This Row],[Conta]],'Balancete MLN_WebPosto'!C:E,3,0)</f>
        <v>#N/A</v>
      </c>
      <c r="C126" s="3" t="str">
        <f t="shared" si="6"/>
        <v>Sintética</v>
      </c>
      <c r="D126" s="6" t="str">
        <f t="shared" si="7"/>
        <v>R</v>
      </c>
      <c r="E126" s="6" t="str">
        <f t="shared" si="8"/>
        <v/>
      </c>
      <c r="F126" s="6"/>
      <c r="G126" s="6"/>
      <c r="H126" s="6"/>
      <c r="I126" s="6"/>
      <c r="J126" s="4" t="str">
        <f>IF(Balancete_Oficial[[#Headers],[Janeiro]]='Balancete MLN_WebPosto'!$G$2,
SUMIFS('Balancete MLN_WebPosto'!$J:$J,'Balancete MLN_WebPosto'!$C:$C,$A126,'Balancete MLN_WebPosto'!$B:$B,$B$2),
  "0"
)</f>
        <v>0</v>
      </c>
      <c r="K126" s="4" t="str">
        <f>IF(Balancete_Oficial[[#Headers],[Fevereiro]]='Balancete MLN_WebPosto'!$G$2,
SUMIFS('Balancete MLN_WebPosto'!$J:$J,'Balancete MLN_WebPosto'!$C:$C,$A126,'Balancete MLN_WebPosto'!$B:$B,$B$2),
  "0"
)</f>
        <v>0</v>
      </c>
      <c r="L126" s="4" t="str">
        <f>IF(Balancete_Oficial[[#Headers],[Março]]='Balancete MLN_WebPosto'!$G$2,
SUMIFS('Balancete MLN_WebPosto'!$J:$J,'Balancete MLN_WebPosto'!$C:$C,$A126,'Balancete MLN_WebPosto'!$B:$B,$B$2),
  "0"
)</f>
        <v>0</v>
      </c>
      <c r="M126" s="4" t="str">
        <f>IF(Balancete_Oficial[[#Headers],[Abril]]='Balancete MLN_WebPosto'!$G$2,
SUMIFS('Balancete MLN_WebPosto'!$J:$J,'Balancete MLN_WebPosto'!$C:$C,$A126,'Balancete MLN_WebPosto'!$B:$B,$B$2),
  "0"
)</f>
        <v>0</v>
      </c>
      <c r="N126" s="4" t="str">
        <f>IF(Balancete_Oficial[[#Headers],[Maio]]='Balancete MLN_WebPosto'!$G$2,
SUMIFS('Balancete MLN_WebPosto'!$I:$I,'Balancete MLN_WebPosto'!$C:$C,$A126,'Balancete MLN_WebPosto'!$B:$B,$B$2),
  "0"
)</f>
        <v>0</v>
      </c>
      <c r="O126" s="4" t="str">
        <f>IF(Balancete_Oficial[[#Headers],[Junho]]='Balancete MLN_WebPosto'!$G$2,
SUMIFS('Balancete MLN_WebPosto'!$I:$I,'Balancete MLN_WebPosto'!$C:$C,$A126,'Balancete MLN_WebPosto'!$B:$B,$B$2),
  "0"
)</f>
        <v>0</v>
      </c>
      <c r="P126" s="4" t="str">
        <f>IF(Balancete_Oficial[[#Headers],[Julho]]='Balancete MLN_WebPosto'!$G$2,
SUMIFS('Balancete MLN_WebPosto'!$I:$I,'Balancete MLN_WebPosto'!$C:$C,$A126,'Balancete MLN_WebPosto'!$B:$B,$B$2),
  "0"
)</f>
        <v>0</v>
      </c>
      <c r="Q126" s="4" t="str">
        <f>IF(Balancete_Oficial[[#Headers],[Agosto]]='Balancete MLN_WebPosto'!$G$2,
SUMIFS('Balancete MLN_WebPosto'!$I:$I,'Balancete MLN_WebPosto'!$C:$C,$A126,'Balancete MLN_WebPosto'!$B:$B,$B$2),
  "0"
)</f>
        <v>0</v>
      </c>
      <c r="R126" s="4">
        <f>IF(Balancete_Oficial[[#Headers],[Setembro]]='Balancete MLN_WebPosto'!$G$2,
SUMIFS('Balancete MLN_WebPosto'!$I:$I,'Balancete MLN_WebPosto'!$C:$C,$A126,'Balancete MLN_WebPosto'!$B:$B,$B$2),
  "0"
)</f>
        <v>0</v>
      </c>
      <c r="S126" s="4" t="str">
        <f>IF(Balancete_Oficial[[#Headers],[Outubro]]='Balancete MLN_WebPosto'!$G$2,
SUMIFS('Balancete MLN_WebPosto'!$I:$I,'Balancete MLN_WebPosto'!$C:$C,$A126,'Balancete MLN_WebPosto'!$B:$B,$B$2),
  "0"
)</f>
        <v>0</v>
      </c>
      <c r="T126" s="4" t="str">
        <f>IF(Balancete_Oficial[[#Headers],[Novembro]]='Balancete MLN_WebPosto'!$G$2,
SUMIFS('Balancete MLN_WebPosto'!$I:$I,'Balancete MLN_WebPosto'!$C:$C,$A126,'Balancete MLN_WebPosto'!$B:$B,$B$2),
  "0"
)</f>
        <v>0</v>
      </c>
      <c r="U126" s="4" t="str">
        <f>IF(Balancete_Oficial[[#Headers],[Dezembro]]='Balancete MLN_WebPosto'!$G$2,
SUMIFS('Balancete MLN_WebPosto'!$I:$I,'Balancete MLN_WebPosto'!$C:$C,$A126,'Balancete MLN_WebPosto'!$B:$B,$B$2),
  "0"
)</f>
        <v>0</v>
      </c>
    </row>
    <row r="127" spans="1:21" x14ac:dyDescent="0.25">
      <c r="A127" s="2" t="str">
        <f>IF(Dados!H124="","",Dados!H124)</f>
        <v/>
      </c>
      <c r="B127" s="2" t="e">
        <f>VLOOKUP(Balancete_Oficial[[#This Row],[Conta]],'Balancete MLN_WebPosto'!C:E,3,0)</f>
        <v>#N/A</v>
      </c>
      <c r="C127" s="3" t="str">
        <f t="shared" si="6"/>
        <v>Sintética</v>
      </c>
      <c r="D127" s="6" t="str">
        <f t="shared" si="7"/>
        <v>R</v>
      </c>
      <c r="E127" s="6" t="str">
        <f t="shared" si="8"/>
        <v/>
      </c>
      <c r="F127" s="6"/>
      <c r="G127" s="6"/>
      <c r="H127" s="6"/>
      <c r="I127" s="6"/>
      <c r="J127" s="4" t="str">
        <f>IF(Balancete_Oficial[[#Headers],[Janeiro]]='Balancete MLN_WebPosto'!$G$2,
SUMIFS('Balancete MLN_WebPosto'!$J:$J,'Balancete MLN_WebPosto'!$C:$C,$A127,'Balancete MLN_WebPosto'!$B:$B,$B$2),
  "0"
)</f>
        <v>0</v>
      </c>
      <c r="K127" s="4" t="str">
        <f>IF(Balancete_Oficial[[#Headers],[Fevereiro]]='Balancete MLN_WebPosto'!$G$2,
SUMIFS('Balancete MLN_WebPosto'!$J:$J,'Balancete MLN_WebPosto'!$C:$C,$A127,'Balancete MLN_WebPosto'!$B:$B,$B$2),
  "0"
)</f>
        <v>0</v>
      </c>
      <c r="L127" s="4" t="str">
        <f>IF(Balancete_Oficial[[#Headers],[Março]]='Balancete MLN_WebPosto'!$G$2,
SUMIFS('Balancete MLN_WebPosto'!$J:$J,'Balancete MLN_WebPosto'!$C:$C,$A127,'Balancete MLN_WebPosto'!$B:$B,$B$2),
  "0"
)</f>
        <v>0</v>
      </c>
      <c r="M127" s="4" t="str">
        <f>IF(Balancete_Oficial[[#Headers],[Abril]]='Balancete MLN_WebPosto'!$G$2,
SUMIFS('Balancete MLN_WebPosto'!$J:$J,'Balancete MLN_WebPosto'!$C:$C,$A127,'Balancete MLN_WebPosto'!$B:$B,$B$2),
  "0"
)</f>
        <v>0</v>
      </c>
      <c r="N127" s="4" t="str">
        <f>IF(Balancete_Oficial[[#Headers],[Maio]]='Balancete MLN_WebPosto'!$G$2,
SUMIFS('Balancete MLN_WebPosto'!$I:$I,'Balancete MLN_WebPosto'!$C:$C,$A127,'Balancete MLN_WebPosto'!$B:$B,$B$2),
  "0"
)</f>
        <v>0</v>
      </c>
      <c r="O127" s="4" t="str">
        <f>IF(Balancete_Oficial[[#Headers],[Junho]]='Balancete MLN_WebPosto'!$G$2,
SUMIFS('Balancete MLN_WebPosto'!$I:$I,'Balancete MLN_WebPosto'!$C:$C,$A127,'Balancete MLN_WebPosto'!$B:$B,$B$2),
  "0"
)</f>
        <v>0</v>
      </c>
      <c r="P127" s="4" t="str">
        <f>IF(Balancete_Oficial[[#Headers],[Julho]]='Balancete MLN_WebPosto'!$G$2,
SUMIFS('Balancete MLN_WebPosto'!$I:$I,'Balancete MLN_WebPosto'!$C:$C,$A127,'Balancete MLN_WebPosto'!$B:$B,$B$2),
  "0"
)</f>
        <v>0</v>
      </c>
      <c r="Q127" s="4" t="str">
        <f>IF(Balancete_Oficial[[#Headers],[Agosto]]='Balancete MLN_WebPosto'!$G$2,
SUMIFS('Balancete MLN_WebPosto'!$I:$I,'Balancete MLN_WebPosto'!$C:$C,$A127,'Balancete MLN_WebPosto'!$B:$B,$B$2),
  "0"
)</f>
        <v>0</v>
      </c>
      <c r="R127" s="4">
        <f>IF(Balancete_Oficial[[#Headers],[Setembro]]='Balancete MLN_WebPosto'!$G$2,
SUMIFS('Balancete MLN_WebPosto'!$I:$I,'Balancete MLN_WebPosto'!$C:$C,$A127,'Balancete MLN_WebPosto'!$B:$B,$B$2),
  "0"
)</f>
        <v>0</v>
      </c>
      <c r="S127" s="4" t="str">
        <f>IF(Balancete_Oficial[[#Headers],[Outubro]]='Balancete MLN_WebPosto'!$G$2,
SUMIFS('Balancete MLN_WebPosto'!$I:$I,'Balancete MLN_WebPosto'!$C:$C,$A127,'Balancete MLN_WebPosto'!$B:$B,$B$2),
  "0"
)</f>
        <v>0</v>
      </c>
      <c r="T127" s="4" t="str">
        <f>IF(Balancete_Oficial[[#Headers],[Novembro]]='Balancete MLN_WebPosto'!$G$2,
SUMIFS('Balancete MLN_WebPosto'!$I:$I,'Balancete MLN_WebPosto'!$C:$C,$A127,'Balancete MLN_WebPosto'!$B:$B,$B$2),
  "0"
)</f>
        <v>0</v>
      </c>
      <c r="U127" s="4" t="str">
        <f>IF(Balancete_Oficial[[#Headers],[Dezembro]]='Balancete MLN_WebPosto'!$G$2,
SUMIFS('Balancete MLN_WebPosto'!$I:$I,'Balancete MLN_WebPosto'!$C:$C,$A127,'Balancete MLN_WebPosto'!$B:$B,$B$2),
  "0"
)</f>
        <v>0</v>
      </c>
    </row>
    <row r="128" spans="1:21" x14ac:dyDescent="0.25">
      <c r="A128" s="2" t="str">
        <f>IF(Dados!H125="","",Dados!H125)</f>
        <v/>
      </c>
      <c r="B128" s="2" t="e">
        <f>VLOOKUP(Balancete_Oficial[[#This Row],[Conta]],'Balancete MLN_WebPosto'!C:E,3,0)</f>
        <v>#N/A</v>
      </c>
      <c r="C128" s="3" t="str">
        <f t="shared" si="6"/>
        <v>Sintética</v>
      </c>
      <c r="D128" s="6" t="str">
        <f t="shared" si="7"/>
        <v>R</v>
      </c>
      <c r="E128" s="6" t="str">
        <f t="shared" si="8"/>
        <v/>
      </c>
      <c r="F128" s="6"/>
      <c r="G128" s="6"/>
      <c r="H128" s="6"/>
      <c r="I128" s="6"/>
      <c r="J128" s="4" t="str">
        <f>IF(Balancete_Oficial[[#Headers],[Janeiro]]='Balancete MLN_WebPosto'!$G$2,
SUMIFS('Balancete MLN_WebPosto'!$J:$J,'Balancete MLN_WebPosto'!$C:$C,$A128,'Balancete MLN_WebPosto'!$B:$B,$B$2),
  "0"
)</f>
        <v>0</v>
      </c>
      <c r="K128" s="4" t="str">
        <f>IF(Balancete_Oficial[[#Headers],[Fevereiro]]='Balancete MLN_WebPosto'!$G$2,
SUMIFS('Balancete MLN_WebPosto'!$J:$J,'Balancete MLN_WebPosto'!$C:$C,$A128,'Balancete MLN_WebPosto'!$B:$B,$B$2),
  "0"
)</f>
        <v>0</v>
      </c>
      <c r="L128" s="4" t="str">
        <f>IF(Balancete_Oficial[[#Headers],[Março]]='Balancete MLN_WebPosto'!$G$2,
SUMIFS('Balancete MLN_WebPosto'!$J:$J,'Balancete MLN_WebPosto'!$C:$C,$A128,'Balancete MLN_WebPosto'!$B:$B,$B$2),
  "0"
)</f>
        <v>0</v>
      </c>
      <c r="M128" s="4" t="str">
        <f>IF(Balancete_Oficial[[#Headers],[Abril]]='Balancete MLN_WebPosto'!$G$2,
SUMIFS('Balancete MLN_WebPosto'!$J:$J,'Balancete MLN_WebPosto'!$C:$C,$A128,'Balancete MLN_WebPosto'!$B:$B,$B$2),
  "0"
)</f>
        <v>0</v>
      </c>
      <c r="N128" s="4" t="str">
        <f>IF(Balancete_Oficial[[#Headers],[Maio]]='Balancete MLN_WebPosto'!$G$2,
SUMIFS('Balancete MLN_WebPosto'!$I:$I,'Balancete MLN_WebPosto'!$C:$C,$A128,'Balancete MLN_WebPosto'!$B:$B,$B$2),
  "0"
)</f>
        <v>0</v>
      </c>
      <c r="O128" s="4" t="str">
        <f>IF(Balancete_Oficial[[#Headers],[Junho]]='Balancete MLN_WebPosto'!$G$2,
SUMIFS('Balancete MLN_WebPosto'!$I:$I,'Balancete MLN_WebPosto'!$C:$C,$A128,'Balancete MLN_WebPosto'!$B:$B,$B$2),
  "0"
)</f>
        <v>0</v>
      </c>
      <c r="P128" s="4" t="str">
        <f>IF(Balancete_Oficial[[#Headers],[Julho]]='Balancete MLN_WebPosto'!$G$2,
SUMIFS('Balancete MLN_WebPosto'!$I:$I,'Balancete MLN_WebPosto'!$C:$C,$A128,'Balancete MLN_WebPosto'!$B:$B,$B$2),
  "0"
)</f>
        <v>0</v>
      </c>
      <c r="Q128" s="4" t="str">
        <f>IF(Balancete_Oficial[[#Headers],[Agosto]]='Balancete MLN_WebPosto'!$G$2,
SUMIFS('Balancete MLN_WebPosto'!$I:$I,'Balancete MLN_WebPosto'!$C:$C,$A128,'Balancete MLN_WebPosto'!$B:$B,$B$2),
  "0"
)</f>
        <v>0</v>
      </c>
      <c r="R128" s="4">
        <f>IF(Balancete_Oficial[[#Headers],[Setembro]]='Balancete MLN_WebPosto'!$G$2,
SUMIFS('Balancete MLN_WebPosto'!$I:$I,'Balancete MLN_WebPosto'!$C:$C,$A128,'Balancete MLN_WebPosto'!$B:$B,$B$2),
  "0"
)</f>
        <v>0</v>
      </c>
      <c r="S128" s="4" t="str">
        <f>IF(Balancete_Oficial[[#Headers],[Outubro]]='Balancete MLN_WebPosto'!$G$2,
SUMIFS('Balancete MLN_WebPosto'!$I:$I,'Balancete MLN_WebPosto'!$C:$C,$A128,'Balancete MLN_WebPosto'!$B:$B,$B$2),
  "0"
)</f>
        <v>0</v>
      </c>
      <c r="T128" s="4" t="str">
        <f>IF(Balancete_Oficial[[#Headers],[Novembro]]='Balancete MLN_WebPosto'!$G$2,
SUMIFS('Balancete MLN_WebPosto'!$I:$I,'Balancete MLN_WebPosto'!$C:$C,$A128,'Balancete MLN_WebPosto'!$B:$B,$B$2),
  "0"
)</f>
        <v>0</v>
      </c>
      <c r="U128" s="4" t="str">
        <f>IF(Balancete_Oficial[[#Headers],[Dezembro]]='Balancete MLN_WebPosto'!$G$2,
SUMIFS('Balancete MLN_WebPosto'!$I:$I,'Balancete MLN_WebPosto'!$C:$C,$A128,'Balancete MLN_WebPosto'!$B:$B,$B$2),
  "0"
)</f>
        <v>0</v>
      </c>
    </row>
    <row r="129" spans="1:21" x14ac:dyDescent="0.25">
      <c r="A129" s="2" t="str">
        <f>IF(Dados!H126="","",Dados!H126)</f>
        <v/>
      </c>
      <c r="B129" s="2" t="e">
        <f>VLOOKUP(Balancete_Oficial[[#This Row],[Conta]],'Balancete MLN_WebPosto'!C:E,3,0)</f>
        <v>#N/A</v>
      </c>
      <c r="C129" s="3" t="str">
        <f t="shared" si="6"/>
        <v>Sintética</v>
      </c>
      <c r="D129" s="6" t="str">
        <f t="shared" si="7"/>
        <v>R</v>
      </c>
      <c r="E129" s="6" t="str">
        <f t="shared" si="8"/>
        <v/>
      </c>
      <c r="F129" s="6"/>
      <c r="G129" s="6"/>
      <c r="H129" s="6"/>
      <c r="I129" s="6"/>
      <c r="J129" s="4" t="str">
        <f>IF(Balancete_Oficial[[#Headers],[Janeiro]]='Balancete MLN_WebPosto'!$G$2,
SUMIFS('Balancete MLN_WebPosto'!$J:$J,'Balancete MLN_WebPosto'!$C:$C,$A129,'Balancete MLN_WebPosto'!$B:$B,$B$2),
  "0"
)</f>
        <v>0</v>
      </c>
      <c r="K129" s="4" t="str">
        <f>IF(Balancete_Oficial[[#Headers],[Fevereiro]]='Balancete MLN_WebPosto'!$G$2,
SUMIFS('Balancete MLN_WebPosto'!$J:$J,'Balancete MLN_WebPosto'!$C:$C,$A129,'Balancete MLN_WebPosto'!$B:$B,$B$2),
  "0"
)</f>
        <v>0</v>
      </c>
      <c r="L129" s="4" t="str">
        <f>IF(Balancete_Oficial[[#Headers],[Março]]='Balancete MLN_WebPosto'!$G$2,
SUMIFS('Balancete MLN_WebPosto'!$J:$J,'Balancete MLN_WebPosto'!$C:$C,$A129,'Balancete MLN_WebPosto'!$B:$B,$B$2),
  "0"
)</f>
        <v>0</v>
      </c>
      <c r="M129" s="4" t="str">
        <f>IF(Balancete_Oficial[[#Headers],[Abril]]='Balancete MLN_WebPosto'!$G$2,
SUMIFS('Balancete MLN_WebPosto'!$J:$J,'Balancete MLN_WebPosto'!$C:$C,$A129,'Balancete MLN_WebPosto'!$B:$B,$B$2),
  "0"
)</f>
        <v>0</v>
      </c>
      <c r="N129" s="4" t="str">
        <f>IF(Balancete_Oficial[[#Headers],[Maio]]='Balancete MLN_WebPosto'!$G$2,
SUMIFS('Balancete MLN_WebPosto'!$I:$I,'Balancete MLN_WebPosto'!$C:$C,$A129,'Balancete MLN_WebPosto'!$B:$B,$B$2),
  "0"
)</f>
        <v>0</v>
      </c>
      <c r="O129" s="4" t="str">
        <f>IF(Balancete_Oficial[[#Headers],[Junho]]='Balancete MLN_WebPosto'!$G$2,
SUMIFS('Balancete MLN_WebPosto'!$I:$I,'Balancete MLN_WebPosto'!$C:$C,$A129,'Balancete MLN_WebPosto'!$B:$B,$B$2),
  "0"
)</f>
        <v>0</v>
      </c>
      <c r="P129" s="4" t="str">
        <f>IF(Balancete_Oficial[[#Headers],[Julho]]='Balancete MLN_WebPosto'!$G$2,
SUMIFS('Balancete MLN_WebPosto'!$I:$I,'Balancete MLN_WebPosto'!$C:$C,$A129,'Balancete MLN_WebPosto'!$B:$B,$B$2),
  "0"
)</f>
        <v>0</v>
      </c>
      <c r="Q129" s="4" t="str">
        <f>IF(Balancete_Oficial[[#Headers],[Agosto]]='Balancete MLN_WebPosto'!$G$2,
SUMIFS('Balancete MLN_WebPosto'!$I:$I,'Balancete MLN_WebPosto'!$C:$C,$A129,'Balancete MLN_WebPosto'!$B:$B,$B$2),
  "0"
)</f>
        <v>0</v>
      </c>
      <c r="R129" s="4">
        <f>IF(Balancete_Oficial[[#Headers],[Setembro]]='Balancete MLN_WebPosto'!$G$2,
SUMIFS('Balancete MLN_WebPosto'!$I:$I,'Balancete MLN_WebPosto'!$C:$C,$A129,'Balancete MLN_WebPosto'!$B:$B,$B$2),
  "0"
)</f>
        <v>0</v>
      </c>
      <c r="S129" s="4" t="str">
        <f>IF(Balancete_Oficial[[#Headers],[Outubro]]='Balancete MLN_WebPosto'!$G$2,
SUMIFS('Balancete MLN_WebPosto'!$I:$I,'Balancete MLN_WebPosto'!$C:$C,$A129,'Balancete MLN_WebPosto'!$B:$B,$B$2),
  "0"
)</f>
        <v>0</v>
      </c>
      <c r="T129" s="4" t="str">
        <f>IF(Balancete_Oficial[[#Headers],[Novembro]]='Balancete MLN_WebPosto'!$G$2,
SUMIFS('Balancete MLN_WebPosto'!$I:$I,'Balancete MLN_WebPosto'!$C:$C,$A129,'Balancete MLN_WebPosto'!$B:$B,$B$2),
  "0"
)</f>
        <v>0</v>
      </c>
      <c r="U129" s="4" t="str">
        <f>IF(Balancete_Oficial[[#Headers],[Dezembro]]='Balancete MLN_WebPosto'!$G$2,
SUMIFS('Balancete MLN_WebPosto'!$I:$I,'Balancete MLN_WebPosto'!$C:$C,$A129,'Balancete MLN_WebPosto'!$B:$B,$B$2),
  "0"
)</f>
        <v>0</v>
      </c>
    </row>
    <row r="130" spans="1:21" x14ac:dyDescent="0.25">
      <c r="A130" s="2" t="str">
        <f>IF(Dados!H127="","",Dados!H127)</f>
        <v/>
      </c>
      <c r="B130" s="2" t="e">
        <f>VLOOKUP(Balancete_Oficial[[#This Row],[Conta]],'Balancete MLN_WebPosto'!C:E,3,0)</f>
        <v>#N/A</v>
      </c>
      <c r="C130" s="3" t="str">
        <f t="shared" si="6"/>
        <v>Sintética</v>
      </c>
      <c r="D130" s="6" t="str">
        <f t="shared" si="7"/>
        <v>R</v>
      </c>
      <c r="E130" s="6" t="str">
        <f t="shared" si="8"/>
        <v/>
      </c>
      <c r="F130" s="6"/>
      <c r="G130" s="6"/>
      <c r="H130" s="6"/>
      <c r="I130" s="6"/>
      <c r="J130" s="4" t="str">
        <f>IF(Balancete_Oficial[[#Headers],[Janeiro]]='Balancete MLN_WebPosto'!$G$2,
SUMIFS('Balancete MLN_WebPosto'!$J:$J,'Balancete MLN_WebPosto'!$C:$C,$A130,'Balancete MLN_WebPosto'!$B:$B,$B$2),
  "0"
)</f>
        <v>0</v>
      </c>
      <c r="K130" s="4" t="str">
        <f>IF(Balancete_Oficial[[#Headers],[Fevereiro]]='Balancete MLN_WebPosto'!$G$2,
SUMIFS('Balancete MLN_WebPosto'!$J:$J,'Balancete MLN_WebPosto'!$C:$C,$A130,'Balancete MLN_WebPosto'!$B:$B,$B$2),
  "0"
)</f>
        <v>0</v>
      </c>
      <c r="L130" s="4" t="str">
        <f>IF(Balancete_Oficial[[#Headers],[Março]]='Balancete MLN_WebPosto'!$G$2,
SUMIFS('Balancete MLN_WebPosto'!$J:$J,'Balancete MLN_WebPosto'!$C:$C,$A130,'Balancete MLN_WebPosto'!$B:$B,$B$2),
  "0"
)</f>
        <v>0</v>
      </c>
      <c r="M130" s="4" t="str">
        <f>IF(Balancete_Oficial[[#Headers],[Abril]]='Balancete MLN_WebPosto'!$G$2,
SUMIFS('Balancete MLN_WebPosto'!$J:$J,'Balancete MLN_WebPosto'!$C:$C,$A130,'Balancete MLN_WebPosto'!$B:$B,$B$2),
  "0"
)</f>
        <v>0</v>
      </c>
      <c r="N130" s="4" t="str">
        <f>IF(Balancete_Oficial[[#Headers],[Maio]]='Balancete MLN_WebPosto'!$G$2,
SUMIFS('Balancete MLN_WebPosto'!$I:$I,'Balancete MLN_WebPosto'!$C:$C,$A130,'Balancete MLN_WebPosto'!$B:$B,$B$2),
  "0"
)</f>
        <v>0</v>
      </c>
      <c r="O130" s="4" t="str">
        <f>IF(Balancete_Oficial[[#Headers],[Junho]]='Balancete MLN_WebPosto'!$G$2,
SUMIFS('Balancete MLN_WebPosto'!$I:$I,'Balancete MLN_WebPosto'!$C:$C,$A130,'Balancete MLN_WebPosto'!$B:$B,$B$2),
  "0"
)</f>
        <v>0</v>
      </c>
      <c r="P130" s="4" t="str">
        <f>IF(Balancete_Oficial[[#Headers],[Julho]]='Balancete MLN_WebPosto'!$G$2,
SUMIFS('Balancete MLN_WebPosto'!$I:$I,'Balancete MLN_WebPosto'!$C:$C,$A130,'Balancete MLN_WebPosto'!$B:$B,$B$2),
  "0"
)</f>
        <v>0</v>
      </c>
      <c r="Q130" s="4" t="str">
        <f>IF(Balancete_Oficial[[#Headers],[Agosto]]='Balancete MLN_WebPosto'!$G$2,
SUMIFS('Balancete MLN_WebPosto'!$I:$I,'Balancete MLN_WebPosto'!$C:$C,$A130,'Balancete MLN_WebPosto'!$B:$B,$B$2),
  "0"
)</f>
        <v>0</v>
      </c>
      <c r="R130" s="4">
        <f>IF(Balancete_Oficial[[#Headers],[Setembro]]='Balancete MLN_WebPosto'!$G$2,
SUMIFS('Balancete MLN_WebPosto'!$I:$I,'Balancete MLN_WebPosto'!$C:$C,$A130,'Balancete MLN_WebPosto'!$B:$B,$B$2),
  "0"
)</f>
        <v>0</v>
      </c>
      <c r="S130" s="4" t="str">
        <f>IF(Balancete_Oficial[[#Headers],[Outubro]]='Balancete MLN_WebPosto'!$G$2,
SUMIFS('Balancete MLN_WebPosto'!$I:$I,'Balancete MLN_WebPosto'!$C:$C,$A130,'Balancete MLN_WebPosto'!$B:$B,$B$2),
  "0"
)</f>
        <v>0</v>
      </c>
      <c r="T130" s="4" t="str">
        <f>IF(Balancete_Oficial[[#Headers],[Novembro]]='Balancete MLN_WebPosto'!$G$2,
SUMIFS('Balancete MLN_WebPosto'!$I:$I,'Balancete MLN_WebPosto'!$C:$C,$A130,'Balancete MLN_WebPosto'!$B:$B,$B$2),
  "0"
)</f>
        <v>0</v>
      </c>
      <c r="U130" s="4" t="str">
        <f>IF(Balancete_Oficial[[#Headers],[Dezembro]]='Balancete MLN_WebPosto'!$G$2,
SUMIFS('Balancete MLN_WebPosto'!$I:$I,'Balancete MLN_WebPosto'!$C:$C,$A130,'Balancete MLN_WebPosto'!$B:$B,$B$2),
  "0"
)</f>
        <v>0</v>
      </c>
    </row>
    <row r="131" spans="1:21" x14ac:dyDescent="0.25">
      <c r="A131" s="2" t="str">
        <f>IF(Dados!H128="","",Dados!H128)</f>
        <v/>
      </c>
      <c r="B131" s="2" t="e">
        <f>VLOOKUP(Balancete_Oficial[[#This Row],[Conta]],'Balancete MLN_WebPosto'!C:E,3,0)</f>
        <v>#N/A</v>
      </c>
      <c r="C131" s="3" t="str">
        <f t="shared" si="6"/>
        <v>Sintética</v>
      </c>
      <c r="D131" s="6" t="str">
        <f t="shared" si="7"/>
        <v>R</v>
      </c>
      <c r="E131" s="6" t="str">
        <f t="shared" si="8"/>
        <v/>
      </c>
      <c r="F131" s="6"/>
      <c r="G131" s="6"/>
      <c r="H131" s="6"/>
      <c r="I131" s="6"/>
      <c r="J131" s="4" t="str">
        <f>IF(Balancete_Oficial[[#Headers],[Janeiro]]='Balancete MLN_WebPosto'!$G$2,
SUMIFS('Balancete MLN_WebPosto'!$J:$J,'Balancete MLN_WebPosto'!$C:$C,$A131,'Balancete MLN_WebPosto'!$B:$B,$B$2),
  "0"
)</f>
        <v>0</v>
      </c>
      <c r="K131" s="4" t="str">
        <f>IF(Balancete_Oficial[[#Headers],[Fevereiro]]='Balancete MLN_WebPosto'!$G$2,
SUMIFS('Balancete MLN_WebPosto'!$J:$J,'Balancete MLN_WebPosto'!$C:$C,$A131,'Balancete MLN_WebPosto'!$B:$B,$B$2),
  "0"
)</f>
        <v>0</v>
      </c>
      <c r="L131" s="4" t="str">
        <f>IF(Balancete_Oficial[[#Headers],[Março]]='Balancete MLN_WebPosto'!$G$2,
SUMIFS('Balancete MLN_WebPosto'!$J:$J,'Balancete MLN_WebPosto'!$C:$C,$A131,'Balancete MLN_WebPosto'!$B:$B,$B$2),
  "0"
)</f>
        <v>0</v>
      </c>
      <c r="M131" s="4" t="str">
        <f>IF(Balancete_Oficial[[#Headers],[Abril]]='Balancete MLN_WebPosto'!$G$2,
SUMIFS('Balancete MLN_WebPosto'!$J:$J,'Balancete MLN_WebPosto'!$C:$C,$A131,'Balancete MLN_WebPosto'!$B:$B,$B$2),
  "0"
)</f>
        <v>0</v>
      </c>
      <c r="N131" s="4" t="str">
        <f>IF(Balancete_Oficial[[#Headers],[Maio]]='Balancete MLN_WebPosto'!$G$2,
SUMIFS('Balancete MLN_WebPosto'!$I:$I,'Balancete MLN_WebPosto'!$C:$C,$A131,'Balancete MLN_WebPosto'!$B:$B,$B$2),
  "0"
)</f>
        <v>0</v>
      </c>
      <c r="O131" s="4" t="str">
        <f>IF(Balancete_Oficial[[#Headers],[Junho]]='Balancete MLN_WebPosto'!$G$2,
SUMIFS('Balancete MLN_WebPosto'!$I:$I,'Balancete MLN_WebPosto'!$C:$C,$A131,'Balancete MLN_WebPosto'!$B:$B,$B$2),
  "0"
)</f>
        <v>0</v>
      </c>
      <c r="P131" s="4" t="str">
        <f>IF(Balancete_Oficial[[#Headers],[Julho]]='Balancete MLN_WebPosto'!$G$2,
SUMIFS('Balancete MLN_WebPosto'!$I:$I,'Balancete MLN_WebPosto'!$C:$C,$A131,'Balancete MLN_WebPosto'!$B:$B,$B$2),
  "0"
)</f>
        <v>0</v>
      </c>
      <c r="Q131" s="4" t="str">
        <f>IF(Balancete_Oficial[[#Headers],[Agosto]]='Balancete MLN_WebPosto'!$G$2,
SUMIFS('Balancete MLN_WebPosto'!$I:$I,'Balancete MLN_WebPosto'!$C:$C,$A131,'Balancete MLN_WebPosto'!$B:$B,$B$2),
  "0"
)</f>
        <v>0</v>
      </c>
      <c r="R131" s="4">
        <f>IF(Balancete_Oficial[[#Headers],[Setembro]]='Balancete MLN_WebPosto'!$G$2,
SUMIFS('Balancete MLN_WebPosto'!$I:$I,'Balancete MLN_WebPosto'!$C:$C,$A131,'Balancete MLN_WebPosto'!$B:$B,$B$2),
  "0"
)</f>
        <v>0</v>
      </c>
      <c r="S131" s="4" t="str">
        <f>IF(Balancete_Oficial[[#Headers],[Outubro]]='Balancete MLN_WebPosto'!$G$2,
SUMIFS('Balancete MLN_WebPosto'!$I:$I,'Balancete MLN_WebPosto'!$C:$C,$A131,'Balancete MLN_WebPosto'!$B:$B,$B$2),
  "0"
)</f>
        <v>0</v>
      </c>
      <c r="T131" s="4" t="str">
        <f>IF(Balancete_Oficial[[#Headers],[Novembro]]='Balancete MLN_WebPosto'!$G$2,
SUMIFS('Balancete MLN_WebPosto'!$I:$I,'Balancete MLN_WebPosto'!$C:$C,$A131,'Balancete MLN_WebPosto'!$B:$B,$B$2),
  "0"
)</f>
        <v>0</v>
      </c>
      <c r="U131" s="4" t="str">
        <f>IF(Balancete_Oficial[[#Headers],[Dezembro]]='Balancete MLN_WebPosto'!$G$2,
SUMIFS('Balancete MLN_WebPosto'!$I:$I,'Balancete MLN_WebPosto'!$C:$C,$A131,'Balancete MLN_WebPosto'!$B:$B,$B$2),
  "0"
)</f>
        <v>0</v>
      </c>
    </row>
    <row r="132" spans="1:21" x14ac:dyDescent="0.25">
      <c r="A132" s="2" t="str">
        <f>IF(Dados!H129="","",Dados!H129)</f>
        <v/>
      </c>
      <c r="B132" s="2" t="e">
        <f>VLOOKUP(Balancete_Oficial[[#This Row],[Conta]],'Balancete MLN_WebPosto'!C:E,3,0)</f>
        <v>#N/A</v>
      </c>
      <c r="C132" s="3" t="str">
        <f t="shared" si="6"/>
        <v>Sintética</v>
      </c>
      <c r="D132" s="6" t="str">
        <f t="shared" si="7"/>
        <v>R</v>
      </c>
      <c r="E132" s="6" t="str">
        <f t="shared" si="8"/>
        <v/>
      </c>
      <c r="F132" s="6"/>
      <c r="G132" s="6"/>
      <c r="H132" s="6"/>
      <c r="I132" s="6"/>
      <c r="J132" s="4" t="str">
        <f>IF(Balancete_Oficial[[#Headers],[Janeiro]]='Balancete MLN_WebPosto'!$G$2,
SUMIFS('Balancete MLN_WebPosto'!$J:$J,'Balancete MLN_WebPosto'!$C:$C,$A132,'Balancete MLN_WebPosto'!$B:$B,$B$2),
  "0"
)</f>
        <v>0</v>
      </c>
      <c r="K132" s="4" t="str">
        <f>IF(Balancete_Oficial[[#Headers],[Fevereiro]]='Balancete MLN_WebPosto'!$G$2,
SUMIFS('Balancete MLN_WebPosto'!$J:$J,'Balancete MLN_WebPosto'!$C:$C,$A132,'Balancete MLN_WebPosto'!$B:$B,$B$2),
  "0"
)</f>
        <v>0</v>
      </c>
      <c r="L132" s="4" t="str">
        <f>IF(Balancete_Oficial[[#Headers],[Março]]='Balancete MLN_WebPosto'!$G$2,
SUMIFS('Balancete MLN_WebPosto'!$J:$J,'Balancete MLN_WebPosto'!$C:$C,$A132,'Balancete MLN_WebPosto'!$B:$B,$B$2),
  "0"
)</f>
        <v>0</v>
      </c>
      <c r="M132" s="4" t="str">
        <f>IF(Balancete_Oficial[[#Headers],[Abril]]='Balancete MLN_WebPosto'!$G$2,
SUMIFS('Balancete MLN_WebPosto'!$J:$J,'Balancete MLN_WebPosto'!$C:$C,$A132,'Balancete MLN_WebPosto'!$B:$B,$B$2),
  "0"
)</f>
        <v>0</v>
      </c>
      <c r="N132" s="4" t="str">
        <f>IF(Balancete_Oficial[[#Headers],[Maio]]='Balancete MLN_WebPosto'!$G$2,
SUMIFS('Balancete MLN_WebPosto'!$I:$I,'Balancete MLN_WebPosto'!$C:$C,$A132,'Balancete MLN_WebPosto'!$B:$B,$B$2),
  "0"
)</f>
        <v>0</v>
      </c>
      <c r="O132" s="4" t="str">
        <f>IF(Balancete_Oficial[[#Headers],[Junho]]='Balancete MLN_WebPosto'!$G$2,
SUMIFS('Balancete MLN_WebPosto'!$I:$I,'Balancete MLN_WebPosto'!$C:$C,$A132,'Balancete MLN_WebPosto'!$B:$B,$B$2),
  "0"
)</f>
        <v>0</v>
      </c>
      <c r="P132" s="4" t="str">
        <f>IF(Balancete_Oficial[[#Headers],[Julho]]='Balancete MLN_WebPosto'!$G$2,
SUMIFS('Balancete MLN_WebPosto'!$I:$I,'Balancete MLN_WebPosto'!$C:$C,$A132,'Balancete MLN_WebPosto'!$B:$B,$B$2),
  "0"
)</f>
        <v>0</v>
      </c>
      <c r="Q132" s="4" t="str">
        <f>IF(Balancete_Oficial[[#Headers],[Agosto]]='Balancete MLN_WebPosto'!$G$2,
SUMIFS('Balancete MLN_WebPosto'!$I:$I,'Balancete MLN_WebPosto'!$C:$C,$A132,'Balancete MLN_WebPosto'!$B:$B,$B$2),
  "0"
)</f>
        <v>0</v>
      </c>
      <c r="R132" s="4">
        <f>IF(Balancete_Oficial[[#Headers],[Setembro]]='Balancete MLN_WebPosto'!$G$2,
SUMIFS('Balancete MLN_WebPosto'!$I:$I,'Balancete MLN_WebPosto'!$C:$C,$A132,'Balancete MLN_WebPosto'!$B:$B,$B$2),
  "0"
)</f>
        <v>0</v>
      </c>
      <c r="S132" s="4" t="str">
        <f>IF(Balancete_Oficial[[#Headers],[Outubro]]='Balancete MLN_WebPosto'!$G$2,
SUMIFS('Balancete MLN_WebPosto'!$I:$I,'Balancete MLN_WebPosto'!$C:$C,$A132,'Balancete MLN_WebPosto'!$B:$B,$B$2),
  "0"
)</f>
        <v>0</v>
      </c>
      <c r="T132" s="4" t="str">
        <f>IF(Balancete_Oficial[[#Headers],[Novembro]]='Balancete MLN_WebPosto'!$G$2,
SUMIFS('Balancete MLN_WebPosto'!$I:$I,'Balancete MLN_WebPosto'!$C:$C,$A132,'Balancete MLN_WebPosto'!$B:$B,$B$2),
  "0"
)</f>
        <v>0</v>
      </c>
      <c r="U132" s="4" t="str">
        <f>IF(Balancete_Oficial[[#Headers],[Dezembro]]='Balancete MLN_WebPosto'!$G$2,
SUMIFS('Balancete MLN_WebPosto'!$I:$I,'Balancete MLN_WebPosto'!$C:$C,$A132,'Balancete MLN_WebPosto'!$B:$B,$B$2),
  "0"
)</f>
        <v>0</v>
      </c>
    </row>
    <row r="133" spans="1:21" x14ac:dyDescent="0.25">
      <c r="A133" s="2" t="str">
        <f>IF(Dados!H130="","",Dados!H130)</f>
        <v/>
      </c>
      <c r="B133" s="2" t="e">
        <f>VLOOKUP(Balancete_Oficial[[#This Row],[Conta]],'Balancete MLN_WebPosto'!C:E,3,0)</f>
        <v>#N/A</v>
      </c>
      <c r="C133" s="3" t="str">
        <f t="shared" si="6"/>
        <v>Sintética</v>
      </c>
      <c r="D133" s="6" t="str">
        <f t="shared" si="7"/>
        <v>R</v>
      </c>
      <c r="E133" s="6" t="str">
        <f t="shared" si="8"/>
        <v/>
      </c>
      <c r="F133" s="6"/>
      <c r="G133" s="6"/>
      <c r="H133" s="6"/>
      <c r="I133" s="6"/>
      <c r="J133" s="4" t="str">
        <f>IF(Balancete_Oficial[[#Headers],[Janeiro]]='Balancete MLN_WebPosto'!$G$2,
SUMIFS('Balancete MLN_WebPosto'!$J:$J,'Balancete MLN_WebPosto'!$C:$C,$A133,'Balancete MLN_WebPosto'!$B:$B,$B$2),
  "0"
)</f>
        <v>0</v>
      </c>
      <c r="K133" s="4" t="str">
        <f>IF(Balancete_Oficial[[#Headers],[Fevereiro]]='Balancete MLN_WebPosto'!$G$2,
SUMIFS('Balancete MLN_WebPosto'!$J:$J,'Balancete MLN_WebPosto'!$C:$C,$A133,'Balancete MLN_WebPosto'!$B:$B,$B$2),
  "0"
)</f>
        <v>0</v>
      </c>
      <c r="L133" s="4" t="str">
        <f>IF(Balancete_Oficial[[#Headers],[Março]]='Balancete MLN_WebPosto'!$G$2,
SUMIFS('Balancete MLN_WebPosto'!$J:$J,'Balancete MLN_WebPosto'!$C:$C,$A133,'Balancete MLN_WebPosto'!$B:$B,$B$2),
  "0"
)</f>
        <v>0</v>
      </c>
      <c r="M133" s="4" t="str">
        <f>IF(Balancete_Oficial[[#Headers],[Abril]]='Balancete MLN_WebPosto'!$G$2,
SUMIFS('Balancete MLN_WebPosto'!$J:$J,'Balancete MLN_WebPosto'!$C:$C,$A133,'Balancete MLN_WebPosto'!$B:$B,$B$2),
  "0"
)</f>
        <v>0</v>
      </c>
      <c r="N133" s="4" t="str">
        <f>IF(Balancete_Oficial[[#Headers],[Maio]]='Balancete MLN_WebPosto'!$G$2,
SUMIFS('Balancete MLN_WebPosto'!$I:$I,'Balancete MLN_WebPosto'!$C:$C,$A133,'Balancete MLN_WebPosto'!$B:$B,$B$2),
  "0"
)</f>
        <v>0</v>
      </c>
      <c r="O133" s="4" t="str">
        <f>IF(Balancete_Oficial[[#Headers],[Junho]]='Balancete MLN_WebPosto'!$G$2,
SUMIFS('Balancete MLN_WebPosto'!$I:$I,'Balancete MLN_WebPosto'!$C:$C,$A133,'Balancete MLN_WebPosto'!$B:$B,$B$2),
  "0"
)</f>
        <v>0</v>
      </c>
      <c r="P133" s="4" t="str">
        <f>IF(Balancete_Oficial[[#Headers],[Julho]]='Balancete MLN_WebPosto'!$G$2,
SUMIFS('Balancete MLN_WebPosto'!$I:$I,'Balancete MLN_WebPosto'!$C:$C,$A133,'Balancete MLN_WebPosto'!$B:$B,$B$2),
  "0"
)</f>
        <v>0</v>
      </c>
      <c r="Q133" s="4" t="str">
        <f>IF(Balancete_Oficial[[#Headers],[Agosto]]='Balancete MLN_WebPosto'!$G$2,
SUMIFS('Balancete MLN_WebPosto'!$I:$I,'Balancete MLN_WebPosto'!$C:$C,$A133,'Balancete MLN_WebPosto'!$B:$B,$B$2),
  "0"
)</f>
        <v>0</v>
      </c>
      <c r="R133" s="4">
        <f>IF(Balancete_Oficial[[#Headers],[Setembro]]='Balancete MLN_WebPosto'!$G$2,
SUMIFS('Balancete MLN_WebPosto'!$I:$I,'Balancete MLN_WebPosto'!$C:$C,$A133,'Balancete MLN_WebPosto'!$B:$B,$B$2),
  "0"
)</f>
        <v>0</v>
      </c>
      <c r="S133" s="4" t="str">
        <f>IF(Balancete_Oficial[[#Headers],[Outubro]]='Balancete MLN_WebPosto'!$G$2,
SUMIFS('Balancete MLN_WebPosto'!$I:$I,'Balancete MLN_WebPosto'!$C:$C,$A133,'Balancete MLN_WebPosto'!$B:$B,$B$2),
  "0"
)</f>
        <v>0</v>
      </c>
      <c r="T133" s="4" t="str">
        <f>IF(Balancete_Oficial[[#Headers],[Novembro]]='Balancete MLN_WebPosto'!$G$2,
SUMIFS('Balancete MLN_WebPosto'!$I:$I,'Balancete MLN_WebPosto'!$C:$C,$A133,'Balancete MLN_WebPosto'!$B:$B,$B$2),
  "0"
)</f>
        <v>0</v>
      </c>
      <c r="U133" s="4" t="str">
        <f>IF(Balancete_Oficial[[#Headers],[Dezembro]]='Balancete MLN_WebPosto'!$G$2,
SUMIFS('Balancete MLN_WebPosto'!$I:$I,'Balancete MLN_WebPosto'!$C:$C,$A133,'Balancete MLN_WebPosto'!$B:$B,$B$2),
  "0"
)</f>
        <v>0</v>
      </c>
    </row>
    <row r="134" spans="1:21" x14ac:dyDescent="0.25">
      <c r="A134" s="2" t="str">
        <f>IF(Dados!H131="","",Dados!H131)</f>
        <v/>
      </c>
      <c r="B134" s="2" t="e">
        <f>VLOOKUP(Balancete_Oficial[[#This Row],[Conta]],'Balancete MLN_WebPosto'!C:E,3,0)</f>
        <v>#N/A</v>
      </c>
      <c r="C134" s="3" t="str">
        <f t="shared" si="6"/>
        <v>Sintética</v>
      </c>
      <c r="D134" s="6" t="str">
        <f t="shared" si="7"/>
        <v>R</v>
      </c>
      <c r="E134" s="6" t="str">
        <f t="shared" si="8"/>
        <v/>
      </c>
      <c r="F134" s="6"/>
      <c r="G134" s="6"/>
      <c r="H134" s="6"/>
      <c r="I134" s="6"/>
      <c r="J134" s="4" t="str">
        <f>IF(Balancete_Oficial[[#Headers],[Janeiro]]='Balancete MLN_WebPosto'!$G$2,
SUMIFS('Balancete MLN_WebPosto'!$J:$J,'Balancete MLN_WebPosto'!$C:$C,$A134,'Balancete MLN_WebPosto'!$B:$B,$B$2),
  "0"
)</f>
        <v>0</v>
      </c>
      <c r="K134" s="4" t="str">
        <f>IF(Balancete_Oficial[[#Headers],[Fevereiro]]='Balancete MLN_WebPosto'!$G$2,
SUMIFS('Balancete MLN_WebPosto'!$J:$J,'Balancete MLN_WebPosto'!$C:$C,$A134,'Balancete MLN_WebPosto'!$B:$B,$B$2),
  "0"
)</f>
        <v>0</v>
      </c>
      <c r="L134" s="4" t="str">
        <f>IF(Balancete_Oficial[[#Headers],[Março]]='Balancete MLN_WebPosto'!$G$2,
SUMIFS('Balancete MLN_WebPosto'!$J:$J,'Balancete MLN_WebPosto'!$C:$C,$A134,'Balancete MLN_WebPosto'!$B:$B,$B$2),
  "0"
)</f>
        <v>0</v>
      </c>
      <c r="M134" s="4" t="str">
        <f>IF(Balancete_Oficial[[#Headers],[Abril]]='Balancete MLN_WebPosto'!$G$2,
SUMIFS('Balancete MLN_WebPosto'!$J:$J,'Balancete MLN_WebPosto'!$C:$C,$A134,'Balancete MLN_WebPosto'!$B:$B,$B$2),
  "0"
)</f>
        <v>0</v>
      </c>
      <c r="N134" s="4" t="str">
        <f>IF(Balancete_Oficial[[#Headers],[Maio]]='Balancete MLN_WebPosto'!$G$2,
SUMIFS('Balancete MLN_WebPosto'!$I:$I,'Balancete MLN_WebPosto'!$C:$C,$A134,'Balancete MLN_WebPosto'!$B:$B,$B$2),
  "0"
)</f>
        <v>0</v>
      </c>
      <c r="O134" s="4" t="str">
        <f>IF(Balancete_Oficial[[#Headers],[Junho]]='Balancete MLN_WebPosto'!$G$2,
SUMIFS('Balancete MLN_WebPosto'!$I:$I,'Balancete MLN_WebPosto'!$C:$C,$A134,'Balancete MLN_WebPosto'!$B:$B,$B$2),
  "0"
)</f>
        <v>0</v>
      </c>
      <c r="P134" s="4" t="str">
        <f>IF(Balancete_Oficial[[#Headers],[Julho]]='Balancete MLN_WebPosto'!$G$2,
SUMIFS('Balancete MLN_WebPosto'!$I:$I,'Balancete MLN_WebPosto'!$C:$C,$A134,'Balancete MLN_WebPosto'!$B:$B,$B$2),
  "0"
)</f>
        <v>0</v>
      </c>
      <c r="Q134" s="4" t="str">
        <f>IF(Balancete_Oficial[[#Headers],[Agosto]]='Balancete MLN_WebPosto'!$G$2,
SUMIFS('Balancete MLN_WebPosto'!$I:$I,'Balancete MLN_WebPosto'!$C:$C,$A134,'Balancete MLN_WebPosto'!$B:$B,$B$2),
  "0"
)</f>
        <v>0</v>
      </c>
      <c r="R134" s="4">
        <f>IF(Balancete_Oficial[[#Headers],[Setembro]]='Balancete MLN_WebPosto'!$G$2,
SUMIFS('Balancete MLN_WebPosto'!$I:$I,'Balancete MLN_WebPosto'!$C:$C,$A134,'Balancete MLN_WebPosto'!$B:$B,$B$2),
  "0"
)</f>
        <v>0</v>
      </c>
      <c r="S134" s="4" t="str">
        <f>IF(Balancete_Oficial[[#Headers],[Outubro]]='Balancete MLN_WebPosto'!$G$2,
SUMIFS('Balancete MLN_WebPosto'!$I:$I,'Balancete MLN_WebPosto'!$C:$C,$A134,'Balancete MLN_WebPosto'!$B:$B,$B$2),
  "0"
)</f>
        <v>0</v>
      </c>
      <c r="T134" s="4" t="str">
        <f>IF(Balancete_Oficial[[#Headers],[Novembro]]='Balancete MLN_WebPosto'!$G$2,
SUMIFS('Balancete MLN_WebPosto'!$I:$I,'Balancete MLN_WebPosto'!$C:$C,$A134,'Balancete MLN_WebPosto'!$B:$B,$B$2),
  "0"
)</f>
        <v>0</v>
      </c>
      <c r="U134" s="4" t="str">
        <f>IF(Balancete_Oficial[[#Headers],[Dezembro]]='Balancete MLN_WebPosto'!$G$2,
SUMIFS('Balancete MLN_WebPosto'!$I:$I,'Balancete MLN_WebPosto'!$C:$C,$A134,'Balancete MLN_WebPosto'!$B:$B,$B$2),
  "0"
)</f>
        <v>0</v>
      </c>
    </row>
    <row r="135" spans="1:21" x14ac:dyDescent="0.25">
      <c r="A135" s="2" t="str">
        <f>IF(Dados!H132="","",Dados!H132)</f>
        <v/>
      </c>
      <c r="B135" s="2" t="e">
        <f>VLOOKUP(Balancete_Oficial[[#This Row],[Conta]],'Balancete MLN_WebPosto'!C:E,3,0)</f>
        <v>#N/A</v>
      </c>
      <c r="C135" s="3" t="str">
        <f t="shared" si="6"/>
        <v>Sintética</v>
      </c>
      <c r="D135" s="6" t="str">
        <f t="shared" si="7"/>
        <v>R</v>
      </c>
      <c r="E135" s="6" t="str">
        <f t="shared" si="8"/>
        <v/>
      </c>
      <c r="F135" s="6"/>
      <c r="G135" s="6"/>
      <c r="H135" s="6"/>
      <c r="I135" s="6"/>
      <c r="J135" s="4" t="str">
        <f>IF(Balancete_Oficial[[#Headers],[Janeiro]]='Balancete MLN_WebPosto'!$G$2,
SUMIFS('Balancete MLN_WebPosto'!$J:$J,'Balancete MLN_WebPosto'!$C:$C,$A135,'Balancete MLN_WebPosto'!$B:$B,$B$2),
  "0"
)</f>
        <v>0</v>
      </c>
      <c r="K135" s="4" t="str">
        <f>IF(Balancete_Oficial[[#Headers],[Fevereiro]]='Balancete MLN_WebPosto'!$G$2,
SUMIFS('Balancete MLN_WebPosto'!$J:$J,'Balancete MLN_WebPosto'!$C:$C,$A135,'Balancete MLN_WebPosto'!$B:$B,$B$2),
  "0"
)</f>
        <v>0</v>
      </c>
      <c r="L135" s="4" t="str">
        <f>IF(Balancete_Oficial[[#Headers],[Março]]='Balancete MLN_WebPosto'!$G$2,
SUMIFS('Balancete MLN_WebPosto'!$J:$J,'Balancete MLN_WebPosto'!$C:$C,$A135,'Balancete MLN_WebPosto'!$B:$B,$B$2),
  "0"
)</f>
        <v>0</v>
      </c>
      <c r="M135" s="4" t="str">
        <f>IF(Balancete_Oficial[[#Headers],[Abril]]='Balancete MLN_WebPosto'!$G$2,
SUMIFS('Balancete MLN_WebPosto'!$J:$J,'Balancete MLN_WebPosto'!$C:$C,$A135,'Balancete MLN_WebPosto'!$B:$B,$B$2),
  "0"
)</f>
        <v>0</v>
      </c>
      <c r="N135" s="4" t="str">
        <f>IF(Balancete_Oficial[[#Headers],[Maio]]='Balancete MLN_WebPosto'!$G$2,
SUMIFS('Balancete MLN_WebPosto'!$I:$I,'Balancete MLN_WebPosto'!$C:$C,$A135,'Balancete MLN_WebPosto'!$B:$B,$B$2),
  "0"
)</f>
        <v>0</v>
      </c>
      <c r="O135" s="4" t="str">
        <f>IF(Balancete_Oficial[[#Headers],[Junho]]='Balancete MLN_WebPosto'!$G$2,
SUMIFS('Balancete MLN_WebPosto'!$I:$I,'Balancete MLN_WebPosto'!$C:$C,$A135,'Balancete MLN_WebPosto'!$B:$B,$B$2),
  "0"
)</f>
        <v>0</v>
      </c>
      <c r="P135" s="4" t="str">
        <f>IF(Balancete_Oficial[[#Headers],[Julho]]='Balancete MLN_WebPosto'!$G$2,
SUMIFS('Balancete MLN_WebPosto'!$I:$I,'Balancete MLN_WebPosto'!$C:$C,$A135,'Balancete MLN_WebPosto'!$B:$B,$B$2),
  "0"
)</f>
        <v>0</v>
      </c>
      <c r="Q135" s="4" t="str">
        <f>IF(Balancete_Oficial[[#Headers],[Agosto]]='Balancete MLN_WebPosto'!$G$2,
SUMIFS('Balancete MLN_WebPosto'!$I:$I,'Balancete MLN_WebPosto'!$C:$C,$A135,'Balancete MLN_WebPosto'!$B:$B,$B$2),
  "0"
)</f>
        <v>0</v>
      </c>
      <c r="R135" s="4">
        <f>IF(Balancete_Oficial[[#Headers],[Setembro]]='Balancete MLN_WebPosto'!$G$2,
SUMIFS('Balancete MLN_WebPosto'!$I:$I,'Balancete MLN_WebPosto'!$C:$C,$A135,'Balancete MLN_WebPosto'!$B:$B,$B$2),
  "0"
)</f>
        <v>0</v>
      </c>
      <c r="S135" s="4" t="str">
        <f>IF(Balancete_Oficial[[#Headers],[Outubro]]='Balancete MLN_WebPosto'!$G$2,
SUMIFS('Balancete MLN_WebPosto'!$I:$I,'Balancete MLN_WebPosto'!$C:$C,$A135,'Balancete MLN_WebPosto'!$B:$B,$B$2),
  "0"
)</f>
        <v>0</v>
      </c>
      <c r="T135" s="4" t="str">
        <f>IF(Balancete_Oficial[[#Headers],[Novembro]]='Balancete MLN_WebPosto'!$G$2,
SUMIFS('Balancete MLN_WebPosto'!$I:$I,'Balancete MLN_WebPosto'!$C:$C,$A135,'Balancete MLN_WebPosto'!$B:$B,$B$2),
  "0"
)</f>
        <v>0</v>
      </c>
      <c r="U135" s="4" t="str">
        <f>IF(Balancete_Oficial[[#Headers],[Dezembro]]='Balancete MLN_WebPosto'!$G$2,
SUMIFS('Balancete MLN_WebPosto'!$I:$I,'Balancete MLN_WebPosto'!$C:$C,$A135,'Balancete MLN_WebPosto'!$B:$B,$B$2),
  "0"
)</f>
        <v>0</v>
      </c>
    </row>
    <row r="136" spans="1:21" x14ac:dyDescent="0.25">
      <c r="A136" s="2" t="str">
        <f>IF(Dados!H133="","",Dados!H133)</f>
        <v/>
      </c>
      <c r="B136" s="2" t="e">
        <f>VLOOKUP(Balancete_Oficial[[#This Row],[Conta]],'Balancete MLN_WebPosto'!C:E,3,0)</f>
        <v>#N/A</v>
      </c>
      <c r="C136" s="3" t="str">
        <f t="shared" si="6"/>
        <v>Sintética</v>
      </c>
      <c r="D136" s="6" t="str">
        <f t="shared" si="7"/>
        <v>R</v>
      </c>
      <c r="E136" s="6" t="str">
        <f t="shared" si="8"/>
        <v/>
      </c>
      <c r="F136" s="6"/>
      <c r="G136" s="6"/>
      <c r="H136" s="6"/>
      <c r="I136" s="6"/>
      <c r="J136" s="4" t="str">
        <f>IF(Balancete_Oficial[[#Headers],[Janeiro]]='Balancete MLN_WebPosto'!$G$2,
SUMIFS('Balancete MLN_WebPosto'!$J:$J,'Balancete MLN_WebPosto'!$C:$C,$A136,'Balancete MLN_WebPosto'!$B:$B,$B$2),
  "0"
)</f>
        <v>0</v>
      </c>
      <c r="K136" s="4" t="str">
        <f>IF(Balancete_Oficial[[#Headers],[Fevereiro]]='Balancete MLN_WebPosto'!$G$2,
SUMIFS('Balancete MLN_WebPosto'!$J:$J,'Balancete MLN_WebPosto'!$C:$C,$A136,'Balancete MLN_WebPosto'!$B:$B,$B$2),
  "0"
)</f>
        <v>0</v>
      </c>
      <c r="L136" s="4" t="str">
        <f>IF(Balancete_Oficial[[#Headers],[Março]]='Balancete MLN_WebPosto'!$G$2,
SUMIFS('Balancete MLN_WebPosto'!$J:$J,'Balancete MLN_WebPosto'!$C:$C,$A136,'Balancete MLN_WebPosto'!$B:$B,$B$2),
  "0"
)</f>
        <v>0</v>
      </c>
      <c r="M136" s="4" t="str">
        <f>IF(Balancete_Oficial[[#Headers],[Abril]]='Balancete MLN_WebPosto'!$G$2,
SUMIFS('Balancete MLN_WebPosto'!$J:$J,'Balancete MLN_WebPosto'!$C:$C,$A136,'Balancete MLN_WebPosto'!$B:$B,$B$2),
  "0"
)</f>
        <v>0</v>
      </c>
      <c r="N136" s="4" t="str">
        <f>IF(Balancete_Oficial[[#Headers],[Maio]]='Balancete MLN_WebPosto'!$G$2,
SUMIFS('Balancete MLN_WebPosto'!$I:$I,'Balancete MLN_WebPosto'!$C:$C,$A136,'Balancete MLN_WebPosto'!$B:$B,$B$2),
  "0"
)</f>
        <v>0</v>
      </c>
      <c r="O136" s="4" t="str">
        <f>IF(Balancete_Oficial[[#Headers],[Junho]]='Balancete MLN_WebPosto'!$G$2,
SUMIFS('Balancete MLN_WebPosto'!$I:$I,'Balancete MLN_WebPosto'!$C:$C,$A136,'Balancete MLN_WebPosto'!$B:$B,$B$2),
  "0"
)</f>
        <v>0</v>
      </c>
      <c r="P136" s="4" t="str">
        <f>IF(Balancete_Oficial[[#Headers],[Julho]]='Balancete MLN_WebPosto'!$G$2,
SUMIFS('Balancete MLN_WebPosto'!$I:$I,'Balancete MLN_WebPosto'!$C:$C,$A136,'Balancete MLN_WebPosto'!$B:$B,$B$2),
  "0"
)</f>
        <v>0</v>
      </c>
      <c r="Q136" s="4" t="str">
        <f>IF(Balancete_Oficial[[#Headers],[Agosto]]='Balancete MLN_WebPosto'!$G$2,
SUMIFS('Balancete MLN_WebPosto'!$I:$I,'Balancete MLN_WebPosto'!$C:$C,$A136,'Balancete MLN_WebPosto'!$B:$B,$B$2),
  "0"
)</f>
        <v>0</v>
      </c>
      <c r="R136" s="4">
        <f>IF(Balancete_Oficial[[#Headers],[Setembro]]='Balancete MLN_WebPosto'!$G$2,
SUMIFS('Balancete MLN_WebPosto'!$I:$I,'Balancete MLN_WebPosto'!$C:$C,$A136,'Balancete MLN_WebPosto'!$B:$B,$B$2),
  "0"
)</f>
        <v>0</v>
      </c>
      <c r="S136" s="4" t="str">
        <f>IF(Balancete_Oficial[[#Headers],[Outubro]]='Balancete MLN_WebPosto'!$G$2,
SUMIFS('Balancete MLN_WebPosto'!$I:$I,'Balancete MLN_WebPosto'!$C:$C,$A136,'Balancete MLN_WebPosto'!$B:$B,$B$2),
  "0"
)</f>
        <v>0</v>
      </c>
      <c r="T136" s="4" t="str">
        <f>IF(Balancete_Oficial[[#Headers],[Novembro]]='Balancete MLN_WebPosto'!$G$2,
SUMIFS('Balancete MLN_WebPosto'!$I:$I,'Balancete MLN_WebPosto'!$C:$C,$A136,'Balancete MLN_WebPosto'!$B:$B,$B$2),
  "0"
)</f>
        <v>0</v>
      </c>
      <c r="U136" s="4" t="str">
        <f>IF(Balancete_Oficial[[#Headers],[Dezembro]]='Balancete MLN_WebPosto'!$G$2,
SUMIFS('Balancete MLN_WebPosto'!$I:$I,'Balancete MLN_WebPosto'!$C:$C,$A136,'Balancete MLN_WebPosto'!$B:$B,$B$2),
  "0"
)</f>
        <v>0</v>
      </c>
    </row>
    <row r="137" spans="1:21" x14ac:dyDescent="0.25">
      <c r="A137" s="2" t="str">
        <f>IF(Dados!H134="","",Dados!H134)</f>
        <v/>
      </c>
      <c r="B137" s="2" t="e">
        <f>VLOOKUP(Balancete_Oficial[[#This Row],[Conta]],'Balancete MLN_WebPosto'!C:E,3,0)</f>
        <v>#N/A</v>
      </c>
      <c r="C137" s="3" t="str">
        <f t="shared" ref="C137:C200" si="9">IF(LEN(A137)=17,"Analítica","Sintética")</f>
        <v>Sintética</v>
      </c>
      <c r="D137" s="6" t="str">
        <f t="shared" ref="D137:D200" si="10">IF(LEFT(A137,1)="1","A",IF(LEFT(A137,1)="2","P","R"))</f>
        <v>R</v>
      </c>
      <c r="E137" s="6" t="str">
        <f t="shared" ref="E137:E200" si="11">LEFT(A137,1)</f>
        <v/>
      </c>
      <c r="F137" s="6"/>
      <c r="G137" s="6"/>
      <c r="H137" s="6"/>
      <c r="I137" s="6"/>
      <c r="J137" s="4" t="str">
        <f>IF(Balancete_Oficial[[#Headers],[Janeiro]]='Balancete MLN_WebPosto'!$G$2,
SUMIFS('Balancete MLN_WebPosto'!$J:$J,'Balancete MLN_WebPosto'!$C:$C,$A137,'Balancete MLN_WebPosto'!$B:$B,$B$2),
  "0"
)</f>
        <v>0</v>
      </c>
      <c r="K137" s="4" t="str">
        <f>IF(Balancete_Oficial[[#Headers],[Fevereiro]]='Balancete MLN_WebPosto'!$G$2,
SUMIFS('Balancete MLN_WebPosto'!$J:$J,'Balancete MLN_WebPosto'!$C:$C,$A137,'Balancete MLN_WebPosto'!$B:$B,$B$2),
  "0"
)</f>
        <v>0</v>
      </c>
      <c r="L137" s="4" t="str">
        <f>IF(Balancete_Oficial[[#Headers],[Março]]='Balancete MLN_WebPosto'!$G$2,
SUMIFS('Balancete MLN_WebPosto'!$J:$J,'Balancete MLN_WebPosto'!$C:$C,$A137,'Balancete MLN_WebPosto'!$B:$B,$B$2),
  "0"
)</f>
        <v>0</v>
      </c>
      <c r="M137" s="4" t="str">
        <f>IF(Balancete_Oficial[[#Headers],[Abril]]='Balancete MLN_WebPosto'!$G$2,
SUMIFS('Balancete MLN_WebPosto'!$J:$J,'Balancete MLN_WebPosto'!$C:$C,$A137,'Balancete MLN_WebPosto'!$B:$B,$B$2),
  "0"
)</f>
        <v>0</v>
      </c>
      <c r="N137" s="4" t="str">
        <f>IF(Balancete_Oficial[[#Headers],[Maio]]='Balancete MLN_WebPosto'!$G$2,
SUMIFS('Balancete MLN_WebPosto'!$I:$I,'Balancete MLN_WebPosto'!$C:$C,$A137,'Balancete MLN_WebPosto'!$B:$B,$B$2),
  "0"
)</f>
        <v>0</v>
      </c>
      <c r="O137" s="4" t="str">
        <f>IF(Balancete_Oficial[[#Headers],[Junho]]='Balancete MLN_WebPosto'!$G$2,
SUMIFS('Balancete MLN_WebPosto'!$I:$I,'Balancete MLN_WebPosto'!$C:$C,$A137,'Balancete MLN_WebPosto'!$B:$B,$B$2),
  "0"
)</f>
        <v>0</v>
      </c>
      <c r="P137" s="4" t="str">
        <f>IF(Balancete_Oficial[[#Headers],[Julho]]='Balancete MLN_WebPosto'!$G$2,
SUMIFS('Balancete MLN_WebPosto'!$I:$I,'Balancete MLN_WebPosto'!$C:$C,$A137,'Balancete MLN_WebPosto'!$B:$B,$B$2),
  "0"
)</f>
        <v>0</v>
      </c>
      <c r="Q137" s="4" t="str">
        <f>IF(Balancete_Oficial[[#Headers],[Agosto]]='Balancete MLN_WebPosto'!$G$2,
SUMIFS('Balancete MLN_WebPosto'!$I:$I,'Balancete MLN_WebPosto'!$C:$C,$A137,'Balancete MLN_WebPosto'!$B:$B,$B$2),
  "0"
)</f>
        <v>0</v>
      </c>
      <c r="R137" s="4">
        <f>IF(Balancete_Oficial[[#Headers],[Setembro]]='Balancete MLN_WebPosto'!$G$2,
SUMIFS('Balancete MLN_WebPosto'!$I:$I,'Balancete MLN_WebPosto'!$C:$C,$A137,'Balancete MLN_WebPosto'!$B:$B,$B$2),
  "0"
)</f>
        <v>0</v>
      </c>
      <c r="S137" s="4" t="str">
        <f>IF(Balancete_Oficial[[#Headers],[Outubro]]='Balancete MLN_WebPosto'!$G$2,
SUMIFS('Balancete MLN_WebPosto'!$I:$I,'Balancete MLN_WebPosto'!$C:$C,$A137,'Balancete MLN_WebPosto'!$B:$B,$B$2),
  "0"
)</f>
        <v>0</v>
      </c>
      <c r="T137" s="4" t="str">
        <f>IF(Balancete_Oficial[[#Headers],[Novembro]]='Balancete MLN_WebPosto'!$G$2,
SUMIFS('Balancete MLN_WebPosto'!$I:$I,'Balancete MLN_WebPosto'!$C:$C,$A137,'Balancete MLN_WebPosto'!$B:$B,$B$2),
  "0"
)</f>
        <v>0</v>
      </c>
      <c r="U137" s="4" t="str">
        <f>IF(Balancete_Oficial[[#Headers],[Dezembro]]='Balancete MLN_WebPosto'!$G$2,
SUMIFS('Balancete MLN_WebPosto'!$I:$I,'Balancete MLN_WebPosto'!$C:$C,$A137,'Balancete MLN_WebPosto'!$B:$B,$B$2),
  "0"
)</f>
        <v>0</v>
      </c>
    </row>
    <row r="138" spans="1:21" x14ac:dyDescent="0.25">
      <c r="A138" s="2" t="str">
        <f>IF(Dados!H135="","",Dados!H135)</f>
        <v/>
      </c>
      <c r="B138" s="2" t="e">
        <f>VLOOKUP(Balancete_Oficial[[#This Row],[Conta]],'Balancete MLN_WebPosto'!C:E,3,0)</f>
        <v>#N/A</v>
      </c>
      <c r="C138" s="3" t="str">
        <f t="shared" si="9"/>
        <v>Sintética</v>
      </c>
      <c r="D138" s="6" t="str">
        <f t="shared" si="10"/>
        <v>R</v>
      </c>
      <c r="E138" s="6" t="str">
        <f t="shared" si="11"/>
        <v/>
      </c>
      <c r="F138" s="6"/>
      <c r="G138" s="6"/>
      <c r="H138" s="6"/>
      <c r="I138" s="6"/>
      <c r="J138" s="4" t="str">
        <f>IF(Balancete_Oficial[[#Headers],[Janeiro]]='Balancete MLN_WebPosto'!$G$2,
SUMIFS('Balancete MLN_WebPosto'!$J:$J,'Balancete MLN_WebPosto'!$C:$C,$A138,'Balancete MLN_WebPosto'!$B:$B,$B$2),
  "0"
)</f>
        <v>0</v>
      </c>
      <c r="K138" s="4" t="str">
        <f>IF(Balancete_Oficial[[#Headers],[Fevereiro]]='Balancete MLN_WebPosto'!$G$2,
SUMIFS('Balancete MLN_WebPosto'!$J:$J,'Balancete MLN_WebPosto'!$C:$C,$A138,'Balancete MLN_WebPosto'!$B:$B,$B$2),
  "0"
)</f>
        <v>0</v>
      </c>
      <c r="L138" s="4" t="str">
        <f>IF(Balancete_Oficial[[#Headers],[Março]]='Balancete MLN_WebPosto'!$G$2,
SUMIFS('Balancete MLN_WebPosto'!$J:$J,'Balancete MLN_WebPosto'!$C:$C,$A138,'Balancete MLN_WebPosto'!$B:$B,$B$2),
  "0"
)</f>
        <v>0</v>
      </c>
      <c r="M138" s="4" t="str">
        <f>IF(Balancete_Oficial[[#Headers],[Abril]]='Balancete MLN_WebPosto'!$G$2,
SUMIFS('Balancete MLN_WebPosto'!$J:$J,'Balancete MLN_WebPosto'!$C:$C,$A138,'Balancete MLN_WebPosto'!$B:$B,$B$2),
  "0"
)</f>
        <v>0</v>
      </c>
      <c r="N138" s="4" t="str">
        <f>IF(Balancete_Oficial[[#Headers],[Maio]]='Balancete MLN_WebPosto'!$G$2,
SUMIFS('Balancete MLN_WebPosto'!$I:$I,'Balancete MLN_WebPosto'!$C:$C,$A138,'Balancete MLN_WebPosto'!$B:$B,$B$2),
  "0"
)</f>
        <v>0</v>
      </c>
      <c r="O138" s="4" t="str">
        <f>IF(Balancete_Oficial[[#Headers],[Junho]]='Balancete MLN_WebPosto'!$G$2,
SUMIFS('Balancete MLN_WebPosto'!$I:$I,'Balancete MLN_WebPosto'!$C:$C,$A138,'Balancete MLN_WebPosto'!$B:$B,$B$2),
  "0"
)</f>
        <v>0</v>
      </c>
      <c r="P138" s="4" t="str">
        <f>IF(Balancete_Oficial[[#Headers],[Julho]]='Balancete MLN_WebPosto'!$G$2,
SUMIFS('Balancete MLN_WebPosto'!$I:$I,'Balancete MLN_WebPosto'!$C:$C,$A138,'Balancete MLN_WebPosto'!$B:$B,$B$2),
  "0"
)</f>
        <v>0</v>
      </c>
      <c r="Q138" s="4" t="str">
        <f>IF(Balancete_Oficial[[#Headers],[Agosto]]='Balancete MLN_WebPosto'!$G$2,
SUMIFS('Balancete MLN_WebPosto'!$I:$I,'Balancete MLN_WebPosto'!$C:$C,$A138,'Balancete MLN_WebPosto'!$B:$B,$B$2),
  "0"
)</f>
        <v>0</v>
      </c>
      <c r="R138" s="4">
        <f>IF(Balancete_Oficial[[#Headers],[Setembro]]='Balancete MLN_WebPosto'!$G$2,
SUMIFS('Balancete MLN_WebPosto'!$I:$I,'Balancete MLN_WebPosto'!$C:$C,$A138,'Balancete MLN_WebPosto'!$B:$B,$B$2),
  "0"
)</f>
        <v>0</v>
      </c>
      <c r="S138" s="4" t="str">
        <f>IF(Balancete_Oficial[[#Headers],[Outubro]]='Balancete MLN_WebPosto'!$G$2,
SUMIFS('Balancete MLN_WebPosto'!$I:$I,'Balancete MLN_WebPosto'!$C:$C,$A138,'Balancete MLN_WebPosto'!$B:$B,$B$2),
  "0"
)</f>
        <v>0</v>
      </c>
      <c r="T138" s="4" t="str">
        <f>IF(Balancete_Oficial[[#Headers],[Novembro]]='Balancete MLN_WebPosto'!$G$2,
SUMIFS('Balancete MLN_WebPosto'!$I:$I,'Balancete MLN_WebPosto'!$C:$C,$A138,'Balancete MLN_WebPosto'!$B:$B,$B$2),
  "0"
)</f>
        <v>0</v>
      </c>
      <c r="U138" s="4" t="str">
        <f>IF(Balancete_Oficial[[#Headers],[Dezembro]]='Balancete MLN_WebPosto'!$G$2,
SUMIFS('Balancete MLN_WebPosto'!$I:$I,'Balancete MLN_WebPosto'!$C:$C,$A138,'Balancete MLN_WebPosto'!$B:$B,$B$2),
  "0"
)</f>
        <v>0</v>
      </c>
    </row>
    <row r="139" spans="1:21" x14ac:dyDescent="0.25">
      <c r="A139" s="2" t="str">
        <f>IF(Dados!H136="","",Dados!H136)</f>
        <v/>
      </c>
      <c r="B139" s="2" t="e">
        <f>VLOOKUP(Balancete_Oficial[[#This Row],[Conta]],'Balancete MLN_WebPosto'!C:E,3,0)</f>
        <v>#N/A</v>
      </c>
      <c r="C139" s="3" t="str">
        <f t="shared" si="9"/>
        <v>Sintética</v>
      </c>
      <c r="D139" s="6" t="str">
        <f t="shared" si="10"/>
        <v>R</v>
      </c>
      <c r="E139" s="6" t="str">
        <f t="shared" si="11"/>
        <v/>
      </c>
      <c r="F139" s="6"/>
      <c r="G139" s="6"/>
      <c r="H139" s="6"/>
      <c r="I139" s="6"/>
      <c r="J139" s="4" t="str">
        <f>IF(Balancete_Oficial[[#Headers],[Janeiro]]='Balancete MLN_WebPosto'!$G$2,
SUMIFS('Balancete MLN_WebPosto'!$J:$J,'Balancete MLN_WebPosto'!$C:$C,$A139,'Balancete MLN_WebPosto'!$B:$B,$B$2),
  "0"
)</f>
        <v>0</v>
      </c>
      <c r="K139" s="4" t="str">
        <f>IF(Balancete_Oficial[[#Headers],[Fevereiro]]='Balancete MLN_WebPosto'!$G$2,
SUMIFS('Balancete MLN_WebPosto'!$J:$J,'Balancete MLN_WebPosto'!$C:$C,$A139,'Balancete MLN_WebPosto'!$B:$B,$B$2),
  "0"
)</f>
        <v>0</v>
      </c>
      <c r="L139" s="4" t="str">
        <f>IF(Balancete_Oficial[[#Headers],[Março]]='Balancete MLN_WebPosto'!$G$2,
SUMIFS('Balancete MLN_WebPosto'!$J:$J,'Balancete MLN_WebPosto'!$C:$C,$A139,'Balancete MLN_WebPosto'!$B:$B,$B$2),
  "0"
)</f>
        <v>0</v>
      </c>
      <c r="M139" s="4" t="str">
        <f>IF(Balancete_Oficial[[#Headers],[Abril]]='Balancete MLN_WebPosto'!$G$2,
SUMIFS('Balancete MLN_WebPosto'!$J:$J,'Balancete MLN_WebPosto'!$C:$C,$A139,'Balancete MLN_WebPosto'!$B:$B,$B$2),
  "0"
)</f>
        <v>0</v>
      </c>
      <c r="N139" s="4" t="str">
        <f>IF(Balancete_Oficial[[#Headers],[Maio]]='Balancete MLN_WebPosto'!$G$2,
SUMIFS('Balancete MLN_WebPosto'!$I:$I,'Balancete MLN_WebPosto'!$C:$C,$A139,'Balancete MLN_WebPosto'!$B:$B,$B$2),
  "0"
)</f>
        <v>0</v>
      </c>
      <c r="O139" s="4" t="str">
        <f>IF(Balancete_Oficial[[#Headers],[Junho]]='Balancete MLN_WebPosto'!$G$2,
SUMIFS('Balancete MLN_WebPosto'!$I:$I,'Balancete MLN_WebPosto'!$C:$C,$A139,'Balancete MLN_WebPosto'!$B:$B,$B$2),
  "0"
)</f>
        <v>0</v>
      </c>
      <c r="P139" s="4" t="str">
        <f>IF(Balancete_Oficial[[#Headers],[Julho]]='Balancete MLN_WebPosto'!$G$2,
SUMIFS('Balancete MLN_WebPosto'!$I:$I,'Balancete MLN_WebPosto'!$C:$C,$A139,'Balancete MLN_WebPosto'!$B:$B,$B$2),
  "0"
)</f>
        <v>0</v>
      </c>
      <c r="Q139" s="4" t="str">
        <f>IF(Balancete_Oficial[[#Headers],[Agosto]]='Balancete MLN_WebPosto'!$G$2,
SUMIFS('Balancete MLN_WebPosto'!$I:$I,'Balancete MLN_WebPosto'!$C:$C,$A139,'Balancete MLN_WebPosto'!$B:$B,$B$2),
  "0"
)</f>
        <v>0</v>
      </c>
      <c r="R139" s="4">
        <f>IF(Balancete_Oficial[[#Headers],[Setembro]]='Balancete MLN_WebPosto'!$G$2,
SUMIFS('Balancete MLN_WebPosto'!$I:$I,'Balancete MLN_WebPosto'!$C:$C,$A139,'Balancete MLN_WebPosto'!$B:$B,$B$2),
  "0"
)</f>
        <v>0</v>
      </c>
      <c r="S139" s="4" t="str">
        <f>IF(Balancete_Oficial[[#Headers],[Outubro]]='Balancete MLN_WebPosto'!$G$2,
SUMIFS('Balancete MLN_WebPosto'!$I:$I,'Balancete MLN_WebPosto'!$C:$C,$A139,'Balancete MLN_WebPosto'!$B:$B,$B$2),
  "0"
)</f>
        <v>0</v>
      </c>
      <c r="T139" s="4" t="str">
        <f>IF(Balancete_Oficial[[#Headers],[Novembro]]='Balancete MLN_WebPosto'!$G$2,
SUMIFS('Balancete MLN_WebPosto'!$I:$I,'Balancete MLN_WebPosto'!$C:$C,$A139,'Balancete MLN_WebPosto'!$B:$B,$B$2),
  "0"
)</f>
        <v>0</v>
      </c>
      <c r="U139" s="4" t="str">
        <f>IF(Balancete_Oficial[[#Headers],[Dezembro]]='Balancete MLN_WebPosto'!$G$2,
SUMIFS('Balancete MLN_WebPosto'!$I:$I,'Balancete MLN_WebPosto'!$C:$C,$A139,'Balancete MLN_WebPosto'!$B:$B,$B$2),
  "0"
)</f>
        <v>0</v>
      </c>
    </row>
    <row r="140" spans="1:21" x14ac:dyDescent="0.25">
      <c r="A140" s="2" t="str">
        <f>IF(Dados!H137="","",Dados!H137)</f>
        <v/>
      </c>
      <c r="B140" s="2" t="e">
        <f>VLOOKUP(Balancete_Oficial[[#This Row],[Conta]],'Balancete MLN_WebPosto'!C:E,3,0)</f>
        <v>#N/A</v>
      </c>
      <c r="C140" s="3" t="str">
        <f t="shared" si="9"/>
        <v>Sintética</v>
      </c>
      <c r="D140" s="6" t="str">
        <f t="shared" si="10"/>
        <v>R</v>
      </c>
      <c r="E140" s="6" t="str">
        <f t="shared" si="11"/>
        <v/>
      </c>
      <c r="F140" s="6"/>
      <c r="G140" s="6"/>
      <c r="H140" s="6"/>
      <c r="I140" s="6"/>
      <c r="J140" s="4" t="str">
        <f>IF(Balancete_Oficial[[#Headers],[Janeiro]]='Balancete MLN_WebPosto'!$G$2,
SUMIFS('Balancete MLN_WebPosto'!$J:$J,'Balancete MLN_WebPosto'!$C:$C,$A140,'Balancete MLN_WebPosto'!$B:$B,$B$2),
  "0"
)</f>
        <v>0</v>
      </c>
      <c r="K140" s="4" t="str">
        <f>IF(Balancete_Oficial[[#Headers],[Fevereiro]]='Balancete MLN_WebPosto'!$G$2,
SUMIFS('Balancete MLN_WebPosto'!$J:$J,'Balancete MLN_WebPosto'!$C:$C,$A140,'Balancete MLN_WebPosto'!$B:$B,$B$2),
  "0"
)</f>
        <v>0</v>
      </c>
      <c r="L140" s="4" t="str">
        <f>IF(Balancete_Oficial[[#Headers],[Março]]='Balancete MLN_WebPosto'!$G$2,
SUMIFS('Balancete MLN_WebPosto'!$J:$J,'Balancete MLN_WebPosto'!$C:$C,$A140,'Balancete MLN_WebPosto'!$B:$B,$B$2),
  "0"
)</f>
        <v>0</v>
      </c>
      <c r="M140" s="4" t="str">
        <f>IF(Balancete_Oficial[[#Headers],[Abril]]='Balancete MLN_WebPosto'!$G$2,
SUMIFS('Balancete MLN_WebPosto'!$J:$J,'Balancete MLN_WebPosto'!$C:$C,$A140,'Balancete MLN_WebPosto'!$B:$B,$B$2),
  "0"
)</f>
        <v>0</v>
      </c>
      <c r="N140" s="4" t="str">
        <f>IF(Balancete_Oficial[[#Headers],[Maio]]='Balancete MLN_WebPosto'!$G$2,
SUMIFS('Balancete MLN_WebPosto'!$I:$I,'Balancete MLN_WebPosto'!$C:$C,$A140,'Balancete MLN_WebPosto'!$B:$B,$B$2),
  "0"
)</f>
        <v>0</v>
      </c>
      <c r="O140" s="4" t="str">
        <f>IF(Balancete_Oficial[[#Headers],[Junho]]='Balancete MLN_WebPosto'!$G$2,
SUMIFS('Balancete MLN_WebPosto'!$I:$I,'Balancete MLN_WebPosto'!$C:$C,$A140,'Balancete MLN_WebPosto'!$B:$B,$B$2),
  "0"
)</f>
        <v>0</v>
      </c>
      <c r="P140" s="4" t="str">
        <f>IF(Balancete_Oficial[[#Headers],[Julho]]='Balancete MLN_WebPosto'!$G$2,
SUMIFS('Balancete MLN_WebPosto'!$I:$I,'Balancete MLN_WebPosto'!$C:$C,$A140,'Balancete MLN_WebPosto'!$B:$B,$B$2),
  "0"
)</f>
        <v>0</v>
      </c>
      <c r="Q140" s="4" t="str">
        <f>IF(Balancete_Oficial[[#Headers],[Agosto]]='Balancete MLN_WebPosto'!$G$2,
SUMIFS('Balancete MLN_WebPosto'!$I:$I,'Balancete MLN_WebPosto'!$C:$C,$A140,'Balancete MLN_WebPosto'!$B:$B,$B$2),
  "0"
)</f>
        <v>0</v>
      </c>
      <c r="R140" s="4">
        <f>IF(Balancete_Oficial[[#Headers],[Setembro]]='Balancete MLN_WebPosto'!$G$2,
SUMIFS('Balancete MLN_WebPosto'!$I:$I,'Balancete MLN_WebPosto'!$C:$C,$A140,'Balancete MLN_WebPosto'!$B:$B,$B$2),
  "0"
)</f>
        <v>0</v>
      </c>
      <c r="S140" s="4" t="str">
        <f>IF(Balancete_Oficial[[#Headers],[Outubro]]='Balancete MLN_WebPosto'!$G$2,
SUMIFS('Balancete MLN_WebPosto'!$I:$I,'Balancete MLN_WebPosto'!$C:$C,$A140,'Balancete MLN_WebPosto'!$B:$B,$B$2),
  "0"
)</f>
        <v>0</v>
      </c>
      <c r="T140" s="4" t="str">
        <f>IF(Balancete_Oficial[[#Headers],[Novembro]]='Balancete MLN_WebPosto'!$G$2,
SUMIFS('Balancete MLN_WebPosto'!$I:$I,'Balancete MLN_WebPosto'!$C:$C,$A140,'Balancete MLN_WebPosto'!$B:$B,$B$2),
  "0"
)</f>
        <v>0</v>
      </c>
      <c r="U140" s="4" t="str">
        <f>IF(Balancete_Oficial[[#Headers],[Dezembro]]='Balancete MLN_WebPosto'!$G$2,
SUMIFS('Balancete MLN_WebPosto'!$I:$I,'Balancete MLN_WebPosto'!$C:$C,$A140,'Balancete MLN_WebPosto'!$B:$B,$B$2),
  "0"
)</f>
        <v>0</v>
      </c>
    </row>
    <row r="141" spans="1:21" x14ac:dyDescent="0.25">
      <c r="A141" s="2" t="str">
        <f>IF(Dados!H138="","",Dados!H138)</f>
        <v/>
      </c>
      <c r="B141" s="2" t="e">
        <f>VLOOKUP(Balancete_Oficial[[#This Row],[Conta]],'Balancete MLN_WebPosto'!C:E,3,0)</f>
        <v>#N/A</v>
      </c>
      <c r="C141" s="3" t="str">
        <f t="shared" si="9"/>
        <v>Sintética</v>
      </c>
      <c r="D141" s="6" t="str">
        <f t="shared" si="10"/>
        <v>R</v>
      </c>
      <c r="E141" s="6" t="str">
        <f t="shared" si="11"/>
        <v/>
      </c>
      <c r="F141" s="6"/>
      <c r="G141" s="6"/>
      <c r="H141" s="6"/>
      <c r="I141" s="6"/>
      <c r="J141" s="4" t="str">
        <f>IF(Balancete_Oficial[[#Headers],[Janeiro]]='Balancete MLN_WebPosto'!$G$2,
SUMIFS('Balancete MLN_WebPosto'!$J:$J,'Balancete MLN_WebPosto'!$C:$C,$A141,'Balancete MLN_WebPosto'!$B:$B,$B$2),
  "0"
)</f>
        <v>0</v>
      </c>
      <c r="K141" s="4" t="str">
        <f>IF(Balancete_Oficial[[#Headers],[Fevereiro]]='Balancete MLN_WebPosto'!$G$2,
SUMIFS('Balancete MLN_WebPosto'!$J:$J,'Balancete MLN_WebPosto'!$C:$C,$A141,'Balancete MLN_WebPosto'!$B:$B,$B$2),
  "0"
)</f>
        <v>0</v>
      </c>
      <c r="L141" s="4" t="str">
        <f>IF(Balancete_Oficial[[#Headers],[Março]]='Balancete MLN_WebPosto'!$G$2,
SUMIFS('Balancete MLN_WebPosto'!$J:$J,'Balancete MLN_WebPosto'!$C:$C,$A141,'Balancete MLN_WebPosto'!$B:$B,$B$2),
  "0"
)</f>
        <v>0</v>
      </c>
      <c r="M141" s="4" t="str">
        <f>IF(Balancete_Oficial[[#Headers],[Abril]]='Balancete MLN_WebPosto'!$G$2,
SUMIFS('Balancete MLN_WebPosto'!$J:$J,'Balancete MLN_WebPosto'!$C:$C,$A141,'Balancete MLN_WebPosto'!$B:$B,$B$2),
  "0"
)</f>
        <v>0</v>
      </c>
      <c r="N141" s="4" t="str">
        <f>IF(Balancete_Oficial[[#Headers],[Maio]]='Balancete MLN_WebPosto'!$G$2,
SUMIFS('Balancete MLN_WebPosto'!$I:$I,'Balancete MLN_WebPosto'!$C:$C,$A141,'Balancete MLN_WebPosto'!$B:$B,$B$2),
  "0"
)</f>
        <v>0</v>
      </c>
      <c r="O141" s="4" t="str">
        <f>IF(Balancete_Oficial[[#Headers],[Junho]]='Balancete MLN_WebPosto'!$G$2,
SUMIFS('Balancete MLN_WebPosto'!$I:$I,'Balancete MLN_WebPosto'!$C:$C,$A141,'Balancete MLN_WebPosto'!$B:$B,$B$2),
  "0"
)</f>
        <v>0</v>
      </c>
      <c r="P141" s="4" t="str">
        <f>IF(Balancete_Oficial[[#Headers],[Julho]]='Balancete MLN_WebPosto'!$G$2,
SUMIFS('Balancete MLN_WebPosto'!$I:$I,'Balancete MLN_WebPosto'!$C:$C,$A141,'Balancete MLN_WebPosto'!$B:$B,$B$2),
  "0"
)</f>
        <v>0</v>
      </c>
      <c r="Q141" s="4" t="str">
        <f>IF(Balancete_Oficial[[#Headers],[Agosto]]='Balancete MLN_WebPosto'!$G$2,
SUMIFS('Balancete MLN_WebPosto'!$I:$I,'Balancete MLN_WebPosto'!$C:$C,$A141,'Balancete MLN_WebPosto'!$B:$B,$B$2),
  "0"
)</f>
        <v>0</v>
      </c>
      <c r="R141" s="4">
        <f>IF(Balancete_Oficial[[#Headers],[Setembro]]='Balancete MLN_WebPosto'!$G$2,
SUMIFS('Balancete MLN_WebPosto'!$I:$I,'Balancete MLN_WebPosto'!$C:$C,$A141,'Balancete MLN_WebPosto'!$B:$B,$B$2),
  "0"
)</f>
        <v>0</v>
      </c>
      <c r="S141" s="4" t="str">
        <f>IF(Balancete_Oficial[[#Headers],[Outubro]]='Balancete MLN_WebPosto'!$G$2,
SUMIFS('Balancete MLN_WebPosto'!$I:$I,'Balancete MLN_WebPosto'!$C:$C,$A141,'Balancete MLN_WebPosto'!$B:$B,$B$2),
  "0"
)</f>
        <v>0</v>
      </c>
      <c r="T141" s="4" t="str">
        <f>IF(Balancete_Oficial[[#Headers],[Novembro]]='Balancete MLN_WebPosto'!$G$2,
SUMIFS('Balancete MLN_WebPosto'!$I:$I,'Balancete MLN_WebPosto'!$C:$C,$A141,'Balancete MLN_WebPosto'!$B:$B,$B$2),
  "0"
)</f>
        <v>0</v>
      </c>
      <c r="U141" s="4" t="str">
        <f>IF(Balancete_Oficial[[#Headers],[Dezembro]]='Balancete MLN_WebPosto'!$G$2,
SUMIFS('Balancete MLN_WebPosto'!$I:$I,'Balancete MLN_WebPosto'!$C:$C,$A141,'Balancete MLN_WebPosto'!$B:$B,$B$2),
  "0"
)</f>
        <v>0</v>
      </c>
    </row>
    <row r="142" spans="1:21" x14ac:dyDescent="0.25">
      <c r="A142" s="2" t="str">
        <f>IF(Dados!H139="","",Dados!H139)</f>
        <v/>
      </c>
      <c r="B142" s="2" t="e">
        <f>VLOOKUP(Balancete_Oficial[[#This Row],[Conta]],'Balancete MLN_WebPosto'!C:E,3,0)</f>
        <v>#N/A</v>
      </c>
      <c r="C142" s="3" t="str">
        <f t="shared" si="9"/>
        <v>Sintética</v>
      </c>
      <c r="D142" s="6" t="str">
        <f t="shared" si="10"/>
        <v>R</v>
      </c>
      <c r="E142" s="6" t="str">
        <f t="shared" si="11"/>
        <v/>
      </c>
      <c r="F142" s="6"/>
      <c r="G142" s="6"/>
      <c r="H142" s="6"/>
      <c r="I142" s="6"/>
      <c r="J142" s="4" t="str">
        <f>IF(Balancete_Oficial[[#Headers],[Janeiro]]='Balancete MLN_WebPosto'!$G$2,
SUMIFS('Balancete MLN_WebPosto'!$J:$J,'Balancete MLN_WebPosto'!$C:$C,$A142,'Balancete MLN_WebPosto'!$B:$B,$B$2),
  "0"
)</f>
        <v>0</v>
      </c>
      <c r="K142" s="4" t="str">
        <f>IF(Balancete_Oficial[[#Headers],[Fevereiro]]='Balancete MLN_WebPosto'!$G$2,
SUMIFS('Balancete MLN_WebPosto'!$J:$J,'Balancete MLN_WebPosto'!$C:$C,$A142,'Balancete MLN_WebPosto'!$B:$B,$B$2),
  "0"
)</f>
        <v>0</v>
      </c>
      <c r="L142" s="4" t="str">
        <f>IF(Balancete_Oficial[[#Headers],[Março]]='Balancete MLN_WebPosto'!$G$2,
SUMIFS('Balancete MLN_WebPosto'!$J:$J,'Balancete MLN_WebPosto'!$C:$C,$A142,'Balancete MLN_WebPosto'!$B:$B,$B$2),
  "0"
)</f>
        <v>0</v>
      </c>
      <c r="M142" s="4" t="str">
        <f>IF(Balancete_Oficial[[#Headers],[Abril]]='Balancete MLN_WebPosto'!$G$2,
SUMIFS('Balancete MLN_WebPosto'!$J:$J,'Balancete MLN_WebPosto'!$C:$C,$A142,'Balancete MLN_WebPosto'!$B:$B,$B$2),
  "0"
)</f>
        <v>0</v>
      </c>
      <c r="N142" s="4" t="str">
        <f>IF(Balancete_Oficial[[#Headers],[Maio]]='Balancete MLN_WebPosto'!$G$2,
SUMIFS('Balancete MLN_WebPosto'!$I:$I,'Balancete MLN_WebPosto'!$C:$C,$A142,'Balancete MLN_WebPosto'!$B:$B,$B$2),
  "0"
)</f>
        <v>0</v>
      </c>
      <c r="O142" s="4" t="str">
        <f>IF(Balancete_Oficial[[#Headers],[Junho]]='Balancete MLN_WebPosto'!$G$2,
SUMIFS('Balancete MLN_WebPosto'!$I:$I,'Balancete MLN_WebPosto'!$C:$C,$A142,'Balancete MLN_WebPosto'!$B:$B,$B$2),
  "0"
)</f>
        <v>0</v>
      </c>
      <c r="P142" s="4" t="str">
        <f>IF(Balancete_Oficial[[#Headers],[Julho]]='Balancete MLN_WebPosto'!$G$2,
SUMIFS('Balancete MLN_WebPosto'!$I:$I,'Balancete MLN_WebPosto'!$C:$C,$A142,'Balancete MLN_WebPosto'!$B:$B,$B$2),
  "0"
)</f>
        <v>0</v>
      </c>
      <c r="Q142" s="4" t="str">
        <f>IF(Balancete_Oficial[[#Headers],[Agosto]]='Balancete MLN_WebPosto'!$G$2,
SUMIFS('Balancete MLN_WebPosto'!$I:$I,'Balancete MLN_WebPosto'!$C:$C,$A142,'Balancete MLN_WebPosto'!$B:$B,$B$2),
  "0"
)</f>
        <v>0</v>
      </c>
      <c r="R142" s="4">
        <f>IF(Balancete_Oficial[[#Headers],[Setembro]]='Balancete MLN_WebPosto'!$G$2,
SUMIFS('Balancete MLN_WebPosto'!$I:$I,'Balancete MLN_WebPosto'!$C:$C,$A142,'Balancete MLN_WebPosto'!$B:$B,$B$2),
  "0"
)</f>
        <v>0</v>
      </c>
      <c r="S142" s="4" t="str">
        <f>IF(Balancete_Oficial[[#Headers],[Outubro]]='Balancete MLN_WebPosto'!$G$2,
SUMIFS('Balancete MLN_WebPosto'!$I:$I,'Balancete MLN_WebPosto'!$C:$C,$A142,'Balancete MLN_WebPosto'!$B:$B,$B$2),
  "0"
)</f>
        <v>0</v>
      </c>
      <c r="T142" s="4" t="str">
        <f>IF(Balancete_Oficial[[#Headers],[Novembro]]='Balancete MLN_WebPosto'!$G$2,
SUMIFS('Balancete MLN_WebPosto'!$I:$I,'Balancete MLN_WebPosto'!$C:$C,$A142,'Balancete MLN_WebPosto'!$B:$B,$B$2),
  "0"
)</f>
        <v>0</v>
      </c>
      <c r="U142" s="4" t="str">
        <f>IF(Balancete_Oficial[[#Headers],[Dezembro]]='Balancete MLN_WebPosto'!$G$2,
SUMIFS('Balancete MLN_WebPosto'!$I:$I,'Balancete MLN_WebPosto'!$C:$C,$A142,'Balancete MLN_WebPosto'!$B:$B,$B$2),
  "0"
)</f>
        <v>0</v>
      </c>
    </row>
    <row r="143" spans="1:21" x14ac:dyDescent="0.25">
      <c r="A143" s="2" t="str">
        <f>IF(Dados!H140="","",Dados!H140)</f>
        <v/>
      </c>
      <c r="B143" s="2" t="e">
        <f>VLOOKUP(Balancete_Oficial[[#This Row],[Conta]],'Balancete MLN_WebPosto'!C:E,3,0)</f>
        <v>#N/A</v>
      </c>
      <c r="C143" s="3" t="str">
        <f t="shared" si="9"/>
        <v>Sintética</v>
      </c>
      <c r="D143" s="6" t="str">
        <f t="shared" si="10"/>
        <v>R</v>
      </c>
      <c r="E143" s="6" t="str">
        <f t="shared" si="11"/>
        <v/>
      </c>
      <c r="F143" s="6"/>
      <c r="G143" s="6"/>
      <c r="H143" s="6"/>
      <c r="I143" s="6"/>
      <c r="J143" s="4" t="str">
        <f>IF(Balancete_Oficial[[#Headers],[Janeiro]]='Balancete MLN_WebPosto'!$G$2,
SUMIFS('Balancete MLN_WebPosto'!$J:$J,'Balancete MLN_WebPosto'!$C:$C,$A143,'Balancete MLN_WebPosto'!$B:$B,$B$2),
  "0"
)</f>
        <v>0</v>
      </c>
      <c r="K143" s="4" t="str">
        <f>IF(Balancete_Oficial[[#Headers],[Fevereiro]]='Balancete MLN_WebPosto'!$G$2,
SUMIFS('Balancete MLN_WebPosto'!$J:$J,'Balancete MLN_WebPosto'!$C:$C,$A143,'Balancete MLN_WebPosto'!$B:$B,$B$2),
  "0"
)</f>
        <v>0</v>
      </c>
      <c r="L143" s="4" t="str">
        <f>IF(Balancete_Oficial[[#Headers],[Março]]='Balancete MLN_WebPosto'!$G$2,
SUMIFS('Balancete MLN_WebPosto'!$J:$J,'Balancete MLN_WebPosto'!$C:$C,$A143,'Balancete MLN_WebPosto'!$B:$B,$B$2),
  "0"
)</f>
        <v>0</v>
      </c>
      <c r="M143" s="4" t="str">
        <f>IF(Balancete_Oficial[[#Headers],[Abril]]='Balancete MLN_WebPosto'!$G$2,
SUMIFS('Balancete MLN_WebPosto'!$J:$J,'Balancete MLN_WebPosto'!$C:$C,$A143,'Balancete MLN_WebPosto'!$B:$B,$B$2),
  "0"
)</f>
        <v>0</v>
      </c>
      <c r="N143" s="4" t="str">
        <f>IF(Balancete_Oficial[[#Headers],[Maio]]='Balancete MLN_WebPosto'!$G$2,
SUMIFS('Balancete MLN_WebPosto'!$I:$I,'Balancete MLN_WebPosto'!$C:$C,$A143,'Balancete MLN_WebPosto'!$B:$B,$B$2),
  "0"
)</f>
        <v>0</v>
      </c>
      <c r="O143" s="4" t="str">
        <f>IF(Balancete_Oficial[[#Headers],[Junho]]='Balancete MLN_WebPosto'!$G$2,
SUMIFS('Balancete MLN_WebPosto'!$I:$I,'Balancete MLN_WebPosto'!$C:$C,$A143,'Balancete MLN_WebPosto'!$B:$B,$B$2),
  "0"
)</f>
        <v>0</v>
      </c>
      <c r="P143" s="4" t="str">
        <f>IF(Balancete_Oficial[[#Headers],[Julho]]='Balancete MLN_WebPosto'!$G$2,
SUMIFS('Balancete MLN_WebPosto'!$I:$I,'Balancete MLN_WebPosto'!$C:$C,$A143,'Balancete MLN_WebPosto'!$B:$B,$B$2),
  "0"
)</f>
        <v>0</v>
      </c>
      <c r="Q143" s="4" t="str">
        <f>IF(Balancete_Oficial[[#Headers],[Agosto]]='Balancete MLN_WebPosto'!$G$2,
SUMIFS('Balancete MLN_WebPosto'!$I:$I,'Balancete MLN_WebPosto'!$C:$C,$A143,'Balancete MLN_WebPosto'!$B:$B,$B$2),
  "0"
)</f>
        <v>0</v>
      </c>
      <c r="R143" s="4">
        <f>IF(Balancete_Oficial[[#Headers],[Setembro]]='Balancete MLN_WebPosto'!$G$2,
SUMIFS('Balancete MLN_WebPosto'!$I:$I,'Balancete MLN_WebPosto'!$C:$C,$A143,'Balancete MLN_WebPosto'!$B:$B,$B$2),
  "0"
)</f>
        <v>0</v>
      </c>
      <c r="S143" s="4" t="str">
        <f>IF(Balancete_Oficial[[#Headers],[Outubro]]='Balancete MLN_WebPosto'!$G$2,
SUMIFS('Balancete MLN_WebPosto'!$I:$I,'Balancete MLN_WebPosto'!$C:$C,$A143,'Balancete MLN_WebPosto'!$B:$B,$B$2),
  "0"
)</f>
        <v>0</v>
      </c>
      <c r="T143" s="4" t="str">
        <f>IF(Balancete_Oficial[[#Headers],[Novembro]]='Balancete MLN_WebPosto'!$G$2,
SUMIFS('Balancete MLN_WebPosto'!$I:$I,'Balancete MLN_WebPosto'!$C:$C,$A143,'Balancete MLN_WebPosto'!$B:$B,$B$2),
  "0"
)</f>
        <v>0</v>
      </c>
      <c r="U143" s="4" t="str">
        <f>IF(Balancete_Oficial[[#Headers],[Dezembro]]='Balancete MLN_WebPosto'!$G$2,
SUMIFS('Balancete MLN_WebPosto'!$I:$I,'Balancete MLN_WebPosto'!$C:$C,$A143,'Balancete MLN_WebPosto'!$B:$B,$B$2),
  "0"
)</f>
        <v>0</v>
      </c>
    </row>
    <row r="144" spans="1:21" x14ac:dyDescent="0.25">
      <c r="A144" s="2" t="str">
        <f>IF(Dados!H141="","",Dados!H141)</f>
        <v/>
      </c>
      <c r="B144" s="2" t="e">
        <f>VLOOKUP(Balancete_Oficial[[#This Row],[Conta]],'Balancete MLN_WebPosto'!C:E,3,0)</f>
        <v>#N/A</v>
      </c>
      <c r="C144" s="3" t="str">
        <f t="shared" si="9"/>
        <v>Sintética</v>
      </c>
      <c r="D144" s="6" t="str">
        <f t="shared" si="10"/>
        <v>R</v>
      </c>
      <c r="E144" s="6" t="str">
        <f t="shared" si="11"/>
        <v/>
      </c>
      <c r="F144" s="6"/>
      <c r="G144" s="6"/>
      <c r="H144" s="6"/>
      <c r="I144" s="6"/>
      <c r="J144" s="4" t="str">
        <f>IF(Balancete_Oficial[[#Headers],[Janeiro]]='Balancete MLN_WebPosto'!$G$2,
SUMIFS('Balancete MLN_WebPosto'!$J:$J,'Balancete MLN_WebPosto'!$C:$C,$A144,'Balancete MLN_WebPosto'!$B:$B,$B$2),
  "0"
)</f>
        <v>0</v>
      </c>
      <c r="K144" s="4" t="str">
        <f>IF(Balancete_Oficial[[#Headers],[Fevereiro]]='Balancete MLN_WebPosto'!$G$2,
SUMIFS('Balancete MLN_WebPosto'!$J:$J,'Balancete MLN_WebPosto'!$C:$C,$A144,'Balancete MLN_WebPosto'!$B:$B,$B$2),
  "0"
)</f>
        <v>0</v>
      </c>
      <c r="L144" s="4" t="str">
        <f>IF(Balancete_Oficial[[#Headers],[Março]]='Balancete MLN_WebPosto'!$G$2,
SUMIFS('Balancete MLN_WebPosto'!$J:$J,'Balancete MLN_WebPosto'!$C:$C,$A144,'Balancete MLN_WebPosto'!$B:$B,$B$2),
  "0"
)</f>
        <v>0</v>
      </c>
      <c r="M144" s="4" t="str">
        <f>IF(Balancete_Oficial[[#Headers],[Abril]]='Balancete MLN_WebPosto'!$G$2,
SUMIFS('Balancete MLN_WebPosto'!$J:$J,'Balancete MLN_WebPosto'!$C:$C,$A144,'Balancete MLN_WebPosto'!$B:$B,$B$2),
  "0"
)</f>
        <v>0</v>
      </c>
      <c r="N144" s="4" t="str">
        <f>IF(Balancete_Oficial[[#Headers],[Maio]]='Balancete MLN_WebPosto'!$G$2,
SUMIFS('Balancete MLN_WebPosto'!$I:$I,'Balancete MLN_WebPosto'!$C:$C,$A144,'Balancete MLN_WebPosto'!$B:$B,$B$2),
  "0"
)</f>
        <v>0</v>
      </c>
      <c r="O144" s="4" t="str">
        <f>IF(Balancete_Oficial[[#Headers],[Junho]]='Balancete MLN_WebPosto'!$G$2,
SUMIFS('Balancete MLN_WebPosto'!$I:$I,'Balancete MLN_WebPosto'!$C:$C,$A144,'Balancete MLN_WebPosto'!$B:$B,$B$2),
  "0"
)</f>
        <v>0</v>
      </c>
      <c r="P144" s="4" t="str">
        <f>IF(Balancete_Oficial[[#Headers],[Julho]]='Balancete MLN_WebPosto'!$G$2,
SUMIFS('Balancete MLN_WebPosto'!$I:$I,'Balancete MLN_WebPosto'!$C:$C,$A144,'Balancete MLN_WebPosto'!$B:$B,$B$2),
  "0"
)</f>
        <v>0</v>
      </c>
      <c r="Q144" s="4" t="str">
        <f>IF(Balancete_Oficial[[#Headers],[Agosto]]='Balancete MLN_WebPosto'!$G$2,
SUMIFS('Balancete MLN_WebPosto'!$I:$I,'Balancete MLN_WebPosto'!$C:$C,$A144,'Balancete MLN_WebPosto'!$B:$B,$B$2),
  "0"
)</f>
        <v>0</v>
      </c>
      <c r="R144" s="4">
        <f>IF(Balancete_Oficial[[#Headers],[Setembro]]='Balancete MLN_WebPosto'!$G$2,
SUMIFS('Balancete MLN_WebPosto'!$I:$I,'Balancete MLN_WebPosto'!$C:$C,$A144,'Balancete MLN_WebPosto'!$B:$B,$B$2),
  "0"
)</f>
        <v>0</v>
      </c>
      <c r="S144" s="4" t="str">
        <f>IF(Balancete_Oficial[[#Headers],[Outubro]]='Balancete MLN_WebPosto'!$G$2,
SUMIFS('Balancete MLN_WebPosto'!$I:$I,'Balancete MLN_WebPosto'!$C:$C,$A144,'Balancete MLN_WebPosto'!$B:$B,$B$2),
  "0"
)</f>
        <v>0</v>
      </c>
      <c r="T144" s="4" t="str">
        <f>IF(Balancete_Oficial[[#Headers],[Novembro]]='Balancete MLN_WebPosto'!$G$2,
SUMIFS('Balancete MLN_WebPosto'!$I:$I,'Balancete MLN_WebPosto'!$C:$C,$A144,'Balancete MLN_WebPosto'!$B:$B,$B$2),
  "0"
)</f>
        <v>0</v>
      </c>
      <c r="U144" s="4" t="str">
        <f>IF(Balancete_Oficial[[#Headers],[Dezembro]]='Balancete MLN_WebPosto'!$G$2,
SUMIFS('Balancete MLN_WebPosto'!$I:$I,'Balancete MLN_WebPosto'!$C:$C,$A144,'Balancete MLN_WebPosto'!$B:$B,$B$2),
  "0"
)</f>
        <v>0</v>
      </c>
    </row>
    <row r="145" spans="1:21" x14ac:dyDescent="0.25">
      <c r="A145" s="2" t="str">
        <f>IF(Dados!H142="","",Dados!H142)</f>
        <v/>
      </c>
      <c r="B145" s="2" t="e">
        <f>VLOOKUP(Balancete_Oficial[[#This Row],[Conta]],'Balancete MLN_WebPosto'!C:E,3,0)</f>
        <v>#N/A</v>
      </c>
      <c r="C145" s="3" t="str">
        <f t="shared" si="9"/>
        <v>Sintética</v>
      </c>
      <c r="D145" s="6" t="str">
        <f t="shared" si="10"/>
        <v>R</v>
      </c>
      <c r="E145" s="6" t="str">
        <f t="shared" si="11"/>
        <v/>
      </c>
      <c r="F145" s="6"/>
      <c r="G145" s="6"/>
      <c r="H145" s="6"/>
      <c r="I145" s="6"/>
      <c r="J145" s="4" t="str">
        <f>IF(Balancete_Oficial[[#Headers],[Janeiro]]='Balancete MLN_WebPosto'!$G$2,
SUMIFS('Balancete MLN_WebPosto'!$J:$J,'Balancete MLN_WebPosto'!$C:$C,$A145,'Balancete MLN_WebPosto'!$B:$B,$B$2),
  "0"
)</f>
        <v>0</v>
      </c>
      <c r="K145" s="4" t="str">
        <f>IF(Balancete_Oficial[[#Headers],[Fevereiro]]='Balancete MLN_WebPosto'!$G$2,
SUMIFS('Balancete MLN_WebPosto'!$J:$J,'Balancete MLN_WebPosto'!$C:$C,$A145,'Balancete MLN_WebPosto'!$B:$B,$B$2),
  "0"
)</f>
        <v>0</v>
      </c>
      <c r="L145" s="4" t="str">
        <f>IF(Balancete_Oficial[[#Headers],[Março]]='Balancete MLN_WebPosto'!$G$2,
SUMIFS('Balancete MLN_WebPosto'!$J:$J,'Balancete MLN_WebPosto'!$C:$C,$A145,'Balancete MLN_WebPosto'!$B:$B,$B$2),
  "0"
)</f>
        <v>0</v>
      </c>
      <c r="M145" s="4" t="str">
        <f>IF(Balancete_Oficial[[#Headers],[Abril]]='Balancete MLN_WebPosto'!$G$2,
SUMIFS('Balancete MLN_WebPosto'!$J:$J,'Balancete MLN_WebPosto'!$C:$C,$A145,'Balancete MLN_WebPosto'!$B:$B,$B$2),
  "0"
)</f>
        <v>0</v>
      </c>
      <c r="N145" s="4" t="str">
        <f>IF(Balancete_Oficial[[#Headers],[Maio]]='Balancete MLN_WebPosto'!$G$2,
SUMIFS('Balancete MLN_WebPosto'!$I:$I,'Balancete MLN_WebPosto'!$C:$C,$A145,'Balancete MLN_WebPosto'!$B:$B,$B$2),
  "0"
)</f>
        <v>0</v>
      </c>
      <c r="O145" s="4" t="str">
        <f>IF(Balancete_Oficial[[#Headers],[Junho]]='Balancete MLN_WebPosto'!$G$2,
SUMIFS('Balancete MLN_WebPosto'!$I:$I,'Balancete MLN_WebPosto'!$C:$C,$A145,'Balancete MLN_WebPosto'!$B:$B,$B$2),
  "0"
)</f>
        <v>0</v>
      </c>
      <c r="P145" s="4" t="str">
        <f>IF(Balancete_Oficial[[#Headers],[Julho]]='Balancete MLN_WebPosto'!$G$2,
SUMIFS('Balancete MLN_WebPosto'!$I:$I,'Balancete MLN_WebPosto'!$C:$C,$A145,'Balancete MLN_WebPosto'!$B:$B,$B$2),
  "0"
)</f>
        <v>0</v>
      </c>
      <c r="Q145" s="4" t="str">
        <f>IF(Balancete_Oficial[[#Headers],[Agosto]]='Balancete MLN_WebPosto'!$G$2,
SUMIFS('Balancete MLN_WebPosto'!$I:$I,'Balancete MLN_WebPosto'!$C:$C,$A145,'Balancete MLN_WebPosto'!$B:$B,$B$2),
  "0"
)</f>
        <v>0</v>
      </c>
      <c r="R145" s="4">
        <f>IF(Balancete_Oficial[[#Headers],[Setembro]]='Balancete MLN_WebPosto'!$G$2,
SUMIFS('Balancete MLN_WebPosto'!$I:$I,'Balancete MLN_WebPosto'!$C:$C,$A145,'Balancete MLN_WebPosto'!$B:$B,$B$2),
  "0"
)</f>
        <v>0</v>
      </c>
      <c r="S145" s="4" t="str">
        <f>IF(Balancete_Oficial[[#Headers],[Outubro]]='Balancete MLN_WebPosto'!$G$2,
SUMIFS('Balancete MLN_WebPosto'!$I:$I,'Balancete MLN_WebPosto'!$C:$C,$A145,'Balancete MLN_WebPosto'!$B:$B,$B$2),
  "0"
)</f>
        <v>0</v>
      </c>
      <c r="T145" s="4" t="str">
        <f>IF(Balancete_Oficial[[#Headers],[Novembro]]='Balancete MLN_WebPosto'!$G$2,
SUMIFS('Balancete MLN_WebPosto'!$I:$I,'Balancete MLN_WebPosto'!$C:$C,$A145,'Balancete MLN_WebPosto'!$B:$B,$B$2),
  "0"
)</f>
        <v>0</v>
      </c>
      <c r="U145" s="4" t="str">
        <f>IF(Balancete_Oficial[[#Headers],[Dezembro]]='Balancete MLN_WebPosto'!$G$2,
SUMIFS('Balancete MLN_WebPosto'!$I:$I,'Balancete MLN_WebPosto'!$C:$C,$A145,'Balancete MLN_WebPosto'!$B:$B,$B$2),
  "0"
)</f>
        <v>0</v>
      </c>
    </row>
    <row r="146" spans="1:21" x14ac:dyDescent="0.25">
      <c r="A146" s="2" t="str">
        <f>IF(Dados!H143="","",Dados!H143)</f>
        <v/>
      </c>
      <c r="B146" s="2" t="e">
        <f>VLOOKUP(Balancete_Oficial[[#This Row],[Conta]],'Balancete MLN_WebPosto'!C:E,3,0)</f>
        <v>#N/A</v>
      </c>
      <c r="C146" s="3" t="str">
        <f t="shared" si="9"/>
        <v>Sintética</v>
      </c>
      <c r="D146" s="6" t="str">
        <f t="shared" si="10"/>
        <v>R</v>
      </c>
      <c r="E146" s="6" t="str">
        <f t="shared" si="11"/>
        <v/>
      </c>
      <c r="F146" s="6"/>
      <c r="G146" s="6"/>
      <c r="H146" s="6"/>
      <c r="I146" s="6"/>
      <c r="J146" s="4" t="str">
        <f>IF(Balancete_Oficial[[#Headers],[Janeiro]]='Balancete MLN_WebPosto'!$G$2,
SUMIFS('Balancete MLN_WebPosto'!$J:$J,'Balancete MLN_WebPosto'!$C:$C,$A146,'Balancete MLN_WebPosto'!$B:$B,$B$2),
  "0"
)</f>
        <v>0</v>
      </c>
      <c r="K146" s="4" t="str">
        <f>IF(Balancete_Oficial[[#Headers],[Fevereiro]]='Balancete MLN_WebPosto'!$G$2,
SUMIFS('Balancete MLN_WebPosto'!$J:$J,'Balancete MLN_WebPosto'!$C:$C,$A146,'Balancete MLN_WebPosto'!$B:$B,$B$2),
  "0"
)</f>
        <v>0</v>
      </c>
      <c r="L146" s="4" t="str">
        <f>IF(Balancete_Oficial[[#Headers],[Março]]='Balancete MLN_WebPosto'!$G$2,
SUMIFS('Balancete MLN_WebPosto'!$J:$J,'Balancete MLN_WebPosto'!$C:$C,$A146,'Balancete MLN_WebPosto'!$B:$B,$B$2),
  "0"
)</f>
        <v>0</v>
      </c>
      <c r="M146" s="4" t="str">
        <f>IF(Balancete_Oficial[[#Headers],[Abril]]='Balancete MLN_WebPosto'!$G$2,
SUMIFS('Balancete MLN_WebPosto'!$J:$J,'Balancete MLN_WebPosto'!$C:$C,$A146,'Balancete MLN_WebPosto'!$B:$B,$B$2),
  "0"
)</f>
        <v>0</v>
      </c>
      <c r="N146" s="4" t="str">
        <f>IF(Balancete_Oficial[[#Headers],[Maio]]='Balancete MLN_WebPosto'!$G$2,
SUMIFS('Balancete MLN_WebPosto'!$I:$I,'Balancete MLN_WebPosto'!$C:$C,$A146,'Balancete MLN_WebPosto'!$B:$B,$B$2),
  "0"
)</f>
        <v>0</v>
      </c>
      <c r="O146" s="4" t="str">
        <f>IF(Balancete_Oficial[[#Headers],[Junho]]='Balancete MLN_WebPosto'!$G$2,
SUMIFS('Balancete MLN_WebPosto'!$I:$I,'Balancete MLN_WebPosto'!$C:$C,$A146,'Balancete MLN_WebPosto'!$B:$B,$B$2),
  "0"
)</f>
        <v>0</v>
      </c>
      <c r="P146" s="4" t="str">
        <f>IF(Balancete_Oficial[[#Headers],[Julho]]='Balancete MLN_WebPosto'!$G$2,
SUMIFS('Balancete MLN_WebPosto'!$I:$I,'Balancete MLN_WebPosto'!$C:$C,$A146,'Balancete MLN_WebPosto'!$B:$B,$B$2),
  "0"
)</f>
        <v>0</v>
      </c>
      <c r="Q146" s="4" t="str">
        <f>IF(Balancete_Oficial[[#Headers],[Agosto]]='Balancete MLN_WebPosto'!$G$2,
SUMIFS('Balancete MLN_WebPosto'!$I:$I,'Balancete MLN_WebPosto'!$C:$C,$A146,'Balancete MLN_WebPosto'!$B:$B,$B$2),
  "0"
)</f>
        <v>0</v>
      </c>
      <c r="R146" s="4">
        <f>IF(Balancete_Oficial[[#Headers],[Setembro]]='Balancete MLN_WebPosto'!$G$2,
SUMIFS('Balancete MLN_WebPosto'!$I:$I,'Balancete MLN_WebPosto'!$C:$C,$A146,'Balancete MLN_WebPosto'!$B:$B,$B$2),
  "0"
)</f>
        <v>0</v>
      </c>
      <c r="S146" s="4" t="str">
        <f>IF(Balancete_Oficial[[#Headers],[Outubro]]='Balancete MLN_WebPosto'!$G$2,
SUMIFS('Balancete MLN_WebPosto'!$I:$I,'Balancete MLN_WebPosto'!$C:$C,$A146,'Balancete MLN_WebPosto'!$B:$B,$B$2),
  "0"
)</f>
        <v>0</v>
      </c>
      <c r="T146" s="4" t="str">
        <f>IF(Balancete_Oficial[[#Headers],[Novembro]]='Balancete MLN_WebPosto'!$G$2,
SUMIFS('Balancete MLN_WebPosto'!$I:$I,'Balancete MLN_WebPosto'!$C:$C,$A146,'Balancete MLN_WebPosto'!$B:$B,$B$2),
  "0"
)</f>
        <v>0</v>
      </c>
      <c r="U146" s="4" t="str">
        <f>IF(Balancete_Oficial[[#Headers],[Dezembro]]='Balancete MLN_WebPosto'!$G$2,
SUMIFS('Balancete MLN_WebPosto'!$I:$I,'Balancete MLN_WebPosto'!$C:$C,$A146,'Balancete MLN_WebPosto'!$B:$B,$B$2),
  "0"
)</f>
        <v>0</v>
      </c>
    </row>
    <row r="147" spans="1:21" x14ac:dyDescent="0.25">
      <c r="A147" s="2" t="str">
        <f>IF(Dados!H144="","",Dados!H144)</f>
        <v/>
      </c>
      <c r="B147" s="2" t="e">
        <f>VLOOKUP(Balancete_Oficial[[#This Row],[Conta]],'Balancete MLN_WebPosto'!C:E,3,0)</f>
        <v>#N/A</v>
      </c>
      <c r="C147" s="3" t="str">
        <f t="shared" si="9"/>
        <v>Sintética</v>
      </c>
      <c r="D147" s="6" t="str">
        <f t="shared" si="10"/>
        <v>R</v>
      </c>
      <c r="E147" s="6" t="str">
        <f t="shared" si="11"/>
        <v/>
      </c>
      <c r="F147" s="6"/>
      <c r="G147" s="6"/>
      <c r="H147" s="6"/>
      <c r="I147" s="6"/>
      <c r="J147" s="4" t="str">
        <f>IF(Balancete_Oficial[[#Headers],[Janeiro]]='Balancete MLN_WebPosto'!$G$2,
SUMIFS('Balancete MLN_WebPosto'!$J:$J,'Balancete MLN_WebPosto'!$C:$C,$A147,'Balancete MLN_WebPosto'!$B:$B,$B$2),
  "0"
)</f>
        <v>0</v>
      </c>
      <c r="K147" s="4" t="str">
        <f>IF(Balancete_Oficial[[#Headers],[Fevereiro]]='Balancete MLN_WebPosto'!$G$2,
SUMIFS('Balancete MLN_WebPosto'!$J:$J,'Balancete MLN_WebPosto'!$C:$C,$A147,'Balancete MLN_WebPosto'!$B:$B,$B$2),
  "0"
)</f>
        <v>0</v>
      </c>
      <c r="L147" s="4" t="str">
        <f>IF(Balancete_Oficial[[#Headers],[Março]]='Balancete MLN_WebPosto'!$G$2,
SUMIFS('Balancete MLN_WebPosto'!$J:$J,'Balancete MLN_WebPosto'!$C:$C,$A147,'Balancete MLN_WebPosto'!$B:$B,$B$2),
  "0"
)</f>
        <v>0</v>
      </c>
      <c r="M147" s="4" t="str">
        <f>IF(Balancete_Oficial[[#Headers],[Abril]]='Balancete MLN_WebPosto'!$G$2,
SUMIFS('Balancete MLN_WebPosto'!$J:$J,'Balancete MLN_WebPosto'!$C:$C,$A147,'Balancete MLN_WebPosto'!$B:$B,$B$2),
  "0"
)</f>
        <v>0</v>
      </c>
      <c r="N147" s="4" t="str">
        <f>IF(Balancete_Oficial[[#Headers],[Maio]]='Balancete MLN_WebPosto'!$G$2,
SUMIFS('Balancete MLN_WebPosto'!$I:$I,'Balancete MLN_WebPosto'!$C:$C,$A147,'Balancete MLN_WebPosto'!$B:$B,$B$2),
  "0"
)</f>
        <v>0</v>
      </c>
      <c r="O147" s="4" t="str">
        <f>IF(Balancete_Oficial[[#Headers],[Junho]]='Balancete MLN_WebPosto'!$G$2,
SUMIFS('Balancete MLN_WebPosto'!$I:$I,'Balancete MLN_WebPosto'!$C:$C,$A147,'Balancete MLN_WebPosto'!$B:$B,$B$2),
  "0"
)</f>
        <v>0</v>
      </c>
      <c r="P147" s="4" t="str">
        <f>IF(Balancete_Oficial[[#Headers],[Julho]]='Balancete MLN_WebPosto'!$G$2,
SUMIFS('Balancete MLN_WebPosto'!$I:$I,'Balancete MLN_WebPosto'!$C:$C,$A147,'Balancete MLN_WebPosto'!$B:$B,$B$2),
  "0"
)</f>
        <v>0</v>
      </c>
      <c r="Q147" s="4" t="str">
        <f>IF(Balancete_Oficial[[#Headers],[Agosto]]='Balancete MLN_WebPosto'!$G$2,
SUMIFS('Balancete MLN_WebPosto'!$I:$I,'Balancete MLN_WebPosto'!$C:$C,$A147,'Balancete MLN_WebPosto'!$B:$B,$B$2),
  "0"
)</f>
        <v>0</v>
      </c>
      <c r="R147" s="4">
        <f>IF(Balancete_Oficial[[#Headers],[Setembro]]='Balancete MLN_WebPosto'!$G$2,
SUMIFS('Balancete MLN_WebPosto'!$I:$I,'Balancete MLN_WebPosto'!$C:$C,$A147,'Balancete MLN_WebPosto'!$B:$B,$B$2),
  "0"
)</f>
        <v>0</v>
      </c>
      <c r="S147" s="4" t="str">
        <f>IF(Balancete_Oficial[[#Headers],[Outubro]]='Balancete MLN_WebPosto'!$G$2,
SUMIFS('Balancete MLN_WebPosto'!$I:$I,'Balancete MLN_WebPosto'!$C:$C,$A147,'Balancete MLN_WebPosto'!$B:$B,$B$2),
  "0"
)</f>
        <v>0</v>
      </c>
      <c r="T147" s="4" t="str">
        <f>IF(Balancete_Oficial[[#Headers],[Novembro]]='Balancete MLN_WebPosto'!$G$2,
SUMIFS('Balancete MLN_WebPosto'!$I:$I,'Balancete MLN_WebPosto'!$C:$C,$A147,'Balancete MLN_WebPosto'!$B:$B,$B$2),
  "0"
)</f>
        <v>0</v>
      </c>
      <c r="U147" s="4" t="str">
        <f>IF(Balancete_Oficial[[#Headers],[Dezembro]]='Balancete MLN_WebPosto'!$G$2,
SUMIFS('Balancete MLN_WebPosto'!$I:$I,'Balancete MLN_WebPosto'!$C:$C,$A147,'Balancete MLN_WebPosto'!$B:$B,$B$2),
  "0"
)</f>
        <v>0</v>
      </c>
    </row>
    <row r="148" spans="1:21" x14ac:dyDescent="0.25">
      <c r="A148" s="2" t="str">
        <f>IF(Dados!H145="","",Dados!H145)</f>
        <v/>
      </c>
      <c r="B148" s="2" t="e">
        <f>VLOOKUP(Balancete_Oficial[[#This Row],[Conta]],'Balancete MLN_WebPosto'!C:E,3,0)</f>
        <v>#N/A</v>
      </c>
      <c r="C148" s="3" t="str">
        <f t="shared" si="9"/>
        <v>Sintética</v>
      </c>
      <c r="D148" s="6" t="str">
        <f t="shared" si="10"/>
        <v>R</v>
      </c>
      <c r="E148" s="6" t="str">
        <f t="shared" si="11"/>
        <v/>
      </c>
      <c r="F148" s="6"/>
      <c r="G148" s="6"/>
      <c r="H148" s="6"/>
      <c r="I148" s="6"/>
      <c r="J148" s="4" t="str">
        <f>IF(Balancete_Oficial[[#Headers],[Janeiro]]='Balancete MLN_WebPosto'!$G$2,
SUMIFS('Balancete MLN_WebPosto'!$J:$J,'Balancete MLN_WebPosto'!$C:$C,$A148,'Balancete MLN_WebPosto'!$B:$B,$B$2),
  "0"
)</f>
        <v>0</v>
      </c>
      <c r="K148" s="4" t="str">
        <f>IF(Balancete_Oficial[[#Headers],[Fevereiro]]='Balancete MLN_WebPosto'!$G$2,
SUMIFS('Balancete MLN_WebPosto'!$J:$J,'Balancete MLN_WebPosto'!$C:$C,$A148,'Balancete MLN_WebPosto'!$B:$B,$B$2),
  "0"
)</f>
        <v>0</v>
      </c>
      <c r="L148" s="4" t="str">
        <f>IF(Balancete_Oficial[[#Headers],[Março]]='Balancete MLN_WebPosto'!$G$2,
SUMIFS('Balancete MLN_WebPosto'!$J:$J,'Balancete MLN_WebPosto'!$C:$C,$A148,'Balancete MLN_WebPosto'!$B:$B,$B$2),
  "0"
)</f>
        <v>0</v>
      </c>
      <c r="M148" s="4" t="str">
        <f>IF(Balancete_Oficial[[#Headers],[Abril]]='Balancete MLN_WebPosto'!$G$2,
SUMIFS('Balancete MLN_WebPosto'!$J:$J,'Balancete MLN_WebPosto'!$C:$C,$A148,'Balancete MLN_WebPosto'!$B:$B,$B$2),
  "0"
)</f>
        <v>0</v>
      </c>
      <c r="N148" s="4" t="str">
        <f>IF(Balancete_Oficial[[#Headers],[Maio]]='Balancete MLN_WebPosto'!$G$2,
SUMIFS('Balancete MLN_WebPosto'!$I:$I,'Balancete MLN_WebPosto'!$C:$C,$A148,'Balancete MLN_WebPosto'!$B:$B,$B$2),
  "0"
)</f>
        <v>0</v>
      </c>
      <c r="O148" s="4" t="str">
        <f>IF(Balancete_Oficial[[#Headers],[Junho]]='Balancete MLN_WebPosto'!$G$2,
SUMIFS('Balancete MLN_WebPosto'!$I:$I,'Balancete MLN_WebPosto'!$C:$C,$A148,'Balancete MLN_WebPosto'!$B:$B,$B$2),
  "0"
)</f>
        <v>0</v>
      </c>
      <c r="P148" s="4" t="str">
        <f>IF(Balancete_Oficial[[#Headers],[Julho]]='Balancete MLN_WebPosto'!$G$2,
SUMIFS('Balancete MLN_WebPosto'!$I:$I,'Balancete MLN_WebPosto'!$C:$C,$A148,'Balancete MLN_WebPosto'!$B:$B,$B$2),
  "0"
)</f>
        <v>0</v>
      </c>
      <c r="Q148" s="4" t="str">
        <f>IF(Balancete_Oficial[[#Headers],[Agosto]]='Balancete MLN_WebPosto'!$G$2,
SUMIFS('Balancete MLN_WebPosto'!$I:$I,'Balancete MLN_WebPosto'!$C:$C,$A148,'Balancete MLN_WebPosto'!$B:$B,$B$2),
  "0"
)</f>
        <v>0</v>
      </c>
      <c r="R148" s="4">
        <f>IF(Balancete_Oficial[[#Headers],[Setembro]]='Balancete MLN_WebPosto'!$G$2,
SUMIFS('Balancete MLN_WebPosto'!$I:$I,'Balancete MLN_WebPosto'!$C:$C,$A148,'Balancete MLN_WebPosto'!$B:$B,$B$2),
  "0"
)</f>
        <v>0</v>
      </c>
      <c r="S148" s="4" t="str">
        <f>IF(Balancete_Oficial[[#Headers],[Outubro]]='Balancete MLN_WebPosto'!$G$2,
SUMIFS('Balancete MLN_WebPosto'!$I:$I,'Balancete MLN_WebPosto'!$C:$C,$A148,'Balancete MLN_WebPosto'!$B:$B,$B$2),
  "0"
)</f>
        <v>0</v>
      </c>
      <c r="T148" s="4" t="str">
        <f>IF(Balancete_Oficial[[#Headers],[Novembro]]='Balancete MLN_WebPosto'!$G$2,
SUMIFS('Balancete MLN_WebPosto'!$I:$I,'Balancete MLN_WebPosto'!$C:$C,$A148,'Balancete MLN_WebPosto'!$B:$B,$B$2),
  "0"
)</f>
        <v>0</v>
      </c>
      <c r="U148" s="4" t="str">
        <f>IF(Balancete_Oficial[[#Headers],[Dezembro]]='Balancete MLN_WebPosto'!$G$2,
SUMIFS('Balancete MLN_WebPosto'!$I:$I,'Balancete MLN_WebPosto'!$C:$C,$A148,'Balancete MLN_WebPosto'!$B:$B,$B$2),
  "0"
)</f>
        <v>0</v>
      </c>
    </row>
    <row r="149" spans="1:21" x14ac:dyDescent="0.25">
      <c r="A149" s="2" t="str">
        <f>IF(Dados!H146="","",Dados!H146)</f>
        <v/>
      </c>
      <c r="B149" s="2" t="e">
        <f>VLOOKUP(Balancete_Oficial[[#This Row],[Conta]],'Balancete MLN_WebPosto'!C:E,3,0)</f>
        <v>#N/A</v>
      </c>
      <c r="C149" s="3" t="str">
        <f t="shared" si="9"/>
        <v>Sintética</v>
      </c>
      <c r="D149" s="6" t="str">
        <f t="shared" si="10"/>
        <v>R</v>
      </c>
      <c r="E149" s="6" t="str">
        <f t="shared" si="11"/>
        <v/>
      </c>
      <c r="F149" s="6"/>
      <c r="G149" s="6"/>
      <c r="H149" s="6"/>
      <c r="I149" s="6"/>
      <c r="J149" s="4" t="str">
        <f>IF(Balancete_Oficial[[#Headers],[Janeiro]]='Balancete MLN_WebPosto'!$G$2,
SUMIFS('Balancete MLN_WebPosto'!$J:$J,'Balancete MLN_WebPosto'!$C:$C,$A149,'Balancete MLN_WebPosto'!$B:$B,$B$2),
  "0"
)</f>
        <v>0</v>
      </c>
      <c r="K149" s="4" t="str">
        <f>IF(Balancete_Oficial[[#Headers],[Fevereiro]]='Balancete MLN_WebPosto'!$G$2,
SUMIFS('Balancete MLN_WebPosto'!$J:$J,'Balancete MLN_WebPosto'!$C:$C,$A149,'Balancete MLN_WebPosto'!$B:$B,$B$2),
  "0"
)</f>
        <v>0</v>
      </c>
      <c r="L149" s="4" t="str">
        <f>IF(Balancete_Oficial[[#Headers],[Março]]='Balancete MLN_WebPosto'!$G$2,
SUMIFS('Balancete MLN_WebPosto'!$J:$J,'Balancete MLN_WebPosto'!$C:$C,$A149,'Balancete MLN_WebPosto'!$B:$B,$B$2),
  "0"
)</f>
        <v>0</v>
      </c>
      <c r="M149" s="4" t="str">
        <f>IF(Balancete_Oficial[[#Headers],[Abril]]='Balancete MLN_WebPosto'!$G$2,
SUMIFS('Balancete MLN_WebPosto'!$J:$J,'Balancete MLN_WebPosto'!$C:$C,$A149,'Balancete MLN_WebPosto'!$B:$B,$B$2),
  "0"
)</f>
        <v>0</v>
      </c>
      <c r="N149" s="4" t="str">
        <f>IF(Balancete_Oficial[[#Headers],[Maio]]='Balancete MLN_WebPosto'!$G$2,
SUMIFS('Balancete MLN_WebPosto'!$I:$I,'Balancete MLN_WebPosto'!$C:$C,$A149,'Balancete MLN_WebPosto'!$B:$B,$B$2),
  "0"
)</f>
        <v>0</v>
      </c>
      <c r="O149" s="4" t="str">
        <f>IF(Balancete_Oficial[[#Headers],[Junho]]='Balancete MLN_WebPosto'!$G$2,
SUMIFS('Balancete MLN_WebPosto'!$I:$I,'Balancete MLN_WebPosto'!$C:$C,$A149,'Balancete MLN_WebPosto'!$B:$B,$B$2),
  "0"
)</f>
        <v>0</v>
      </c>
      <c r="P149" s="4" t="str">
        <f>IF(Balancete_Oficial[[#Headers],[Julho]]='Balancete MLN_WebPosto'!$G$2,
SUMIFS('Balancete MLN_WebPosto'!$I:$I,'Balancete MLN_WebPosto'!$C:$C,$A149,'Balancete MLN_WebPosto'!$B:$B,$B$2),
  "0"
)</f>
        <v>0</v>
      </c>
      <c r="Q149" s="4" t="str">
        <f>IF(Balancete_Oficial[[#Headers],[Agosto]]='Balancete MLN_WebPosto'!$G$2,
SUMIFS('Balancete MLN_WebPosto'!$I:$I,'Balancete MLN_WebPosto'!$C:$C,$A149,'Balancete MLN_WebPosto'!$B:$B,$B$2),
  "0"
)</f>
        <v>0</v>
      </c>
      <c r="R149" s="4">
        <f>IF(Balancete_Oficial[[#Headers],[Setembro]]='Balancete MLN_WebPosto'!$G$2,
SUMIFS('Balancete MLN_WebPosto'!$I:$I,'Balancete MLN_WebPosto'!$C:$C,$A149,'Balancete MLN_WebPosto'!$B:$B,$B$2),
  "0"
)</f>
        <v>0</v>
      </c>
      <c r="S149" s="4" t="str">
        <f>IF(Balancete_Oficial[[#Headers],[Outubro]]='Balancete MLN_WebPosto'!$G$2,
SUMIFS('Balancete MLN_WebPosto'!$I:$I,'Balancete MLN_WebPosto'!$C:$C,$A149,'Balancete MLN_WebPosto'!$B:$B,$B$2),
  "0"
)</f>
        <v>0</v>
      </c>
      <c r="T149" s="4" t="str">
        <f>IF(Balancete_Oficial[[#Headers],[Novembro]]='Balancete MLN_WebPosto'!$G$2,
SUMIFS('Balancete MLN_WebPosto'!$I:$I,'Balancete MLN_WebPosto'!$C:$C,$A149,'Balancete MLN_WebPosto'!$B:$B,$B$2),
  "0"
)</f>
        <v>0</v>
      </c>
      <c r="U149" s="4" t="str">
        <f>IF(Balancete_Oficial[[#Headers],[Dezembro]]='Balancete MLN_WebPosto'!$G$2,
SUMIFS('Balancete MLN_WebPosto'!$I:$I,'Balancete MLN_WebPosto'!$C:$C,$A149,'Balancete MLN_WebPosto'!$B:$B,$B$2),
  "0"
)</f>
        <v>0</v>
      </c>
    </row>
    <row r="150" spans="1:21" x14ac:dyDescent="0.25">
      <c r="A150" s="2" t="str">
        <f>IF(Dados!H147="","",Dados!H147)</f>
        <v/>
      </c>
      <c r="B150" s="2" t="e">
        <f>VLOOKUP(Balancete_Oficial[[#This Row],[Conta]],'Balancete MLN_WebPosto'!C:E,3,0)</f>
        <v>#N/A</v>
      </c>
      <c r="C150" s="3" t="str">
        <f t="shared" si="9"/>
        <v>Sintética</v>
      </c>
      <c r="D150" s="6" t="str">
        <f t="shared" si="10"/>
        <v>R</v>
      </c>
      <c r="E150" s="6" t="str">
        <f t="shared" si="11"/>
        <v/>
      </c>
      <c r="F150" s="6"/>
      <c r="G150" s="6"/>
      <c r="H150" s="6"/>
      <c r="I150" s="6"/>
      <c r="J150" s="4" t="str">
        <f>IF(Balancete_Oficial[[#Headers],[Janeiro]]='Balancete MLN_WebPosto'!$G$2,
SUMIFS('Balancete MLN_WebPosto'!$J:$J,'Balancete MLN_WebPosto'!$C:$C,$A150,'Balancete MLN_WebPosto'!$B:$B,$B$2),
  "0"
)</f>
        <v>0</v>
      </c>
      <c r="K150" s="4" t="str">
        <f>IF(Balancete_Oficial[[#Headers],[Fevereiro]]='Balancete MLN_WebPosto'!$G$2,
SUMIFS('Balancete MLN_WebPosto'!$J:$J,'Balancete MLN_WebPosto'!$C:$C,$A150,'Balancete MLN_WebPosto'!$B:$B,$B$2),
  "0"
)</f>
        <v>0</v>
      </c>
      <c r="L150" s="4" t="str">
        <f>IF(Balancete_Oficial[[#Headers],[Março]]='Balancete MLN_WebPosto'!$G$2,
SUMIFS('Balancete MLN_WebPosto'!$J:$J,'Balancete MLN_WebPosto'!$C:$C,$A150,'Balancete MLN_WebPosto'!$B:$B,$B$2),
  "0"
)</f>
        <v>0</v>
      </c>
      <c r="M150" s="4" t="str">
        <f>IF(Balancete_Oficial[[#Headers],[Abril]]='Balancete MLN_WebPosto'!$G$2,
SUMIFS('Balancete MLN_WebPosto'!$J:$J,'Balancete MLN_WebPosto'!$C:$C,$A150,'Balancete MLN_WebPosto'!$B:$B,$B$2),
  "0"
)</f>
        <v>0</v>
      </c>
      <c r="N150" s="4" t="str">
        <f>IF(Balancete_Oficial[[#Headers],[Maio]]='Balancete MLN_WebPosto'!$G$2,
SUMIFS('Balancete MLN_WebPosto'!$I:$I,'Balancete MLN_WebPosto'!$C:$C,$A150,'Balancete MLN_WebPosto'!$B:$B,$B$2),
  "0"
)</f>
        <v>0</v>
      </c>
      <c r="O150" s="4" t="str">
        <f>IF(Balancete_Oficial[[#Headers],[Junho]]='Balancete MLN_WebPosto'!$G$2,
SUMIFS('Balancete MLN_WebPosto'!$I:$I,'Balancete MLN_WebPosto'!$C:$C,$A150,'Balancete MLN_WebPosto'!$B:$B,$B$2),
  "0"
)</f>
        <v>0</v>
      </c>
      <c r="P150" s="4" t="str">
        <f>IF(Balancete_Oficial[[#Headers],[Julho]]='Balancete MLN_WebPosto'!$G$2,
SUMIFS('Balancete MLN_WebPosto'!$I:$I,'Balancete MLN_WebPosto'!$C:$C,$A150,'Balancete MLN_WebPosto'!$B:$B,$B$2),
  "0"
)</f>
        <v>0</v>
      </c>
      <c r="Q150" s="4" t="str">
        <f>IF(Balancete_Oficial[[#Headers],[Agosto]]='Balancete MLN_WebPosto'!$G$2,
SUMIFS('Balancete MLN_WebPosto'!$I:$I,'Balancete MLN_WebPosto'!$C:$C,$A150,'Balancete MLN_WebPosto'!$B:$B,$B$2),
  "0"
)</f>
        <v>0</v>
      </c>
      <c r="R150" s="4">
        <f>IF(Balancete_Oficial[[#Headers],[Setembro]]='Balancete MLN_WebPosto'!$G$2,
SUMIFS('Balancete MLN_WebPosto'!$I:$I,'Balancete MLN_WebPosto'!$C:$C,$A150,'Balancete MLN_WebPosto'!$B:$B,$B$2),
  "0"
)</f>
        <v>0</v>
      </c>
      <c r="S150" s="4" t="str">
        <f>IF(Balancete_Oficial[[#Headers],[Outubro]]='Balancete MLN_WebPosto'!$G$2,
SUMIFS('Balancete MLN_WebPosto'!$I:$I,'Balancete MLN_WebPosto'!$C:$C,$A150,'Balancete MLN_WebPosto'!$B:$B,$B$2),
  "0"
)</f>
        <v>0</v>
      </c>
      <c r="T150" s="4" t="str">
        <f>IF(Balancete_Oficial[[#Headers],[Novembro]]='Balancete MLN_WebPosto'!$G$2,
SUMIFS('Balancete MLN_WebPosto'!$I:$I,'Balancete MLN_WebPosto'!$C:$C,$A150,'Balancete MLN_WebPosto'!$B:$B,$B$2),
  "0"
)</f>
        <v>0</v>
      </c>
      <c r="U150" s="4" t="str">
        <f>IF(Balancete_Oficial[[#Headers],[Dezembro]]='Balancete MLN_WebPosto'!$G$2,
SUMIFS('Balancete MLN_WebPosto'!$I:$I,'Balancete MLN_WebPosto'!$C:$C,$A150,'Balancete MLN_WebPosto'!$B:$B,$B$2),
  "0"
)</f>
        <v>0</v>
      </c>
    </row>
    <row r="151" spans="1:21" x14ac:dyDescent="0.25">
      <c r="A151" s="2" t="str">
        <f>IF(Dados!H148="","",Dados!H148)</f>
        <v/>
      </c>
      <c r="B151" s="2" t="e">
        <f>VLOOKUP(Balancete_Oficial[[#This Row],[Conta]],'Balancete MLN_WebPosto'!C:E,3,0)</f>
        <v>#N/A</v>
      </c>
      <c r="C151" s="3" t="str">
        <f t="shared" si="9"/>
        <v>Sintética</v>
      </c>
      <c r="D151" s="6" t="str">
        <f t="shared" si="10"/>
        <v>R</v>
      </c>
      <c r="E151" s="6" t="str">
        <f t="shared" si="11"/>
        <v/>
      </c>
      <c r="F151" s="6"/>
      <c r="G151" s="6"/>
      <c r="H151" s="6"/>
      <c r="I151" s="6"/>
      <c r="J151" s="4" t="str">
        <f>IF(Balancete_Oficial[[#Headers],[Janeiro]]='Balancete MLN_WebPosto'!$G$2,
SUMIFS('Balancete MLN_WebPosto'!$J:$J,'Balancete MLN_WebPosto'!$C:$C,$A151,'Balancete MLN_WebPosto'!$B:$B,$B$2),
  "0"
)</f>
        <v>0</v>
      </c>
      <c r="K151" s="4" t="str">
        <f>IF(Balancete_Oficial[[#Headers],[Fevereiro]]='Balancete MLN_WebPosto'!$G$2,
SUMIFS('Balancete MLN_WebPosto'!$J:$J,'Balancete MLN_WebPosto'!$C:$C,$A151,'Balancete MLN_WebPosto'!$B:$B,$B$2),
  "0"
)</f>
        <v>0</v>
      </c>
      <c r="L151" s="4" t="str">
        <f>IF(Balancete_Oficial[[#Headers],[Março]]='Balancete MLN_WebPosto'!$G$2,
SUMIFS('Balancete MLN_WebPosto'!$J:$J,'Balancete MLN_WebPosto'!$C:$C,$A151,'Balancete MLN_WebPosto'!$B:$B,$B$2),
  "0"
)</f>
        <v>0</v>
      </c>
      <c r="M151" s="4" t="str">
        <f>IF(Balancete_Oficial[[#Headers],[Abril]]='Balancete MLN_WebPosto'!$G$2,
SUMIFS('Balancete MLN_WebPosto'!$J:$J,'Balancete MLN_WebPosto'!$C:$C,$A151,'Balancete MLN_WebPosto'!$B:$B,$B$2),
  "0"
)</f>
        <v>0</v>
      </c>
      <c r="N151" s="4" t="str">
        <f>IF(Balancete_Oficial[[#Headers],[Maio]]='Balancete MLN_WebPosto'!$G$2,
SUMIFS('Balancete MLN_WebPosto'!$I:$I,'Balancete MLN_WebPosto'!$C:$C,$A151,'Balancete MLN_WebPosto'!$B:$B,$B$2),
  "0"
)</f>
        <v>0</v>
      </c>
      <c r="O151" s="4" t="str">
        <f>IF(Balancete_Oficial[[#Headers],[Junho]]='Balancete MLN_WebPosto'!$G$2,
SUMIFS('Balancete MLN_WebPosto'!$I:$I,'Balancete MLN_WebPosto'!$C:$C,$A151,'Balancete MLN_WebPosto'!$B:$B,$B$2),
  "0"
)</f>
        <v>0</v>
      </c>
      <c r="P151" s="4" t="str">
        <f>IF(Balancete_Oficial[[#Headers],[Julho]]='Balancete MLN_WebPosto'!$G$2,
SUMIFS('Balancete MLN_WebPosto'!$I:$I,'Balancete MLN_WebPosto'!$C:$C,$A151,'Balancete MLN_WebPosto'!$B:$B,$B$2),
  "0"
)</f>
        <v>0</v>
      </c>
      <c r="Q151" s="4" t="str">
        <f>IF(Balancete_Oficial[[#Headers],[Agosto]]='Balancete MLN_WebPosto'!$G$2,
SUMIFS('Balancete MLN_WebPosto'!$I:$I,'Balancete MLN_WebPosto'!$C:$C,$A151,'Balancete MLN_WebPosto'!$B:$B,$B$2),
  "0"
)</f>
        <v>0</v>
      </c>
      <c r="R151" s="4">
        <f>IF(Balancete_Oficial[[#Headers],[Setembro]]='Balancete MLN_WebPosto'!$G$2,
SUMIFS('Balancete MLN_WebPosto'!$I:$I,'Balancete MLN_WebPosto'!$C:$C,$A151,'Balancete MLN_WebPosto'!$B:$B,$B$2),
  "0"
)</f>
        <v>0</v>
      </c>
      <c r="S151" s="4" t="str">
        <f>IF(Balancete_Oficial[[#Headers],[Outubro]]='Balancete MLN_WebPosto'!$G$2,
SUMIFS('Balancete MLN_WebPosto'!$I:$I,'Balancete MLN_WebPosto'!$C:$C,$A151,'Balancete MLN_WebPosto'!$B:$B,$B$2),
  "0"
)</f>
        <v>0</v>
      </c>
      <c r="T151" s="4" t="str">
        <f>IF(Balancete_Oficial[[#Headers],[Novembro]]='Balancete MLN_WebPosto'!$G$2,
SUMIFS('Balancete MLN_WebPosto'!$I:$I,'Balancete MLN_WebPosto'!$C:$C,$A151,'Balancete MLN_WebPosto'!$B:$B,$B$2),
  "0"
)</f>
        <v>0</v>
      </c>
      <c r="U151" s="4" t="str">
        <f>IF(Balancete_Oficial[[#Headers],[Dezembro]]='Balancete MLN_WebPosto'!$G$2,
SUMIFS('Balancete MLN_WebPosto'!$I:$I,'Balancete MLN_WebPosto'!$C:$C,$A151,'Balancete MLN_WebPosto'!$B:$B,$B$2),
  "0"
)</f>
        <v>0</v>
      </c>
    </row>
    <row r="152" spans="1:21" x14ac:dyDescent="0.25">
      <c r="A152" s="2" t="str">
        <f>IF(Dados!H149="","",Dados!H149)</f>
        <v/>
      </c>
      <c r="B152" s="2" t="e">
        <f>VLOOKUP(Balancete_Oficial[[#This Row],[Conta]],'Balancete MLN_WebPosto'!C:E,3,0)</f>
        <v>#N/A</v>
      </c>
      <c r="C152" s="3" t="str">
        <f t="shared" si="9"/>
        <v>Sintética</v>
      </c>
      <c r="D152" s="6" t="str">
        <f t="shared" si="10"/>
        <v>R</v>
      </c>
      <c r="E152" s="6" t="str">
        <f t="shared" si="11"/>
        <v/>
      </c>
      <c r="F152" s="6"/>
      <c r="G152" s="6"/>
      <c r="H152" s="6"/>
      <c r="I152" s="6"/>
      <c r="J152" s="4" t="str">
        <f>IF(Balancete_Oficial[[#Headers],[Janeiro]]='Balancete MLN_WebPosto'!$G$2,
SUMIFS('Balancete MLN_WebPosto'!$J:$J,'Balancete MLN_WebPosto'!$C:$C,$A152,'Balancete MLN_WebPosto'!$B:$B,$B$2),
  "0"
)</f>
        <v>0</v>
      </c>
      <c r="K152" s="4" t="str">
        <f>IF(Balancete_Oficial[[#Headers],[Fevereiro]]='Balancete MLN_WebPosto'!$G$2,
SUMIFS('Balancete MLN_WebPosto'!$J:$J,'Balancete MLN_WebPosto'!$C:$C,$A152,'Balancete MLN_WebPosto'!$B:$B,$B$2),
  "0"
)</f>
        <v>0</v>
      </c>
      <c r="L152" s="4" t="str">
        <f>IF(Balancete_Oficial[[#Headers],[Março]]='Balancete MLN_WebPosto'!$G$2,
SUMIFS('Balancete MLN_WebPosto'!$J:$J,'Balancete MLN_WebPosto'!$C:$C,$A152,'Balancete MLN_WebPosto'!$B:$B,$B$2),
  "0"
)</f>
        <v>0</v>
      </c>
      <c r="M152" s="4" t="str">
        <f>IF(Balancete_Oficial[[#Headers],[Abril]]='Balancete MLN_WebPosto'!$G$2,
SUMIFS('Balancete MLN_WebPosto'!$J:$J,'Balancete MLN_WebPosto'!$C:$C,$A152,'Balancete MLN_WebPosto'!$B:$B,$B$2),
  "0"
)</f>
        <v>0</v>
      </c>
      <c r="N152" s="4" t="str">
        <f>IF(Balancete_Oficial[[#Headers],[Maio]]='Balancete MLN_WebPosto'!$G$2,
SUMIFS('Balancete MLN_WebPosto'!$I:$I,'Balancete MLN_WebPosto'!$C:$C,$A152,'Balancete MLN_WebPosto'!$B:$B,$B$2),
  "0"
)</f>
        <v>0</v>
      </c>
      <c r="O152" s="4" t="str">
        <f>IF(Balancete_Oficial[[#Headers],[Junho]]='Balancete MLN_WebPosto'!$G$2,
SUMIFS('Balancete MLN_WebPosto'!$I:$I,'Balancete MLN_WebPosto'!$C:$C,$A152,'Balancete MLN_WebPosto'!$B:$B,$B$2),
  "0"
)</f>
        <v>0</v>
      </c>
      <c r="P152" s="4" t="str">
        <f>IF(Balancete_Oficial[[#Headers],[Julho]]='Balancete MLN_WebPosto'!$G$2,
SUMIFS('Balancete MLN_WebPosto'!$I:$I,'Balancete MLN_WebPosto'!$C:$C,$A152,'Balancete MLN_WebPosto'!$B:$B,$B$2),
  "0"
)</f>
        <v>0</v>
      </c>
      <c r="Q152" s="4" t="str">
        <f>IF(Balancete_Oficial[[#Headers],[Agosto]]='Balancete MLN_WebPosto'!$G$2,
SUMIFS('Balancete MLN_WebPosto'!$I:$I,'Balancete MLN_WebPosto'!$C:$C,$A152,'Balancete MLN_WebPosto'!$B:$B,$B$2),
  "0"
)</f>
        <v>0</v>
      </c>
      <c r="R152" s="4">
        <f>IF(Balancete_Oficial[[#Headers],[Setembro]]='Balancete MLN_WebPosto'!$G$2,
SUMIFS('Balancete MLN_WebPosto'!$I:$I,'Balancete MLN_WebPosto'!$C:$C,$A152,'Balancete MLN_WebPosto'!$B:$B,$B$2),
  "0"
)</f>
        <v>0</v>
      </c>
      <c r="S152" s="4" t="str">
        <f>IF(Balancete_Oficial[[#Headers],[Outubro]]='Balancete MLN_WebPosto'!$G$2,
SUMIFS('Balancete MLN_WebPosto'!$I:$I,'Balancete MLN_WebPosto'!$C:$C,$A152,'Balancete MLN_WebPosto'!$B:$B,$B$2),
  "0"
)</f>
        <v>0</v>
      </c>
      <c r="T152" s="4" t="str">
        <f>IF(Balancete_Oficial[[#Headers],[Novembro]]='Balancete MLN_WebPosto'!$G$2,
SUMIFS('Balancete MLN_WebPosto'!$I:$I,'Balancete MLN_WebPosto'!$C:$C,$A152,'Balancete MLN_WebPosto'!$B:$B,$B$2),
  "0"
)</f>
        <v>0</v>
      </c>
      <c r="U152" s="4" t="str">
        <f>IF(Balancete_Oficial[[#Headers],[Dezembro]]='Balancete MLN_WebPosto'!$G$2,
SUMIFS('Balancete MLN_WebPosto'!$I:$I,'Balancete MLN_WebPosto'!$C:$C,$A152,'Balancete MLN_WebPosto'!$B:$B,$B$2),
  "0"
)</f>
        <v>0</v>
      </c>
    </row>
    <row r="153" spans="1:21" x14ac:dyDescent="0.25">
      <c r="A153" s="2" t="str">
        <f>IF(Dados!H150="","",Dados!H150)</f>
        <v/>
      </c>
      <c r="B153" s="2" t="e">
        <f>VLOOKUP(Balancete_Oficial[[#This Row],[Conta]],'Balancete MLN_WebPosto'!C:E,3,0)</f>
        <v>#N/A</v>
      </c>
      <c r="C153" s="3" t="str">
        <f t="shared" si="9"/>
        <v>Sintética</v>
      </c>
      <c r="D153" s="6" t="str">
        <f t="shared" si="10"/>
        <v>R</v>
      </c>
      <c r="E153" s="6" t="str">
        <f t="shared" si="11"/>
        <v/>
      </c>
      <c r="F153" s="6"/>
      <c r="G153" s="6"/>
      <c r="H153" s="6"/>
      <c r="I153" s="6"/>
      <c r="J153" s="4" t="str">
        <f>IF(Balancete_Oficial[[#Headers],[Janeiro]]='Balancete MLN_WebPosto'!$G$2,
SUMIFS('Balancete MLN_WebPosto'!$J:$J,'Balancete MLN_WebPosto'!$C:$C,$A153,'Balancete MLN_WebPosto'!$B:$B,$B$2),
  "0"
)</f>
        <v>0</v>
      </c>
      <c r="K153" s="4" t="str">
        <f>IF(Balancete_Oficial[[#Headers],[Fevereiro]]='Balancete MLN_WebPosto'!$G$2,
SUMIFS('Balancete MLN_WebPosto'!$J:$J,'Balancete MLN_WebPosto'!$C:$C,$A153,'Balancete MLN_WebPosto'!$B:$B,$B$2),
  "0"
)</f>
        <v>0</v>
      </c>
      <c r="L153" s="4" t="str">
        <f>IF(Balancete_Oficial[[#Headers],[Março]]='Balancete MLN_WebPosto'!$G$2,
SUMIFS('Balancete MLN_WebPosto'!$J:$J,'Balancete MLN_WebPosto'!$C:$C,$A153,'Balancete MLN_WebPosto'!$B:$B,$B$2),
  "0"
)</f>
        <v>0</v>
      </c>
      <c r="M153" s="4" t="str">
        <f>IF(Balancete_Oficial[[#Headers],[Abril]]='Balancete MLN_WebPosto'!$G$2,
SUMIFS('Balancete MLN_WebPosto'!$J:$J,'Balancete MLN_WebPosto'!$C:$C,$A153,'Balancete MLN_WebPosto'!$B:$B,$B$2),
  "0"
)</f>
        <v>0</v>
      </c>
      <c r="N153" s="4" t="str">
        <f>IF(Balancete_Oficial[[#Headers],[Maio]]='Balancete MLN_WebPosto'!$G$2,
SUMIFS('Balancete MLN_WebPosto'!$I:$I,'Balancete MLN_WebPosto'!$C:$C,$A153,'Balancete MLN_WebPosto'!$B:$B,$B$2),
  "0"
)</f>
        <v>0</v>
      </c>
      <c r="O153" s="4" t="str">
        <f>IF(Balancete_Oficial[[#Headers],[Junho]]='Balancete MLN_WebPosto'!$G$2,
SUMIFS('Balancete MLN_WebPosto'!$I:$I,'Balancete MLN_WebPosto'!$C:$C,$A153,'Balancete MLN_WebPosto'!$B:$B,$B$2),
  "0"
)</f>
        <v>0</v>
      </c>
      <c r="P153" s="4" t="str">
        <f>IF(Balancete_Oficial[[#Headers],[Julho]]='Balancete MLN_WebPosto'!$G$2,
SUMIFS('Balancete MLN_WebPosto'!$I:$I,'Balancete MLN_WebPosto'!$C:$C,$A153,'Balancete MLN_WebPosto'!$B:$B,$B$2),
  "0"
)</f>
        <v>0</v>
      </c>
      <c r="Q153" s="4" t="str">
        <f>IF(Balancete_Oficial[[#Headers],[Agosto]]='Balancete MLN_WebPosto'!$G$2,
SUMIFS('Balancete MLN_WebPosto'!$I:$I,'Balancete MLN_WebPosto'!$C:$C,$A153,'Balancete MLN_WebPosto'!$B:$B,$B$2),
  "0"
)</f>
        <v>0</v>
      </c>
      <c r="R153" s="4">
        <f>IF(Balancete_Oficial[[#Headers],[Setembro]]='Balancete MLN_WebPosto'!$G$2,
SUMIFS('Balancete MLN_WebPosto'!$I:$I,'Balancete MLN_WebPosto'!$C:$C,$A153,'Balancete MLN_WebPosto'!$B:$B,$B$2),
  "0"
)</f>
        <v>0</v>
      </c>
      <c r="S153" s="4" t="str">
        <f>IF(Balancete_Oficial[[#Headers],[Outubro]]='Balancete MLN_WebPosto'!$G$2,
SUMIFS('Balancete MLN_WebPosto'!$I:$I,'Balancete MLN_WebPosto'!$C:$C,$A153,'Balancete MLN_WebPosto'!$B:$B,$B$2),
  "0"
)</f>
        <v>0</v>
      </c>
      <c r="T153" s="4" t="str">
        <f>IF(Balancete_Oficial[[#Headers],[Novembro]]='Balancete MLN_WebPosto'!$G$2,
SUMIFS('Balancete MLN_WebPosto'!$I:$I,'Balancete MLN_WebPosto'!$C:$C,$A153,'Balancete MLN_WebPosto'!$B:$B,$B$2),
  "0"
)</f>
        <v>0</v>
      </c>
      <c r="U153" s="4" t="str">
        <f>IF(Balancete_Oficial[[#Headers],[Dezembro]]='Balancete MLN_WebPosto'!$G$2,
SUMIFS('Balancete MLN_WebPosto'!$I:$I,'Balancete MLN_WebPosto'!$C:$C,$A153,'Balancete MLN_WebPosto'!$B:$B,$B$2),
  "0"
)</f>
        <v>0</v>
      </c>
    </row>
    <row r="154" spans="1:21" x14ac:dyDescent="0.25">
      <c r="A154" s="2" t="str">
        <f>IF(Dados!H151="","",Dados!H151)</f>
        <v/>
      </c>
      <c r="B154" s="2" t="e">
        <f>VLOOKUP(Balancete_Oficial[[#This Row],[Conta]],'Balancete MLN_WebPosto'!C:E,3,0)</f>
        <v>#N/A</v>
      </c>
      <c r="C154" s="3" t="str">
        <f t="shared" si="9"/>
        <v>Sintética</v>
      </c>
      <c r="D154" s="6" t="str">
        <f t="shared" si="10"/>
        <v>R</v>
      </c>
      <c r="E154" s="6" t="str">
        <f t="shared" si="11"/>
        <v/>
      </c>
      <c r="F154" s="6"/>
      <c r="G154" s="6"/>
      <c r="H154" s="6"/>
      <c r="I154" s="6"/>
      <c r="J154" s="4" t="str">
        <f>IF(Balancete_Oficial[[#Headers],[Janeiro]]='Balancete MLN_WebPosto'!$G$2,
SUMIFS('Balancete MLN_WebPosto'!$J:$J,'Balancete MLN_WebPosto'!$C:$C,$A154,'Balancete MLN_WebPosto'!$B:$B,$B$2),
  "0"
)</f>
        <v>0</v>
      </c>
      <c r="K154" s="4" t="str">
        <f>IF(Balancete_Oficial[[#Headers],[Fevereiro]]='Balancete MLN_WebPosto'!$G$2,
SUMIFS('Balancete MLN_WebPosto'!$J:$J,'Balancete MLN_WebPosto'!$C:$C,$A154,'Balancete MLN_WebPosto'!$B:$B,$B$2),
  "0"
)</f>
        <v>0</v>
      </c>
      <c r="L154" s="4" t="str">
        <f>IF(Balancete_Oficial[[#Headers],[Março]]='Balancete MLN_WebPosto'!$G$2,
SUMIFS('Balancete MLN_WebPosto'!$J:$J,'Balancete MLN_WebPosto'!$C:$C,$A154,'Balancete MLN_WebPosto'!$B:$B,$B$2),
  "0"
)</f>
        <v>0</v>
      </c>
      <c r="M154" s="4" t="str">
        <f>IF(Balancete_Oficial[[#Headers],[Abril]]='Balancete MLN_WebPosto'!$G$2,
SUMIFS('Balancete MLN_WebPosto'!$J:$J,'Balancete MLN_WebPosto'!$C:$C,$A154,'Balancete MLN_WebPosto'!$B:$B,$B$2),
  "0"
)</f>
        <v>0</v>
      </c>
      <c r="N154" s="4" t="str">
        <f>IF(Balancete_Oficial[[#Headers],[Maio]]='Balancete MLN_WebPosto'!$G$2,
SUMIFS('Balancete MLN_WebPosto'!$I:$I,'Balancete MLN_WebPosto'!$C:$C,$A154,'Balancete MLN_WebPosto'!$B:$B,$B$2),
  "0"
)</f>
        <v>0</v>
      </c>
      <c r="O154" s="4" t="str">
        <f>IF(Balancete_Oficial[[#Headers],[Junho]]='Balancete MLN_WebPosto'!$G$2,
SUMIFS('Balancete MLN_WebPosto'!$I:$I,'Balancete MLN_WebPosto'!$C:$C,$A154,'Balancete MLN_WebPosto'!$B:$B,$B$2),
  "0"
)</f>
        <v>0</v>
      </c>
      <c r="P154" s="4" t="str">
        <f>IF(Balancete_Oficial[[#Headers],[Julho]]='Balancete MLN_WebPosto'!$G$2,
SUMIFS('Balancete MLN_WebPosto'!$I:$I,'Balancete MLN_WebPosto'!$C:$C,$A154,'Balancete MLN_WebPosto'!$B:$B,$B$2),
  "0"
)</f>
        <v>0</v>
      </c>
      <c r="Q154" s="4" t="str">
        <f>IF(Balancete_Oficial[[#Headers],[Agosto]]='Balancete MLN_WebPosto'!$G$2,
SUMIFS('Balancete MLN_WebPosto'!$I:$I,'Balancete MLN_WebPosto'!$C:$C,$A154,'Balancete MLN_WebPosto'!$B:$B,$B$2),
  "0"
)</f>
        <v>0</v>
      </c>
      <c r="R154" s="4">
        <f>IF(Balancete_Oficial[[#Headers],[Setembro]]='Balancete MLN_WebPosto'!$G$2,
SUMIFS('Balancete MLN_WebPosto'!$I:$I,'Balancete MLN_WebPosto'!$C:$C,$A154,'Balancete MLN_WebPosto'!$B:$B,$B$2),
  "0"
)</f>
        <v>0</v>
      </c>
      <c r="S154" s="4" t="str">
        <f>IF(Balancete_Oficial[[#Headers],[Outubro]]='Balancete MLN_WebPosto'!$G$2,
SUMIFS('Balancete MLN_WebPosto'!$I:$I,'Balancete MLN_WebPosto'!$C:$C,$A154,'Balancete MLN_WebPosto'!$B:$B,$B$2),
  "0"
)</f>
        <v>0</v>
      </c>
      <c r="T154" s="4" t="str">
        <f>IF(Balancete_Oficial[[#Headers],[Novembro]]='Balancete MLN_WebPosto'!$G$2,
SUMIFS('Balancete MLN_WebPosto'!$I:$I,'Balancete MLN_WebPosto'!$C:$C,$A154,'Balancete MLN_WebPosto'!$B:$B,$B$2),
  "0"
)</f>
        <v>0</v>
      </c>
      <c r="U154" s="4" t="str">
        <f>IF(Balancete_Oficial[[#Headers],[Dezembro]]='Balancete MLN_WebPosto'!$G$2,
SUMIFS('Balancete MLN_WebPosto'!$I:$I,'Balancete MLN_WebPosto'!$C:$C,$A154,'Balancete MLN_WebPosto'!$B:$B,$B$2),
  "0"
)</f>
        <v>0</v>
      </c>
    </row>
    <row r="155" spans="1:21" x14ac:dyDescent="0.25">
      <c r="A155" s="2" t="str">
        <f>IF(Dados!H152="","",Dados!H152)</f>
        <v/>
      </c>
      <c r="B155" s="2" t="e">
        <f>VLOOKUP(Balancete_Oficial[[#This Row],[Conta]],'Balancete MLN_WebPosto'!C:E,3,0)</f>
        <v>#N/A</v>
      </c>
      <c r="C155" s="3" t="str">
        <f t="shared" si="9"/>
        <v>Sintética</v>
      </c>
      <c r="D155" s="6" t="str">
        <f t="shared" si="10"/>
        <v>R</v>
      </c>
      <c r="E155" s="6" t="str">
        <f t="shared" si="11"/>
        <v/>
      </c>
      <c r="F155" s="6"/>
      <c r="G155" s="6"/>
      <c r="H155" s="6"/>
      <c r="I155" s="6"/>
      <c r="J155" s="4" t="str">
        <f>IF(Balancete_Oficial[[#Headers],[Janeiro]]='Balancete MLN_WebPosto'!$G$2,
SUMIFS('Balancete MLN_WebPosto'!$J:$J,'Balancete MLN_WebPosto'!$C:$C,$A155,'Balancete MLN_WebPosto'!$B:$B,$B$2),
  "0"
)</f>
        <v>0</v>
      </c>
      <c r="K155" s="4" t="str">
        <f>IF(Balancete_Oficial[[#Headers],[Fevereiro]]='Balancete MLN_WebPosto'!$G$2,
SUMIFS('Balancete MLN_WebPosto'!$J:$J,'Balancete MLN_WebPosto'!$C:$C,$A155,'Balancete MLN_WebPosto'!$B:$B,$B$2),
  "0"
)</f>
        <v>0</v>
      </c>
      <c r="L155" s="4" t="str">
        <f>IF(Balancete_Oficial[[#Headers],[Março]]='Balancete MLN_WebPosto'!$G$2,
SUMIFS('Balancete MLN_WebPosto'!$J:$J,'Balancete MLN_WebPosto'!$C:$C,$A155,'Balancete MLN_WebPosto'!$B:$B,$B$2),
  "0"
)</f>
        <v>0</v>
      </c>
      <c r="M155" s="4" t="str">
        <f>IF(Balancete_Oficial[[#Headers],[Abril]]='Balancete MLN_WebPosto'!$G$2,
SUMIFS('Balancete MLN_WebPosto'!$J:$J,'Balancete MLN_WebPosto'!$C:$C,$A155,'Balancete MLN_WebPosto'!$B:$B,$B$2),
  "0"
)</f>
        <v>0</v>
      </c>
      <c r="N155" s="4" t="str">
        <f>IF(Balancete_Oficial[[#Headers],[Maio]]='Balancete MLN_WebPosto'!$G$2,
SUMIFS('Balancete MLN_WebPosto'!$I:$I,'Balancete MLN_WebPosto'!$C:$C,$A155,'Balancete MLN_WebPosto'!$B:$B,$B$2),
  "0"
)</f>
        <v>0</v>
      </c>
      <c r="O155" s="4" t="str">
        <f>IF(Balancete_Oficial[[#Headers],[Junho]]='Balancete MLN_WebPosto'!$G$2,
SUMIFS('Balancete MLN_WebPosto'!$I:$I,'Balancete MLN_WebPosto'!$C:$C,$A155,'Balancete MLN_WebPosto'!$B:$B,$B$2),
  "0"
)</f>
        <v>0</v>
      </c>
      <c r="P155" s="4" t="str">
        <f>IF(Balancete_Oficial[[#Headers],[Julho]]='Balancete MLN_WebPosto'!$G$2,
SUMIFS('Balancete MLN_WebPosto'!$I:$I,'Balancete MLN_WebPosto'!$C:$C,$A155,'Balancete MLN_WebPosto'!$B:$B,$B$2),
  "0"
)</f>
        <v>0</v>
      </c>
      <c r="Q155" s="4" t="str">
        <f>IF(Balancete_Oficial[[#Headers],[Agosto]]='Balancete MLN_WebPosto'!$G$2,
SUMIFS('Balancete MLN_WebPosto'!$I:$I,'Balancete MLN_WebPosto'!$C:$C,$A155,'Balancete MLN_WebPosto'!$B:$B,$B$2),
  "0"
)</f>
        <v>0</v>
      </c>
      <c r="R155" s="4">
        <f>IF(Balancete_Oficial[[#Headers],[Setembro]]='Balancete MLN_WebPosto'!$G$2,
SUMIFS('Balancete MLN_WebPosto'!$I:$I,'Balancete MLN_WebPosto'!$C:$C,$A155,'Balancete MLN_WebPosto'!$B:$B,$B$2),
  "0"
)</f>
        <v>0</v>
      </c>
      <c r="S155" s="4" t="str">
        <f>IF(Balancete_Oficial[[#Headers],[Outubro]]='Balancete MLN_WebPosto'!$G$2,
SUMIFS('Balancete MLN_WebPosto'!$I:$I,'Balancete MLN_WebPosto'!$C:$C,$A155,'Balancete MLN_WebPosto'!$B:$B,$B$2),
  "0"
)</f>
        <v>0</v>
      </c>
      <c r="T155" s="4" t="str">
        <f>IF(Balancete_Oficial[[#Headers],[Novembro]]='Balancete MLN_WebPosto'!$G$2,
SUMIFS('Balancete MLN_WebPosto'!$I:$I,'Balancete MLN_WebPosto'!$C:$C,$A155,'Balancete MLN_WebPosto'!$B:$B,$B$2),
  "0"
)</f>
        <v>0</v>
      </c>
      <c r="U155" s="4" t="str">
        <f>IF(Balancete_Oficial[[#Headers],[Dezembro]]='Balancete MLN_WebPosto'!$G$2,
SUMIFS('Balancete MLN_WebPosto'!$I:$I,'Balancete MLN_WebPosto'!$C:$C,$A155,'Balancete MLN_WebPosto'!$B:$B,$B$2),
  "0"
)</f>
        <v>0</v>
      </c>
    </row>
    <row r="156" spans="1:21" x14ac:dyDescent="0.25">
      <c r="A156" s="2" t="str">
        <f>IF(Dados!H153="","",Dados!H153)</f>
        <v/>
      </c>
      <c r="B156" s="2" t="e">
        <f>VLOOKUP(Balancete_Oficial[[#This Row],[Conta]],'Balancete MLN_WebPosto'!C:E,3,0)</f>
        <v>#N/A</v>
      </c>
      <c r="C156" s="3" t="str">
        <f t="shared" si="9"/>
        <v>Sintética</v>
      </c>
      <c r="D156" s="6" t="str">
        <f t="shared" si="10"/>
        <v>R</v>
      </c>
      <c r="E156" s="6" t="str">
        <f t="shared" si="11"/>
        <v/>
      </c>
      <c r="F156" s="6"/>
      <c r="G156" s="6"/>
      <c r="H156" s="6"/>
      <c r="I156" s="6"/>
      <c r="J156" s="4" t="str">
        <f>IF(Balancete_Oficial[[#Headers],[Janeiro]]='Balancete MLN_WebPosto'!$G$2,
SUMIFS('Balancete MLN_WebPosto'!$J:$J,'Balancete MLN_WebPosto'!$C:$C,$A156,'Balancete MLN_WebPosto'!$B:$B,$B$2),
  "0"
)</f>
        <v>0</v>
      </c>
      <c r="K156" s="4" t="str">
        <f>IF(Balancete_Oficial[[#Headers],[Fevereiro]]='Balancete MLN_WebPosto'!$G$2,
SUMIFS('Balancete MLN_WebPosto'!$J:$J,'Balancete MLN_WebPosto'!$C:$C,$A156,'Balancete MLN_WebPosto'!$B:$B,$B$2),
  "0"
)</f>
        <v>0</v>
      </c>
      <c r="L156" s="4" t="str">
        <f>IF(Balancete_Oficial[[#Headers],[Março]]='Balancete MLN_WebPosto'!$G$2,
SUMIFS('Balancete MLN_WebPosto'!$J:$J,'Balancete MLN_WebPosto'!$C:$C,$A156,'Balancete MLN_WebPosto'!$B:$B,$B$2),
  "0"
)</f>
        <v>0</v>
      </c>
      <c r="M156" s="4" t="str">
        <f>IF(Balancete_Oficial[[#Headers],[Abril]]='Balancete MLN_WebPosto'!$G$2,
SUMIFS('Balancete MLN_WebPosto'!$J:$J,'Balancete MLN_WebPosto'!$C:$C,$A156,'Balancete MLN_WebPosto'!$B:$B,$B$2),
  "0"
)</f>
        <v>0</v>
      </c>
      <c r="N156" s="4" t="str">
        <f>IF(Balancete_Oficial[[#Headers],[Maio]]='Balancete MLN_WebPosto'!$G$2,
SUMIFS('Balancete MLN_WebPosto'!$I:$I,'Balancete MLN_WebPosto'!$C:$C,$A156,'Balancete MLN_WebPosto'!$B:$B,$B$2),
  "0"
)</f>
        <v>0</v>
      </c>
      <c r="O156" s="4" t="str">
        <f>IF(Balancete_Oficial[[#Headers],[Junho]]='Balancete MLN_WebPosto'!$G$2,
SUMIFS('Balancete MLN_WebPosto'!$I:$I,'Balancete MLN_WebPosto'!$C:$C,$A156,'Balancete MLN_WebPosto'!$B:$B,$B$2),
  "0"
)</f>
        <v>0</v>
      </c>
      <c r="P156" s="4" t="str">
        <f>IF(Balancete_Oficial[[#Headers],[Julho]]='Balancete MLN_WebPosto'!$G$2,
SUMIFS('Balancete MLN_WebPosto'!$I:$I,'Balancete MLN_WebPosto'!$C:$C,$A156,'Balancete MLN_WebPosto'!$B:$B,$B$2),
  "0"
)</f>
        <v>0</v>
      </c>
      <c r="Q156" s="4" t="str">
        <f>IF(Balancete_Oficial[[#Headers],[Agosto]]='Balancete MLN_WebPosto'!$G$2,
SUMIFS('Balancete MLN_WebPosto'!$I:$I,'Balancete MLN_WebPosto'!$C:$C,$A156,'Balancete MLN_WebPosto'!$B:$B,$B$2),
  "0"
)</f>
        <v>0</v>
      </c>
      <c r="R156" s="4">
        <f>IF(Balancete_Oficial[[#Headers],[Setembro]]='Balancete MLN_WebPosto'!$G$2,
SUMIFS('Balancete MLN_WebPosto'!$I:$I,'Balancete MLN_WebPosto'!$C:$C,$A156,'Balancete MLN_WebPosto'!$B:$B,$B$2),
  "0"
)</f>
        <v>0</v>
      </c>
      <c r="S156" s="4" t="str">
        <f>IF(Balancete_Oficial[[#Headers],[Outubro]]='Balancete MLN_WebPosto'!$G$2,
SUMIFS('Balancete MLN_WebPosto'!$I:$I,'Balancete MLN_WebPosto'!$C:$C,$A156,'Balancete MLN_WebPosto'!$B:$B,$B$2),
  "0"
)</f>
        <v>0</v>
      </c>
      <c r="T156" s="4" t="str">
        <f>IF(Balancete_Oficial[[#Headers],[Novembro]]='Balancete MLN_WebPosto'!$G$2,
SUMIFS('Balancete MLN_WebPosto'!$I:$I,'Balancete MLN_WebPosto'!$C:$C,$A156,'Balancete MLN_WebPosto'!$B:$B,$B$2),
  "0"
)</f>
        <v>0</v>
      </c>
      <c r="U156" s="4" t="str">
        <f>IF(Balancete_Oficial[[#Headers],[Dezembro]]='Balancete MLN_WebPosto'!$G$2,
SUMIFS('Balancete MLN_WebPosto'!$I:$I,'Balancete MLN_WebPosto'!$C:$C,$A156,'Balancete MLN_WebPosto'!$B:$B,$B$2),
  "0"
)</f>
        <v>0</v>
      </c>
    </row>
    <row r="157" spans="1:21" x14ac:dyDescent="0.25">
      <c r="A157" s="2" t="str">
        <f>IF(Dados!H154="","",Dados!H154)</f>
        <v/>
      </c>
      <c r="B157" s="2" t="e">
        <f>VLOOKUP(Balancete_Oficial[[#This Row],[Conta]],'Balancete MLN_WebPosto'!C:E,3,0)</f>
        <v>#N/A</v>
      </c>
      <c r="C157" s="3" t="str">
        <f t="shared" si="9"/>
        <v>Sintética</v>
      </c>
      <c r="D157" s="6" t="str">
        <f t="shared" si="10"/>
        <v>R</v>
      </c>
      <c r="E157" s="6" t="str">
        <f t="shared" si="11"/>
        <v/>
      </c>
      <c r="F157" s="6"/>
      <c r="G157" s="6"/>
      <c r="H157" s="6"/>
      <c r="I157" s="6"/>
      <c r="J157" s="4" t="str">
        <f>IF(Balancete_Oficial[[#Headers],[Janeiro]]='Balancete MLN_WebPosto'!$G$2,
SUMIFS('Balancete MLN_WebPosto'!$J:$J,'Balancete MLN_WebPosto'!$C:$C,$A157,'Balancete MLN_WebPosto'!$B:$B,$B$2),
  "0"
)</f>
        <v>0</v>
      </c>
      <c r="K157" s="4" t="str">
        <f>IF(Balancete_Oficial[[#Headers],[Fevereiro]]='Balancete MLN_WebPosto'!$G$2,
SUMIFS('Balancete MLN_WebPosto'!$J:$J,'Balancete MLN_WebPosto'!$C:$C,$A157,'Balancete MLN_WebPosto'!$B:$B,$B$2),
  "0"
)</f>
        <v>0</v>
      </c>
      <c r="L157" s="4" t="str">
        <f>IF(Balancete_Oficial[[#Headers],[Março]]='Balancete MLN_WebPosto'!$G$2,
SUMIFS('Balancete MLN_WebPosto'!$J:$J,'Balancete MLN_WebPosto'!$C:$C,$A157,'Balancete MLN_WebPosto'!$B:$B,$B$2),
  "0"
)</f>
        <v>0</v>
      </c>
      <c r="M157" s="4" t="str">
        <f>IF(Balancete_Oficial[[#Headers],[Abril]]='Balancete MLN_WebPosto'!$G$2,
SUMIFS('Balancete MLN_WebPosto'!$J:$J,'Balancete MLN_WebPosto'!$C:$C,$A157,'Balancete MLN_WebPosto'!$B:$B,$B$2),
  "0"
)</f>
        <v>0</v>
      </c>
      <c r="N157" s="4" t="str">
        <f>IF(Balancete_Oficial[[#Headers],[Maio]]='Balancete MLN_WebPosto'!$G$2,
SUMIFS('Balancete MLN_WebPosto'!$I:$I,'Balancete MLN_WebPosto'!$C:$C,$A157,'Balancete MLN_WebPosto'!$B:$B,$B$2),
  "0"
)</f>
        <v>0</v>
      </c>
      <c r="O157" s="4" t="str">
        <f>IF(Balancete_Oficial[[#Headers],[Junho]]='Balancete MLN_WebPosto'!$G$2,
SUMIFS('Balancete MLN_WebPosto'!$I:$I,'Balancete MLN_WebPosto'!$C:$C,$A157,'Balancete MLN_WebPosto'!$B:$B,$B$2),
  "0"
)</f>
        <v>0</v>
      </c>
      <c r="P157" s="4" t="str">
        <f>IF(Balancete_Oficial[[#Headers],[Julho]]='Balancete MLN_WebPosto'!$G$2,
SUMIFS('Balancete MLN_WebPosto'!$I:$I,'Balancete MLN_WebPosto'!$C:$C,$A157,'Balancete MLN_WebPosto'!$B:$B,$B$2),
  "0"
)</f>
        <v>0</v>
      </c>
      <c r="Q157" s="4" t="str">
        <f>IF(Balancete_Oficial[[#Headers],[Agosto]]='Balancete MLN_WebPosto'!$G$2,
SUMIFS('Balancete MLN_WebPosto'!$I:$I,'Balancete MLN_WebPosto'!$C:$C,$A157,'Balancete MLN_WebPosto'!$B:$B,$B$2),
  "0"
)</f>
        <v>0</v>
      </c>
      <c r="R157" s="4">
        <f>IF(Balancete_Oficial[[#Headers],[Setembro]]='Balancete MLN_WebPosto'!$G$2,
SUMIFS('Balancete MLN_WebPosto'!$I:$I,'Balancete MLN_WebPosto'!$C:$C,$A157,'Balancete MLN_WebPosto'!$B:$B,$B$2),
  "0"
)</f>
        <v>0</v>
      </c>
      <c r="S157" s="4" t="str">
        <f>IF(Balancete_Oficial[[#Headers],[Outubro]]='Balancete MLN_WebPosto'!$G$2,
SUMIFS('Balancete MLN_WebPosto'!$I:$I,'Balancete MLN_WebPosto'!$C:$C,$A157,'Balancete MLN_WebPosto'!$B:$B,$B$2),
  "0"
)</f>
        <v>0</v>
      </c>
      <c r="T157" s="4" t="str">
        <f>IF(Balancete_Oficial[[#Headers],[Novembro]]='Balancete MLN_WebPosto'!$G$2,
SUMIFS('Balancete MLN_WebPosto'!$I:$I,'Balancete MLN_WebPosto'!$C:$C,$A157,'Balancete MLN_WebPosto'!$B:$B,$B$2),
  "0"
)</f>
        <v>0</v>
      </c>
      <c r="U157" s="4" t="str">
        <f>IF(Balancete_Oficial[[#Headers],[Dezembro]]='Balancete MLN_WebPosto'!$G$2,
SUMIFS('Balancete MLN_WebPosto'!$I:$I,'Balancete MLN_WebPosto'!$C:$C,$A157,'Balancete MLN_WebPosto'!$B:$B,$B$2),
  "0"
)</f>
        <v>0</v>
      </c>
    </row>
    <row r="158" spans="1:21" x14ac:dyDescent="0.25">
      <c r="A158" s="2" t="str">
        <f>IF(Dados!H155="","",Dados!H155)</f>
        <v/>
      </c>
      <c r="B158" s="2" t="e">
        <f>VLOOKUP(Balancete_Oficial[[#This Row],[Conta]],'Balancete MLN_WebPosto'!C:E,3,0)</f>
        <v>#N/A</v>
      </c>
      <c r="C158" s="3" t="str">
        <f t="shared" si="9"/>
        <v>Sintética</v>
      </c>
      <c r="D158" s="6" t="str">
        <f t="shared" si="10"/>
        <v>R</v>
      </c>
      <c r="E158" s="6" t="str">
        <f t="shared" si="11"/>
        <v/>
      </c>
      <c r="F158" s="6"/>
      <c r="G158" s="6"/>
      <c r="H158" s="6"/>
      <c r="I158" s="6"/>
      <c r="J158" s="4" t="str">
        <f>IF(Balancete_Oficial[[#Headers],[Janeiro]]='Balancete MLN_WebPosto'!$G$2,
SUMIFS('Balancete MLN_WebPosto'!$J:$J,'Balancete MLN_WebPosto'!$C:$C,$A158,'Balancete MLN_WebPosto'!$B:$B,$B$2),
  "0"
)</f>
        <v>0</v>
      </c>
      <c r="K158" s="4" t="str">
        <f>IF(Balancete_Oficial[[#Headers],[Fevereiro]]='Balancete MLN_WebPosto'!$G$2,
SUMIFS('Balancete MLN_WebPosto'!$J:$J,'Balancete MLN_WebPosto'!$C:$C,$A158,'Balancete MLN_WebPosto'!$B:$B,$B$2),
  "0"
)</f>
        <v>0</v>
      </c>
      <c r="L158" s="4" t="str">
        <f>IF(Balancete_Oficial[[#Headers],[Março]]='Balancete MLN_WebPosto'!$G$2,
SUMIFS('Balancete MLN_WebPosto'!$J:$J,'Balancete MLN_WebPosto'!$C:$C,$A158,'Balancete MLN_WebPosto'!$B:$B,$B$2),
  "0"
)</f>
        <v>0</v>
      </c>
      <c r="M158" s="4" t="str">
        <f>IF(Balancete_Oficial[[#Headers],[Abril]]='Balancete MLN_WebPosto'!$G$2,
SUMIFS('Balancete MLN_WebPosto'!$J:$J,'Balancete MLN_WebPosto'!$C:$C,$A158,'Balancete MLN_WebPosto'!$B:$B,$B$2),
  "0"
)</f>
        <v>0</v>
      </c>
      <c r="N158" s="4" t="str">
        <f>IF(Balancete_Oficial[[#Headers],[Maio]]='Balancete MLN_WebPosto'!$G$2,
SUMIFS('Balancete MLN_WebPosto'!$I:$I,'Balancete MLN_WebPosto'!$C:$C,$A158,'Balancete MLN_WebPosto'!$B:$B,$B$2),
  "0"
)</f>
        <v>0</v>
      </c>
      <c r="O158" s="4" t="str">
        <f>IF(Balancete_Oficial[[#Headers],[Junho]]='Balancete MLN_WebPosto'!$G$2,
SUMIFS('Balancete MLN_WebPosto'!$I:$I,'Balancete MLN_WebPosto'!$C:$C,$A158,'Balancete MLN_WebPosto'!$B:$B,$B$2),
  "0"
)</f>
        <v>0</v>
      </c>
      <c r="P158" s="4" t="str">
        <f>IF(Balancete_Oficial[[#Headers],[Julho]]='Balancete MLN_WebPosto'!$G$2,
SUMIFS('Balancete MLN_WebPosto'!$I:$I,'Balancete MLN_WebPosto'!$C:$C,$A158,'Balancete MLN_WebPosto'!$B:$B,$B$2),
  "0"
)</f>
        <v>0</v>
      </c>
      <c r="Q158" s="4" t="str">
        <f>IF(Balancete_Oficial[[#Headers],[Agosto]]='Balancete MLN_WebPosto'!$G$2,
SUMIFS('Balancete MLN_WebPosto'!$I:$I,'Balancete MLN_WebPosto'!$C:$C,$A158,'Balancete MLN_WebPosto'!$B:$B,$B$2),
  "0"
)</f>
        <v>0</v>
      </c>
      <c r="R158" s="4">
        <f>IF(Balancete_Oficial[[#Headers],[Setembro]]='Balancete MLN_WebPosto'!$G$2,
SUMIFS('Balancete MLN_WebPosto'!$I:$I,'Balancete MLN_WebPosto'!$C:$C,$A158,'Balancete MLN_WebPosto'!$B:$B,$B$2),
  "0"
)</f>
        <v>0</v>
      </c>
      <c r="S158" s="4" t="str">
        <f>IF(Balancete_Oficial[[#Headers],[Outubro]]='Balancete MLN_WebPosto'!$G$2,
SUMIFS('Balancete MLN_WebPosto'!$I:$I,'Balancete MLN_WebPosto'!$C:$C,$A158,'Balancete MLN_WebPosto'!$B:$B,$B$2),
  "0"
)</f>
        <v>0</v>
      </c>
      <c r="T158" s="4" t="str">
        <f>IF(Balancete_Oficial[[#Headers],[Novembro]]='Balancete MLN_WebPosto'!$G$2,
SUMIFS('Balancete MLN_WebPosto'!$I:$I,'Balancete MLN_WebPosto'!$C:$C,$A158,'Balancete MLN_WebPosto'!$B:$B,$B$2),
  "0"
)</f>
        <v>0</v>
      </c>
      <c r="U158" s="4" t="str">
        <f>IF(Balancete_Oficial[[#Headers],[Dezembro]]='Balancete MLN_WebPosto'!$G$2,
SUMIFS('Balancete MLN_WebPosto'!$I:$I,'Balancete MLN_WebPosto'!$C:$C,$A158,'Balancete MLN_WebPosto'!$B:$B,$B$2),
  "0"
)</f>
        <v>0</v>
      </c>
    </row>
    <row r="159" spans="1:21" x14ac:dyDescent="0.25">
      <c r="A159" s="2" t="str">
        <f>IF(Dados!H156="","",Dados!H156)</f>
        <v/>
      </c>
      <c r="B159" s="2" t="e">
        <f>VLOOKUP(Balancete_Oficial[[#This Row],[Conta]],'Balancete MLN_WebPosto'!C:E,3,0)</f>
        <v>#N/A</v>
      </c>
      <c r="C159" s="3" t="str">
        <f t="shared" si="9"/>
        <v>Sintética</v>
      </c>
      <c r="D159" s="6" t="str">
        <f t="shared" si="10"/>
        <v>R</v>
      </c>
      <c r="E159" s="6" t="str">
        <f t="shared" si="11"/>
        <v/>
      </c>
      <c r="F159" s="6"/>
      <c r="G159" s="6"/>
      <c r="H159" s="6"/>
      <c r="I159" s="6"/>
      <c r="J159" s="4" t="str">
        <f>IF(Balancete_Oficial[[#Headers],[Janeiro]]='Balancete MLN_WebPosto'!$G$2,
SUMIFS('Balancete MLN_WebPosto'!$J:$J,'Balancete MLN_WebPosto'!$C:$C,$A159,'Balancete MLN_WebPosto'!$B:$B,$B$2),
  "0"
)</f>
        <v>0</v>
      </c>
      <c r="K159" s="4" t="str">
        <f>IF(Balancete_Oficial[[#Headers],[Fevereiro]]='Balancete MLN_WebPosto'!$G$2,
SUMIFS('Balancete MLN_WebPosto'!$J:$J,'Balancete MLN_WebPosto'!$C:$C,$A159,'Balancete MLN_WebPosto'!$B:$B,$B$2),
  "0"
)</f>
        <v>0</v>
      </c>
      <c r="L159" s="4" t="str">
        <f>IF(Balancete_Oficial[[#Headers],[Março]]='Balancete MLN_WebPosto'!$G$2,
SUMIFS('Balancete MLN_WebPosto'!$J:$J,'Balancete MLN_WebPosto'!$C:$C,$A159,'Balancete MLN_WebPosto'!$B:$B,$B$2),
  "0"
)</f>
        <v>0</v>
      </c>
      <c r="M159" s="4" t="str">
        <f>IF(Balancete_Oficial[[#Headers],[Abril]]='Balancete MLN_WebPosto'!$G$2,
SUMIFS('Balancete MLN_WebPosto'!$J:$J,'Balancete MLN_WebPosto'!$C:$C,$A159,'Balancete MLN_WebPosto'!$B:$B,$B$2),
  "0"
)</f>
        <v>0</v>
      </c>
      <c r="N159" s="4" t="str">
        <f>IF(Balancete_Oficial[[#Headers],[Maio]]='Balancete MLN_WebPosto'!$G$2,
SUMIFS('Balancete MLN_WebPosto'!$I:$I,'Balancete MLN_WebPosto'!$C:$C,$A159,'Balancete MLN_WebPosto'!$B:$B,$B$2),
  "0"
)</f>
        <v>0</v>
      </c>
      <c r="O159" s="4" t="str">
        <f>IF(Balancete_Oficial[[#Headers],[Junho]]='Balancete MLN_WebPosto'!$G$2,
SUMIFS('Balancete MLN_WebPosto'!$I:$I,'Balancete MLN_WebPosto'!$C:$C,$A159,'Balancete MLN_WebPosto'!$B:$B,$B$2),
  "0"
)</f>
        <v>0</v>
      </c>
      <c r="P159" s="4" t="str">
        <f>IF(Balancete_Oficial[[#Headers],[Julho]]='Balancete MLN_WebPosto'!$G$2,
SUMIFS('Balancete MLN_WebPosto'!$I:$I,'Balancete MLN_WebPosto'!$C:$C,$A159,'Balancete MLN_WebPosto'!$B:$B,$B$2),
  "0"
)</f>
        <v>0</v>
      </c>
      <c r="Q159" s="4" t="str">
        <f>IF(Balancete_Oficial[[#Headers],[Agosto]]='Balancete MLN_WebPosto'!$G$2,
SUMIFS('Balancete MLN_WebPosto'!$I:$I,'Balancete MLN_WebPosto'!$C:$C,$A159,'Balancete MLN_WebPosto'!$B:$B,$B$2),
  "0"
)</f>
        <v>0</v>
      </c>
      <c r="R159" s="4">
        <f>IF(Balancete_Oficial[[#Headers],[Setembro]]='Balancete MLN_WebPosto'!$G$2,
SUMIFS('Balancete MLN_WebPosto'!$I:$I,'Balancete MLN_WebPosto'!$C:$C,$A159,'Balancete MLN_WebPosto'!$B:$B,$B$2),
  "0"
)</f>
        <v>0</v>
      </c>
      <c r="S159" s="4" t="str">
        <f>IF(Balancete_Oficial[[#Headers],[Outubro]]='Balancete MLN_WebPosto'!$G$2,
SUMIFS('Balancete MLN_WebPosto'!$I:$I,'Balancete MLN_WebPosto'!$C:$C,$A159,'Balancete MLN_WebPosto'!$B:$B,$B$2),
  "0"
)</f>
        <v>0</v>
      </c>
      <c r="T159" s="4" t="str">
        <f>IF(Balancete_Oficial[[#Headers],[Novembro]]='Balancete MLN_WebPosto'!$G$2,
SUMIFS('Balancete MLN_WebPosto'!$I:$I,'Balancete MLN_WebPosto'!$C:$C,$A159,'Balancete MLN_WebPosto'!$B:$B,$B$2),
  "0"
)</f>
        <v>0</v>
      </c>
      <c r="U159" s="4" t="str">
        <f>IF(Balancete_Oficial[[#Headers],[Dezembro]]='Balancete MLN_WebPosto'!$G$2,
SUMIFS('Balancete MLN_WebPosto'!$I:$I,'Balancete MLN_WebPosto'!$C:$C,$A159,'Balancete MLN_WebPosto'!$B:$B,$B$2),
  "0"
)</f>
        <v>0</v>
      </c>
    </row>
    <row r="160" spans="1:21" x14ac:dyDescent="0.25">
      <c r="A160" s="2" t="str">
        <f>IF(Dados!H157="","",Dados!H157)</f>
        <v/>
      </c>
      <c r="B160" s="2" t="e">
        <f>VLOOKUP(Balancete_Oficial[[#This Row],[Conta]],'Balancete MLN_WebPosto'!C:E,3,0)</f>
        <v>#N/A</v>
      </c>
      <c r="C160" s="3" t="str">
        <f t="shared" si="9"/>
        <v>Sintética</v>
      </c>
      <c r="D160" s="6" t="str">
        <f t="shared" si="10"/>
        <v>R</v>
      </c>
      <c r="E160" s="6" t="str">
        <f t="shared" si="11"/>
        <v/>
      </c>
      <c r="F160" s="6"/>
      <c r="G160" s="6"/>
      <c r="H160" s="6"/>
      <c r="I160" s="6"/>
      <c r="J160" s="4" t="str">
        <f>IF(Balancete_Oficial[[#Headers],[Janeiro]]='Balancete MLN_WebPosto'!$G$2,
SUMIFS('Balancete MLN_WebPosto'!$J:$J,'Balancete MLN_WebPosto'!$C:$C,$A160,'Balancete MLN_WebPosto'!$B:$B,$B$2),
  "0"
)</f>
        <v>0</v>
      </c>
      <c r="K160" s="4" t="str">
        <f>IF(Balancete_Oficial[[#Headers],[Fevereiro]]='Balancete MLN_WebPosto'!$G$2,
SUMIFS('Balancete MLN_WebPosto'!$J:$J,'Balancete MLN_WebPosto'!$C:$C,$A160,'Balancete MLN_WebPosto'!$B:$B,$B$2),
  "0"
)</f>
        <v>0</v>
      </c>
      <c r="L160" s="4" t="str">
        <f>IF(Balancete_Oficial[[#Headers],[Março]]='Balancete MLN_WebPosto'!$G$2,
SUMIFS('Balancete MLN_WebPosto'!$J:$J,'Balancete MLN_WebPosto'!$C:$C,$A160,'Balancete MLN_WebPosto'!$B:$B,$B$2),
  "0"
)</f>
        <v>0</v>
      </c>
      <c r="M160" s="4" t="str">
        <f>IF(Balancete_Oficial[[#Headers],[Abril]]='Balancete MLN_WebPosto'!$G$2,
SUMIFS('Balancete MLN_WebPosto'!$J:$J,'Balancete MLN_WebPosto'!$C:$C,$A160,'Balancete MLN_WebPosto'!$B:$B,$B$2),
  "0"
)</f>
        <v>0</v>
      </c>
      <c r="N160" s="4" t="str">
        <f>IF(Balancete_Oficial[[#Headers],[Maio]]='Balancete MLN_WebPosto'!$G$2,
SUMIFS('Balancete MLN_WebPosto'!$I:$I,'Balancete MLN_WebPosto'!$C:$C,$A160,'Balancete MLN_WebPosto'!$B:$B,$B$2),
  "0"
)</f>
        <v>0</v>
      </c>
      <c r="O160" s="4" t="str">
        <f>IF(Balancete_Oficial[[#Headers],[Junho]]='Balancete MLN_WebPosto'!$G$2,
SUMIFS('Balancete MLN_WebPosto'!$I:$I,'Balancete MLN_WebPosto'!$C:$C,$A160,'Balancete MLN_WebPosto'!$B:$B,$B$2),
  "0"
)</f>
        <v>0</v>
      </c>
      <c r="P160" s="4" t="str">
        <f>IF(Balancete_Oficial[[#Headers],[Julho]]='Balancete MLN_WebPosto'!$G$2,
SUMIFS('Balancete MLN_WebPosto'!$I:$I,'Balancete MLN_WebPosto'!$C:$C,$A160,'Balancete MLN_WebPosto'!$B:$B,$B$2),
  "0"
)</f>
        <v>0</v>
      </c>
      <c r="Q160" s="4" t="str">
        <f>IF(Balancete_Oficial[[#Headers],[Agosto]]='Balancete MLN_WebPosto'!$G$2,
SUMIFS('Balancete MLN_WebPosto'!$I:$I,'Balancete MLN_WebPosto'!$C:$C,$A160,'Balancete MLN_WebPosto'!$B:$B,$B$2),
  "0"
)</f>
        <v>0</v>
      </c>
      <c r="R160" s="4">
        <f>IF(Balancete_Oficial[[#Headers],[Setembro]]='Balancete MLN_WebPosto'!$G$2,
SUMIFS('Balancete MLN_WebPosto'!$I:$I,'Balancete MLN_WebPosto'!$C:$C,$A160,'Balancete MLN_WebPosto'!$B:$B,$B$2),
  "0"
)</f>
        <v>0</v>
      </c>
      <c r="S160" s="4" t="str">
        <f>IF(Balancete_Oficial[[#Headers],[Outubro]]='Balancete MLN_WebPosto'!$G$2,
SUMIFS('Balancete MLN_WebPosto'!$I:$I,'Balancete MLN_WebPosto'!$C:$C,$A160,'Balancete MLN_WebPosto'!$B:$B,$B$2),
  "0"
)</f>
        <v>0</v>
      </c>
      <c r="T160" s="4" t="str">
        <f>IF(Balancete_Oficial[[#Headers],[Novembro]]='Balancete MLN_WebPosto'!$G$2,
SUMIFS('Balancete MLN_WebPosto'!$I:$I,'Balancete MLN_WebPosto'!$C:$C,$A160,'Balancete MLN_WebPosto'!$B:$B,$B$2),
  "0"
)</f>
        <v>0</v>
      </c>
      <c r="U160" s="4" t="str">
        <f>IF(Balancete_Oficial[[#Headers],[Dezembro]]='Balancete MLN_WebPosto'!$G$2,
SUMIFS('Balancete MLN_WebPosto'!$I:$I,'Balancete MLN_WebPosto'!$C:$C,$A160,'Balancete MLN_WebPosto'!$B:$B,$B$2),
  "0"
)</f>
        <v>0</v>
      </c>
    </row>
    <row r="161" spans="1:21" x14ac:dyDescent="0.25">
      <c r="A161" s="2" t="str">
        <f>IF(Dados!H158="","",Dados!H158)</f>
        <v/>
      </c>
      <c r="B161" s="2" t="e">
        <f>VLOOKUP(Balancete_Oficial[[#This Row],[Conta]],'Balancete MLN_WebPosto'!C:E,3,0)</f>
        <v>#N/A</v>
      </c>
      <c r="C161" s="3" t="str">
        <f t="shared" si="9"/>
        <v>Sintética</v>
      </c>
      <c r="D161" s="6" t="str">
        <f t="shared" si="10"/>
        <v>R</v>
      </c>
      <c r="E161" s="6" t="str">
        <f t="shared" si="11"/>
        <v/>
      </c>
      <c r="F161" s="6"/>
      <c r="G161" s="6"/>
      <c r="H161" s="6"/>
      <c r="I161" s="6"/>
      <c r="J161" s="4" t="str">
        <f>IF(Balancete_Oficial[[#Headers],[Janeiro]]='Balancete MLN_WebPosto'!$G$2,
SUMIFS('Balancete MLN_WebPosto'!$J:$J,'Balancete MLN_WebPosto'!$C:$C,$A161,'Balancete MLN_WebPosto'!$B:$B,$B$2),
  "0"
)</f>
        <v>0</v>
      </c>
      <c r="K161" s="4" t="str">
        <f>IF(Balancete_Oficial[[#Headers],[Fevereiro]]='Balancete MLN_WebPosto'!$G$2,
SUMIFS('Balancete MLN_WebPosto'!$J:$J,'Balancete MLN_WebPosto'!$C:$C,$A161,'Balancete MLN_WebPosto'!$B:$B,$B$2),
  "0"
)</f>
        <v>0</v>
      </c>
      <c r="L161" s="4" t="str">
        <f>IF(Balancete_Oficial[[#Headers],[Março]]='Balancete MLN_WebPosto'!$G$2,
SUMIFS('Balancete MLN_WebPosto'!$J:$J,'Balancete MLN_WebPosto'!$C:$C,$A161,'Balancete MLN_WebPosto'!$B:$B,$B$2),
  "0"
)</f>
        <v>0</v>
      </c>
      <c r="M161" s="4" t="str">
        <f>IF(Balancete_Oficial[[#Headers],[Abril]]='Balancete MLN_WebPosto'!$G$2,
SUMIFS('Balancete MLN_WebPosto'!$J:$J,'Balancete MLN_WebPosto'!$C:$C,$A161,'Balancete MLN_WebPosto'!$B:$B,$B$2),
  "0"
)</f>
        <v>0</v>
      </c>
      <c r="N161" s="4" t="str">
        <f>IF(Balancete_Oficial[[#Headers],[Maio]]='Balancete MLN_WebPosto'!$G$2,
SUMIFS('Balancete MLN_WebPosto'!$I:$I,'Balancete MLN_WebPosto'!$C:$C,$A161,'Balancete MLN_WebPosto'!$B:$B,$B$2),
  "0"
)</f>
        <v>0</v>
      </c>
      <c r="O161" s="4" t="str">
        <f>IF(Balancete_Oficial[[#Headers],[Junho]]='Balancete MLN_WebPosto'!$G$2,
SUMIFS('Balancete MLN_WebPosto'!$I:$I,'Balancete MLN_WebPosto'!$C:$C,$A161,'Balancete MLN_WebPosto'!$B:$B,$B$2),
  "0"
)</f>
        <v>0</v>
      </c>
      <c r="P161" s="4" t="str">
        <f>IF(Balancete_Oficial[[#Headers],[Julho]]='Balancete MLN_WebPosto'!$G$2,
SUMIFS('Balancete MLN_WebPosto'!$I:$I,'Balancete MLN_WebPosto'!$C:$C,$A161,'Balancete MLN_WebPosto'!$B:$B,$B$2),
  "0"
)</f>
        <v>0</v>
      </c>
      <c r="Q161" s="4" t="str">
        <f>IF(Balancete_Oficial[[#Headers],[Agosto]]='Balancete MLN_WebPosto'!$G$2,
SUMIFS('Balancete MLN_WebPosto'!$I:$I,'Balancete MLN_WebPosto'!$C:$C,$A161,'Balancete MLN_WebPosto'!$B:$B,$B$2),
  "0"
)</f>
        <v>0</v>
      </c>
      <c r="R161" s="4">
        <f>IF(Balancete_Oficial[[#Headers],[Setembro]]='Balancete MLN_WebPosto'!$G$2,
SUMIFS('Balancete MLN_WebPosto'!$I:$I,'Balancete MLN_WebPosto'!$C:$C,$A161,'Balancete MLN_WebPosto'!$B:$B,$B$2),
  "0"
)</f>
        <v>0</v>
      </c>
      <c r="S161" s="4" t="str">
        <f>IF(Balancete_Oficial[[#Headers],[Outubro]]='Balancete MLN_WebPosto'!$G$2,
SUMIFS('Balancete MLN_WebPosto'!$I:$I,'Balancete MLN_WebPosto'!$C:$C,$A161,'Balancete MLN_WebPosto'!$B:$B,$B$2),
  "0"
)</f>
        <v>0</v>
      </c>
      <c r="T161" s="4" t="str">
        <f>IF(Balancete_Oficial[[#Headers],[Novembro]]='Balancete MLN_WebPosto'!$G$2,
SUMIFS('Balancete MLN_WebPosto'!$I:$I,'Balancete MLN_WebPosto'!$C:$C,$A161,'Balancete MLN_WebPosto'!$B:$B,$B$2),
  "0"
)</f>
        <v>0</v>
      </c>
      <c r="U161" s="4" t="str">
        <f>IF(Balancete_Oficial[[#Headers],[Dezembro]]='Balancete MLN_WebPosto'!$G$2,
SUMIFS('Balancete MLN_WebPosto'!$I:$I,'Balancete MLN_WebPosto'!$C:$C,$A161,'Balancete MLN_WebPosto'!$B:$B,$B$2),
  "0"
)</f>
        <v>0</v>
      </c>
    </row>
    <row r="162" spans="1:21" x14ac:dyDescent="0.25">
      <c r="A162" s="2" t="str">
        <f>IF(Dados!H159="","",Dados!H159)</f>
        <v/>
      </c>
      <c r="B162" s="2" t="e">
        <f>VLOOKUP(Balancete_Oficial[[#This Row],[Conta]],'Balancete MLN_WebPosto'!C:E,3,0)</f>
        <v>#N/A</v>
      </c>
      <c r="C162" s="3" t="str">
        <f t="shared" si="9"/>
        <v>Sintética</v>
      </c>
      <c r="D162" s="6" t="str">
        <f t="shared" si="10"/>
        <v>R</v>
      </c>
      <c r="E162" s="6" t="str">
        <f t="shared" si="11"/>
        <v/>
      </c>
      <c r="F162" s="6"/>
      <c r="G162" s="6"/>
      <c r="H162" s="6"/>
      <c r="I162" s="6"/>
      <c r="J162" s="4" t="str">
        <f>IF(Balancete_Oficial[[#Headers],[Janeiro]]='Balancete MLN_WebPosto'!$G$2,
SUMIFS('Balancete MLN_WebPosto'!$J:$J,'Balancete MLN_WebPosto'!$C:$C,$A162,'Balancete MLN_WebPosto'!$B:$B,$B$2),
  "0"
)</f>
        <v>0</v>
      </c>
      <c r="K162" s="4" t="str">
        <f>IF(Balancete_Oficial[[#Headers],[Fevereiro]]='Balancete MLN_WebPosto'!$G$2,
SUMIFS('Balancete MLN_WebPosto'!$J:$J,'Balancete MLN_WebPosto'!$C:$C,$A162,'Balancete MLN_WebPosto'!$B:$B,$B$2),
  "0"
)</f>
        <v>0</v>
      </c>
      <c r="L162" s="4" t="str">
        <f>IF(Balancete_Oficial[[#Headers],[Março]]='Balancete MLN_WebPosto'!$G$2,
SUMIFS('Balancete MLN_WebPosto'!$J:$J,'Balancete MLN_WebPosto'!$C:$C,$A162,'Balancete MLN_WebPosto'!$B:$B,$B$2),
  "0"
)</f>
        <v>0</v>
      </c>
      <c r="M162" s="4" t="str">
        <f>IF(Balancete_Oficial[[#Headers],[Abril]]='Balancete MLN_WebPosto'!$G$2,
SUMIFS('Balancete MLN_WebPosto'!$J:$J,'Balancete MLN_WebPosto'!$C:$C,$A162,'Balancete MLN_WebPosto'!$B:$B,$B$2),
  "0"
)</f>
        <v>0</v>
      </c>
      <c r="N162" s="4" t="str">
        <f>IF(Balancete_Oficial[[#Headers],[Maio]]='Balancete MLN_WebPosto'!$G$2,
SUMIFS('Balancete MLN_WebPosto'!$I:$I,'Balancete MLN_WebPosto'!$C:$C,$A162,'Balancete MLN_WebPosto'!$B:$B,$B$2),
  "0"
)</f>
        <v>0</v>
      </c>
      <c r="O162" s="4" t="str">
        <f>IF(Balancete_Oficial[[#Headers],[Junho]]='Balancete MLN_WebPosto'!$G$2,
SUMIFS('Balancete MLN_WebPosto'!$I:$I,'Balancete MLN_WebPosto'!$C:$C,$A162,'Balancete MLN_WebPosto'!$B:$B,$B$2),
  "0"
)</f>
        <v>0</v>
      </c>
      <c r="P162" s="4" t="str">
        <f>IF(Balancete_Oficial[[#Headers],[Julho]]='Balancete MLN_WebPosto'!$G$2,
SUMIFS('Balancete MLN_WebPosto'!$I:$I,'Balancete MLN_WebPosto'!$C:$C,$A162,'Balancete MLN_WebPosto'!$B:$B,$B$2),
  "0"
)</f>
        <v>0</v>
      </c>
      <c r="Q162" s="4" t="str">
        <f>IF(Balancete_Oficial[[#Headers],[Agosto]]='Balancete MLN_WebPosto'!$G$2,
SUMIFS('Balancete MLN_WebPosto'!$I:$I,'Balancete MLN_WebPosto'!$C:$C,$A162,'Balancete MLN_WebPosto'!$B:$B,$B$2),
  "0"
)</f>
        <v>0</v>
      </c>
      <c r="R162" s="4">
        <f>IF(Balancete_Oficial[[#Headers],[Setembro]]='Balancete MLN_WebPosto'!$G$2,
SUMIFS('Balancete MLN_WebPosto'!$I:$I,'Balancete MLN_WebPosto'!$C:$C,$A162,'Balancete MLN_WebPosto'!$B:$B,$B$2),
  "0"
)</f>
        <v>0</v>
      </c>
      <c r="S162" s="4" t="str">
        <f>IF(Balancete_Oficial[[#Headers],[Outubro]]='Balancete MLN_WebPosto'!$G$2,
SUMIFS('Balancete MLN_WebPosto'!$I:$I,'Balancete MLN_WebPosto'!$C:$C,$A162,'Balancete MLN_WebPosto'!$B:$B,$B$2),
  "0"
)</f>
        <v>0</v>
      </c>
      <c r="T162" s="4" t="str">
        <f>IF(Balancete_Oficial[[#Headers],[Novembro]]='Balancete MLN_WebPosto'!$G$2,
SUMIFS('Balancete MLN_WebPosto'!$I:$I,'Balancete MLN_WebPosto'!$C:$C,$A162,'Balancete MLN_WebPosto'!$B:$B,$B$2),
  "0"
)</f>
        <v>0</v>
      </c>
      <c r="U162" s="4" t="str">
        <f>IF(Balancete_Oficial[[#Headers],[Dezembro]]='Balancete MLN_WebPosto'!$G$2,
SUMIFS('Balancete MLN_WebPosto'!$I:$I,'Balancete MLN_WebPosto'!$C:$C,$A162,'Balancete MLN_WebPosto'!$B:$B,$B$2),
  "0"
)</f>
        <v>0</v>
      </c>
    </row>
    <row r="163" spans="1:21" x14ac:dyDescent="0.25">
      <c r="A163" s="2" t="str">
        <f>IF(Dados!H160="","",Dados!H160)</f>
        <v/>
      </c>
      <c r="B163" s="2" t="e">
        <f>VLOOKUP(Balancete_Oficial[[#This Row],[Conta]],'Balancete MLN_WebPosto'!C:E,3,0)</f>
        <v>#N/A</v>
      </c>
      <c r="C163" s="3" t="str">
        <f t="shared" si="9"/>
        <v>Sintética</v>
      </c>
      <c r="D163" s="6" t="str">
        <f t="shared" si="10"/>
        <v>R</v>
      </c>
      <c r="E163" s="6" t="str">
        <f t="shared" si="11"/>
        <v/>
      </c>
      <c r="F163" s="6"/>
      <c r="G163" s="6"/>
      <c r="H163" s="6"/>
      <c r="I163" s="6"/>
      <c r="J163" s="4" t="str">
        <f>IF(Balancete_Oficial[[#Headers],[Janeiro]]='Balancete MLN_WebPosto'!$G$2,
SUMIFS('Balancete MLN_WebPosto'!$J:$J,'Balancete MLN_WebPosto'!$C:$C,$A163,'Balancete MLN_WebPosto'!$B:$B,$B$2),
  "0"
)</f>
        <v>0</v>
      </c>
      <c r="K163" s="4" t="str">
        <f>IF(Balancete_Oficial[[#Headers],[Fevereiro]]='Balancete MLN_WebPosto'!$G$2,
SUMIFS('Balancete MLN_WebPosto'!$J:$J,'Balancete MLN_WebPosto'!$C:$C,$A163,'Balancete MLN_WebPosto'!$B:$B,$B$2),
  "0"
)</f>
        <v>0</v>
      </c>
      <c r="L163" s="4" t="str">
        <f>IF(Balancete_Oficial[[#Headers],[Março]]='Balancete MLN_WebPosto'!$G$2,
SUMIFS('Balancete MLN_WebPosto'!$J:$J,'Balancete MLN_WebPosto'!$C:$C,$A163,'Balancete MLN_WebPosto'!$B:$B,$B$2),
  "0"
)</f>
        <v>0</v>
      </c>
      <c r="M163" s="4" t="str">
        <f>IF(Balancete_Oficial[[#Headers],[Abril]]='Balancete MLN_WebPosto'!$G$2,
SUMIFS('Balancete MLN_WebPosto'!$J:$J,'Balancete MLN_WebPosto'!$C:$C,$A163,'Balancete MLN_WebPosto'!$B:$B,$B$2),
  "0"
)</f>
        <v>0</v>
      </c>
      <c r="N163" s="4" t="str">
        <f>IF(Balancete_Oficial[[#Headers],[Maio]]='Balancete MLN_WebPosto'!$G$2,
SUMIFS('Balancete MLN_WebPosto'!$I:$I,'Balancete MLN_WebPosto'!$C:$C,$A163,'Balancete MLN_WebPosto'!$B:$B,$B$2),
  "0"
)</f>
        <v>0</v>
      </c>
      <c r="O163" s="4" t="str">
        <f>IF(Balancete_Oficial[[#Headers],[Junho]]='Balancete MLN_WebPosto'!$G$2,
SUMIFS('Balancete MLN_WebPosto'!$I:$I,'Balancete MLN_WebPosto'!$C:$C,$A163,'Balancete MLN_WebPosto'!$B:$B,$B$2),
  "0"
)</f>
        <v>0</v>
      </c>
      <c r="P163" s="4" t="str">
        <f>IF(Balancete_Oficial[[#Headers],[Julho]]='Balancete MLN_WebPosto'!$G$2,
SUMIFS('Balancete MLN_WebPosto'!$I:$I,'Balancete MLN_WebPosto'!$C:$C,$A163,'Balancete MLN_WebPosto'!$B:$B,$B$2),
  "0"
)</f>
        <v>0</v>
      </c>
      <c r="Q163" s="4" t="str">
        <f>IF(Balancete_Oficial[[#Headers],[Agosto]]='Balancete MLN_WebPosto'!$G$2,
SUMIFS('Balancete MLN_WebPosto'!$I:$I,'Balancete MLN_WebPosto'!$C:$C,$A163,'Balancete MLN_WebPosto'!$B:$B,$B$2),
  "0"
)</f>
        <v>0</v>
      </c>
      <c r="R163" s="4">
        <f>IF(Balancete_Oficial[[#Headers],[Setembro]]='Balancete MLN_WebPosto'!$G$2,
SUMIFS('Balancete MLN_WebPosto'!$I:$I,'Balancete MLN_WebPosto'!$C:$C,$A163,'Balancete MLN_WebPosto'!$B:$B,$B$2),
  "0"
)</f>
        <v>0</v>
      </c>
      <c r="S163" s="4" t="str">
        <f>IF(Balancete_Oficial[[#Headers],[Outubro]]='Balancete MLN_WebPosto'!$G$2,
SUMIFS('Balancete MLN_WebPosto'!$I:$I,'Balancete MLN_WebPosto'!$C:$C,$A163,'Balancete MLN_WebPosto'!$B:$B,$B$2),
  "0"
)</f>
        <v>0</v>
      </c>
      <c r="T163" s="4" t="str">
        <f>IF(Balancete_Oficial[[#Headers],[Novembro]]='Balancete MLN_WebPosto'!$G$2,
SUMIFS('Balancete MLN_WebPosto'!$I:$I,'Balancete MLN_WebPosto'!$C:$C,$A163,'Balancete MLN_WebPosto'!$B:$B,$B$2),
  "0"
)</f>
        <v>0</v>
      </c>
      <c r="U163" s="4" t="str">
        <f>IF(Balancete_Oficial[[#Headers],[Dezembro]]='Balancete MLN_WebPosto'!$G$2,
SUMIFS('Balancete MLN_WebPosto'!$I:$I,'Balancete MLN_WebPosto'!$C:$C,$A163,'Balancete MLN_WebPosto'!$B:$B,$B$2),
  "0"
)</f>
        <v>0</v>
      </c>
    </row>
    <row r="164" spans="1:21" x14ac:dyDescent="0.25">
      <c r="A164" s="2" t="str">
        <f>IF(Dados!H161="","",Dados!H161)</f>
        <v/>
      </c>
      <c r="B164" s="2" t="e">
        <f>VLOOKUP(Balancete_Oficial[[#This Row],[Conta]],'Balancete MLN_WebPosto'!C:E,3,0)</f>
        <v>#N/A</v>
      </c>
      <c r="C164" s="3" t="str">
        <f t="shared" si="9"/>
        <v>Sintética</v>
      </c>
      <c r="D164" s="6" t="str">
        <f t="shared" si="10"/>
        <v>R</v>
      </c>
      <c r="E164" s="6" t="str">
        <f t="shared" si="11"/>
        <v/>
      </c>
      <c r="F164" s="6"/>
      <c r="G164" s="6"/>
      <c r="H164" s="6"/>
      <c r="I164" s="6"/>
      <c r="J164" s="4" t="str">
        <f>IF(Balancete_Oficial[[#Headers],[Janeiro]]='Balancete MLN_WebPosto'!$G$2,
SUMIFS('Balancete MLN_WebPosto'!$J:$J,'Balancete MLN_WebPosto'!$C:$C,$A164,'Balancete MLN_WebPosto'!$B:$B,$B$2),
  "0"
)</f>
        <v>0</v>
      </c>
      <c r="K164" s="4" t="str">
        <f>IF(Balancete_Oficial[[#Headers],[Fevereiro]]='Balancete MLN_WebPosto'!$G$2,
SUMIFS('Balancete MLN_WebPosto'!$J:$J,'Balancete MLN_WebPosto'!$C:$C,$A164,'Balancete MLN_WebPosto'!$B:$B,$B$2),
  "0"
)</f>
        <v>0</v>
      </c>
      <c r="L164" s="4" t="str">
        <f>IF(Balancete_Oficial[[#Headers],[Março]]='Balancete MLN_WebPosto'!$G$2,
SUMIFS('Balancete MLN_WebPosto'!$J:$J,'Balancete MLN_WebPosto'!$C:$C,$A164,'Balancete MLN_WebPosto'!$B:$B,$B$2),
  "0"
)</f>
        <v>0</v>
      </c>
      <c r="M164" s="4" t="str">
        <f>IF(Balancete_Oficial[[#Headers],[Abril]]='Balancete MLN_WebPosto'!$G$2,
SUMIFS('Balancete MLN_WebPosto'!$J:$J,'Balancete MLN_WebPosto'!$C:$C,$A164,'Balancete MLN_WebPosto'!$B:$B,$B$2),
  "0"
)</f>
        <v>0</v>
      </c>
      <c r="N164" s="4" t="str">
        <f>IF(Balancete_Oficial[[#Headers],[Maio]]='Balancete MLN_WebPosto'!$G$2,
SUMIFS('Balancete MLN_WebPosto'!$I:$I,'Balancete MLN_WebPosto'!$C:$C,$A164,'Balancete MLN_WebPosto'!$B:$B,$B$2),
  "0"
)</f>
        <v>0</v>
      </c>
      <c r="O164" s="4" t="str">
        <f>IF(Balancete_Oficial[[#Headers],[Junho]]='Balancete MLN_WebPosto'!$G$2,
SUMIFS('Balancete MLN_WebPosto'!$I:$I,'Balancete MLN_WebPosto'!$C:$C,$A164,'Balancete MLN_WebPosto'!$B:$B,$B$2),
  "0"
)</f>
        <v>0</v>
      </c>
      <c r="P164" s="4" t="str">
        <f>IF(Balancete_Oficial[[#Headers],[Julho]]='Balancete MLN_WebPosto'!$G$2,
SUMIFS('Balancete MLN_WebPosto'!$I:$I,'Balancete MLN_WebPosto'!$C:$C,$A164,'Balancete MLN_WebPosto'!$B:$B,$B$2),
  "0"
)</f>
        <v>0</v>
      </c>
      <c r="Q164" s="4" t="str">
        <f>IF(Balancete_Oficial[[#Headers],[Agosto]]='Balancete MLN_WebPosto'!$G$2,
SUMIFS('Balancete MLN_WebPosto'!$I:$I,'Balancete MLN_WebPosto'!$C:$C,$A164,'Balancete MLN_WebPosto'!$B:$B,$B$2),
  "0"
)</f>
        <v>0</v>
      </c>
      <c r="R164" s="4">
        <f>IF(Balancete_Oficial[[#Headers],[Setembro]]='Balancete MLN_WebPosto'!$G$2,
SUMIFS('Balancete MLN_WebPosto'!$I:$I,'Balancete MLN_WebPosto'!$C:$C,$A164,'Balancete MLN_WebPosto'!$B:$B,$B$2),
  "0"
)</f>
        <v>0</v>
      </c>
      <c r="S164" s="4" t="str">
        <f>IF(Balancete_Oficial[[#Headers],[Outubro]]='Balancete MLN_WebPosto'!$G$2,
SUMIFS('Balancete MLN_WebPosto'!$I:$I,'Balancete MLN_WebPosto'!$C:$C,$A164,'Balancete MLN_WebPosto'!$B:$B,$B$2),
  "0"
)</f>
        <v>0</v>
      </c>
      <c r="T164" s="4" t="str">
        <f>IF(Balancete_Oficial[[#Headers],[Novembro]]='Balancete MLN_WebPosto'!$G$2,
SUMIFS('Balancete MLN_WebPosto'!$I:$I,'Balancete MLN_WebPosto'!$C:$C,$A164,'Balancete MLN_WebPosto'!$B:$B,$B$2),
  "0"
)</f>
        <v>0</v>
      </c>
      <c r="U164" s="4" t="str">
        <f>IF(Balancete_Oficial[[#Headers],[Dezembro]]='Balancete MLN_WebPosto'!$G$2,
SUMIFS('Balancete MLN_WebPosto'!$I:$I,'Balancete MLN_WebPosto'!$C:$C,$A164,'Balancete MLN_WebPosto'!$B:$B,$B$2),
  "0"
)</f>
        <v>0</v>
      </c>
    </row>
    <row r="165" spans="1:21" x14ac:dyDescent="0.25">
      <c r="A165" s="2" t="str">
        <f>IF(Dados!H162="","",Dados!H162)</f>
        <v/>
      </c>
      <c r="B165" s="2" t="e">
        <f>VLOOKUP(Balancete_Oficial[[#This Row],[Conta]],'Balancete MLN_WebPosto'!C:E,3,0)</f>
        <v>#N/A</v>
      </c>
      <c r="C165" s="3" t="str">
        <f t="shared" si="9"/>
        <v>Sintética</v>
      </c>
      <c r="D165" s="6" t="str">
        <f t="shared" si="10"/>
        <v>R</v>
      </c>
      <c r="E165" s="6" t="str">
        <f t="shared" si="11"/>
        <v/>
      </c>
      <c r="F165" s="6"/>
      <c r="G165" s="6"/>
      <c r="H165" s="6"/>
      <c r="I165" s="6"/>
      <c r="J165" s="4" t="str">
        <f>IF(Balancete_Oficial[[#Headers],[Janeiro]]='Balancete MLN_WebPosto'!$G$2,
SUMIFS('Balancete MLN_WebPosto'!$J:$J,'Balancete MLN_WebPosto'!$C:$C,$A165,'Balancete MLN_WebPosto'!$B:$B,$B$2),
  "0"
)</f>
        <v>0</v>
      </c>
      <c r="K165" s="4" t="str">
        <f>IF(Balancete_Oficial[[#Headers],[Fevereiro]]='Balancete MLN_WebPosto'!$G$2,
SUMIFS('Balancete MLN_WebPosto'!$J:$J,'Balancete MLN_WebPosto'!$C:$C,$A165,'Balancete MLN_WebPosto'!$B:$B,$B$2),
  "0"
)</f>
        <v>0</v>
      </c>
      <c r="L165" s="4" t="str">
        <f>IF(Balancete_Oficial[[#Headers],[Março]]='Balancete MLN_WebPosto'!$G$2,
SUMIFS('Balancete MLN_WebPosto'!$J:$J,'Balancete MLN_WebPosto'!$C:$C,$A165,'Balancete MLN_WebPosto'!$B:$B,$B$2),
  "0"
)</f>
        <v>0</v>
      </c>
      <c r="M165" s="4" t="str">
        <f>IF(Balancete_Oficial[[#Headers],[Abril]]='Balancete MLN_WebPosto'!$G$2,
SUMIFS('Balancete MLN_WebPosto'!$J:$J,'Balancete MLN_WebPosto'!$C:$C,$A165,'Balancete MLN_WebPosto'!$B:$B,$B$2),
  "0"
)</f>
        <v>0</v>
      </c>
      <c r="N165" s="4" t="str">
        <f>IF(Balancete_Oficial[[#Headers],[Maio]]='Balancete MLN_WebPosto'!$G$2,
SUMIFS('Balancete MLN_WebPosto'!$I:$I,'Balancete MLN_WebPosto'!$C:$C,$A165,'Balancete MLN_WebPosto'!$B:$B,$B$2),
  "0"
)</f>
        <v>0</v>
      </c>
      <c r="O165" s="4" t="str">
        <f>IF(Balancete_Oficial[[#Headers],[Junho]]='Balancete MLN_WebPosto'!$G$2,
SUMIFS('Balancete MLN_WebPosto'!$I:$I,'Balancete MLN_WebPosto'!$C:$C,$A165,'Balancete MLN_WebPosto'!$B:$B,$B$2),
  "0"
)</f>
        <v>0</v>
      </c>
      <c r="P165" s="4" t="str">
        <f>IF(Balancete_Oficial[[#Headers],[Julho]]='Balancete MLN_WebPosto'!$G$2,
SUMIFS('Balancete MLN_WebPosto'!$I:$I,'Balancete MLN_WebPosto'!$C:$C,$A165,'Balancete MLN_WebPosto'!$B:$B,$B$2),
  "0"
)</f>
        <v>0</v>
      </c>
      <c r="Q165" s="4" t="str">
        <f>IF(Balancete_Oficial[[#Headers],[Agosto]]='Balancete MLN_WebPosto'!$G$2,
SUMIFS('Balancete MLN_WebPosto'!$I:$I,'Balancete MLN_WebPosto'!$C:$C,$A165,'Balancete MLN_WebPosto'!$B:$B,$B$2),
  "0"
)</f>
        <v>0</v>
      </c>
      <c r="R165" s="4">
        <f>IF(Balancete_Oficial[[#Headers],[Setembro]]='Balancete MLN_WebPosto'!$G$2,
SUMIFS('Balancete MLN_WebPosto'!$I:$I,'Balancete MLN_WebPosto'!$C:$C,$A165,'Balancete MLN_WebPosto'!$B:$B,$B$2),
  "0"
)</f>
        <v>0</v>
      </c>
      <c r="S165" s="4" t="str">
        <f>IF(Balancete_Oficial[[#Headers],[Outubro]]='Balancete MLN_WebPosto'!$G$2,
SUMIFS('Balancete MLN_WebPosto'!$I:$I,'Balancete MLN_WebPosto'!$C:$C,$A165,'Balancete MLN_WebPosto'!$B:$B,$B$2),
  "0"
)</f>
        <v>0</v>
      </c>
      <c r="T165" s="4" t="str">
        <f>IF(Balancete_Oficial[[#Headers],[Novembro]]='Balancete MLN_WebPosto'!$G$2,
SUMIFS('Balancete MLN_WebPosto'!$I:$I,'Balancete MLN_WebPosto'!$C:$C,$A165,'Balancete MLN_WebPosto'!$B:$B,$B$2),
  "0"
)</f>
        <v>0</v>
      </c>
      <c r="U165" s="4" t="str">
        <f>IF(Balancete_Oficial[[#Headers],[Dezembro]]='Balancete MLN_WebPosto'!$G$2,
SUMIFS('Balancete MLN_WebPosto'!$I:$I,'Balancete MLN_WebPosto'!$C:$C,$A165,'Balancete MLN_WebPosto'!$B:$B,$B$2),
  "0"
)</f>
        <v>0</v>
      </c>
    </row>
    <row r="166" spans="1:21" x14ac:dyDescent="0.25">
      <c r="A166" s="2" t="str">
        <f>IF(Dados!H163="","",Dados!H163)</f>
        <v/>
      </c>
      <c r="B166" s="2" t="e">
        <f>VLOOKUP(Balancete_Oficial[[#This Row],[Conta]],'Balancete MLN_WebPosto'!C:E,3,0)</f>
        <v>#N/A</v>
      </c>
      <c r="C166" s="3" t="str">
        <f t="shared" si="9"/>
        <v>Sintética</v>
      </c>
      <c r="D166" s="6" t="str">
        <f t="shared" si="10"/>
        <v>R</v>
      </c>
      <c r="E166" s="6" t="str">
        <f t="shared" si="11"/>
        <v/>
      </c>
      <c r="F166" s="6"/>
      <c r="G166" s="6"/>
      <c r="H166" s="6"/>
      <c r="I166" s="6"/>
      <c r="J166" s="4" t="str">
        <f>IF(Balancete_Oficial[[#Headers],[Janeiro]]='Balancete MLN_WebPosto'!$G$2,
SUMIFS('Balancete MLN_WebPosto'!$J:$J,'Balancete MLN_WebPosto'!$C:$C,$A166,'Balancete MLN_WebPosto'!$B:$B,$B$2),
  "0"
)</f>
        <v>0</v>
      </c>
      <c r="K166" s="4" t="str">
        <f>IF(Balancete_Oficial[[#Headers],[Fevereiro]]='Balancete MLN_WebPosto'!$G$2,
SUMIFS('Balancete MLN_WebPosto'!$J:$J,'Balancete MLN_WebPosto'!$C:$C,$A166,'Balancete MLN_WebPosto'!$B:$B,$B$2),
  "0"
)</f>
        <v>0</v>
      </c>
      <c r="L166" s="4" t="str">
        <f>IF(Balancete_Oficial[[#Headers],[Março]]='Balancete MLN_WebPosto'!$G$2,
SUMIFS('Balancete MLN_WebPosto'!$J:$J,'Balancete MLN_WebPosto'!$C:$C,$A166,'Balancete MLN_WebPosto'!$B:$B,$B$2),
  "0"
)</f>
        <v>0</v>
      </c>
      <c r="M166" s="4" t="str">
        <f>IF(Balancete_Oficial[[#Headers],[Abril]]='Balancete MLN_WebPosto'!$G$2,
SUMIFS('Balancete MLN_WebPosto'!$J:$J,'Balancete MLN_WebPosto'!$C:$C,$A166,'Balancete MLN_WebPosto'!$B:$B,$B$2),
  "0"
)</f>
        <v>0</v>
      </c>
      <c r="N166" s="4" t="str">
        <f>IF(Balancete_Oficial[[#Headers],[Maio]]='Balancete MLN_WebPosto'!$G$2,
SUMIFS('Balancete MLN_WebPosto'!$I:$I,'Balancete MLN_WebPosto'!$C:$C,$A166,'Balancete MLN_WebPosto'!$B:$B,$B$2),
  "0"
)</f>
        <v>0</v>
      </c>
      <c r="O166" s="4" t="str">
        <f>IF(Balancete_Oficial[[#Headers],[Junho]]='Balancete MLN_WebPosto'!$G$2,
SUMIFS('Balancete MLN_WebPosto'!$I:$I,'Balancete MLN_WebPosto'!$C:$C,$A166,'Balancete MLN_WebPosto'!$B:$B,$B$2),
  "0"
)</f>
        <v>0</v>
      </c>
      <c r="P166" s="4" t="str">
        <f>IF(Balancete_Oficial[[#Headers],[Julho]]='Balancete MLN_WebPosto'!$G$2,
SUMIFS('Balancete MLN_WebPosto'!$I:$I,'Balancete MLN_WebPosto'!$C:$C,$A166,'Balancete MLN_WebPosto'!$B:$B,$B$2),
  "0"
)</f>
        <v>0</v>
      </c>
      <c r="Q166" s="4" t="str">
        <f>IF(Balancete_Oficial[[#Headers],[Agosto]]='Balancete MLN_WebPosto'!$G$2,
SUMIFS('Balancete MLN_WebPosto'!$I:$I,'Balancete MLN_WebPosto'!$C:$C,$A166,'Balancete MLN_WebPosto'!$B:$B,$B$2),
  "0"
)</f>
        <v>0</v>
      </c>
      <c r="R166" s="4">
        <f>IF(Balancete_Oficial[[#Headers],[Setembro]]='Balancete MLN_WebPosto'!$G$2,
SUMIFS('Balancete MLN_WebPosto'!$I:$I,'Balancete MLN_WebPosto'!$C:$C,$A166,'Balancete MLN_WebPosto'!$B:$B,$B$2),
  "0"
)</f>
        <v>0</v>
      </c>
      <c r="S166" s="4" t="str">
        <f>IF(Balancete_Oficial[[#Headers],[Outubro]]='Balancete MLN_WebPosto'!$G$2,
SUMIFS('Balancete MLN_WebPosto'!$I:$I,'Balancete MLN_WebPosto'!$C:$C,$A166,'Balancete MLN_WebPosto'!$B:$B,$B$2),
  "0"
)</f>
        <v>0</v>
      </c>
      <c r="T166" s="4" t="str">
        <f>IF(Balancete_Oficial[[#Headers],[Novembro]]='Balancete MLN_WebPosto'!$G$2,
SUMIFS('Balancete MLN_WebPosto'!$I:$I,'Balancete MLN_WebPosto'!$C:$C,$A166,'Balancete MLN_WebPosto'!$B:$B,$B$2),
  "0"
)</f>
        <v>0</v>
      </c>
      <c r="U166" s="4" t="str">
        <f>IF(Balancete_Oficial[[#Headers],[Dezembro]]='Balancete MLN_WebPosto'!$G$2,
SUMIFS('Balancete MLN_WebPosto'!$I:$I,'Balancete MLN_WebPosto'!$C:$C,$A166,'Balancete MLN_WebPosto'!$B:$B,$B$2),
  "0"
)</f>
        <v>0</v>
      </c>
    </row>
    <row r="167" spans="1:21" x14ac:dyDescent="0.25">
      <c r="A167" s="2" t="str">
        <f>IF(Dados!H164="","",Dados!H164)</f>
        <v/>
      </c>
      <c r="B167" s="2" t="e">
        <f>VLOOKUP(Balancete_Oficial[[#This Row],[Conta]],'Balancete MLN_WebPosto'!C:E,3,0)</f>
        <v>#N/A</v>
      </c>
      <c r="C167" s="3" t="str">
        <f t="shared" si="9"/>
        <v>Sintética</v>
      </c>
      <c r="D167" s="6" t="str">
        <f t="shared" si="10"/>
        <v>R</v>
      </c>
      <c r="E167" s="6" t="str">
        <f t="shared" si="11"/>
        <v/>
      </c>
      <c r="F167" s="6"/>
      <c r="G167" s="6"/>
      <c r="H167" s="6"/>
      <c r="I167" s="6"/>
      <c r="J167" s="4" t="str">
        <f>IF(Balancete_Oficial[[#Headers],[Janeiro]]='Balancete MLN_WebPosto'!$G$2,
SUMIFS('Balancete MLN_WebPosto'!$J:$J,'Balancete MLN_WebPosto'!$C:$C,$A167,'Balancete MLN_WebPosto'!$B:$B,$B$2),
  "0"
)</f>
        <v>0</v>
      </c>
      <c r="K167" s="4" t="str">
        <f>IF(Balancete_Oficial[[#Headers],[Fevereiro]]='Balancete MLN_WebPosto'!$G$2,
SUMIFS('Balancete MLN_WebPosto'!$J:$J,'Balancete MLN_WebPosto'!$C:$C,$A167,'Balancete MLN_WebPosto'!$B:$B,$B$2),
  "0"
)</f>
        <v>0</v>
      </c>
      <c r="L167" s="4" t="str">
        <f>IF(Balancete_Oficial[[#Headers],[Março]]='Balancete MLN_WebPosto'!$G$2,
SUMIFS('Balancete MLN_WebPosto'!$J:$J,'Balancete MLN_WebPosto'!$C:$C,$A167,'Balancete MLN_WebPosto'!$B:$B,$B$2),
  "0"
)</f>
        <v>0</v>
      </c>
      <c r="M167" s="4" t="str">
        <f>IF(Balancete_Oficial[[#Headers],[Abril]]='Balancete MLN_WebPosto'!$G$2,
SUMIFS('Balancete MLN_WebPosto'!$J:$J,'Balancete MLN_WebPosto'!$C:$C,$A167,'Balancete MLN_WebPosto'!$B:$B,$B$2),
  "0"
)</f>
        <v>0</v>
      </c>
      <c r="N167" s="4" t="str">
        <f>IF(Balancete_Oficial[[#Headers],[Maio]]='Balancete MLN_WebPosto'!$G$2,
SUMIFS('Balancete MLN_WebPosto'!$I:$I,'Balancete MLN_WebPosto'!$C:$C,$A167,'Balancete MLN_WebPosto'!$B:$B,$B$2),
  "0"
)</f>
        <v>0</v>
      </c>
      <c r="O167" s="4" t="str">
        <f>IF(Balancete_Oficial[[#Headers],[Junho]]='Balancete MLN_WebPosto'!$G$2,
SUMIFS('Balancete MLN_WebPosto'!$I:$I,'Balancete MLN_WebPosto'!$C:$C,$A167,'Balancete MLN_WebPosto'!$B:$B,$B$2),
  "0"
)</f>
        <v>0</v>
      </c>
      <c r="P167" s="4" t="str">
        <f>IF(Balancete_Oficial[[#Headers],[Julho]]='Balancete MLN_WebPosto'!$G$2,
SUMIFS('Balancete MLN_WebPosto'!$I:$I,'Balancete MLN_WebPosto'!$C:$C,$A167,'Balancete MLN_WebPosto'!$B:$B,$B$2),
  "0"
)</f>
        <v>0</v>
      </c>
      <c r="Q167" s="4" t="str">
        <f>IF(Balancete_Oficial[[#Headers],[Agosto]]='Balancete MLN_WebPosto'!$G$2,
SUMIFS('Balancete MLN_WebPosto'!$I:$I,'Balancete MLN_WebPosto'!$C:$C,$A167,'Balancete MLN_WebPosto'!$B:$B,$B$2),
  "0"
)</f>
        <v>0</v>
      </c>
      <c r="R167" s="4">
        <f>IF(Balancete_Oficial[[#Headers],[Setembro]]='Balancete MLN_WebPosto'!$G$2,
SUMIFS('Balancete MLN_WebPosto'!$I:$I,'Balancete MLN_WebPosto'!$C:$C,$A167,'Balancete MLN_WebPosto'!$B:$B,$B$2),
  "0"
)</f>
        <v>0</v>
      </c>
      <c r="S167" s="4" t="str">
        <f>IF(Balancete_Oficial[[#Headers],[Outubro]]='Balancete MLN_WebPosto'!$G$2,
SUMIFS('Balancete MLN_WebPosto'!$I:$I,'Balancete MLN_WebPosto'!$C:$C,$A167,'Balancete MLN_WebPosto'!$B:$B,$B$2),
  "0"
)</f>
        <v>0</v>
      </c>
      <c r="T167" s="4" t="str">
        <f>IF(Balancete_Oficial[[#Headers],[Novembro]]='Balancete MLN_WebPosto'!$G$2,
SUMIFS('Balancete MLN_WebPosto'!$I:$I,'Balancete MLN_WebPosto'!$C:$C,$A167,'Balancete MLN_WebPosto'!$B:$B,$B$2),
  "0"
)</f>
        <v>0</v>
      </c>
      <c r="U167" s="4" t="str">
        <f>IF(Balancete_Oficial[[#Headers],[Dezembro]]='Balancete MLN_WebPosto'!$G$2,
SUMIFS('Balancete MLN_WebPosto'!$I:$I,'Balancete MLN_WebPosto'!$C:$C,$A167,'Balancete MLN_WebPosto'!$B:$B,$B$2),
  "0"
)</f>
        <v>0</v>
      </c>
    </row>
    <row r="168" spans="1:21" x14ac:dyDescent="0.25">
      <c r="A168" s="2" t="str">
        <f>IF(Dados!H165="","",Dados!H165)</f>
        <v/>
      </c>
      <c r="B168" s="2" t="e">
        <f>VLOOKUP(Balancete_Oficial[[#This Row],[Conta]],'Balancete MLN_WebPosto'!C:E,3,0)</f>
        <v>#N/A</v>
      </c>
      <c r="C168" s="3" t="str">
        <f t="shared" si="9"/>
        <v>Sintética</v>
      </c>
      <c r="D168" s="6" t="str">
        <f t="shared" si="10"/>
        <v>R</v>
      </c>
      <c r="E168" s="6" t="str">
        <f t="shared" si="11"/>
        <v/>
      </c>
      <c r="F168" s="6"/>
      <c r="G168" s="6"/>
      <c r="H168" s="6"/>
      <c r="I168" s="6"/>
      <c r="J168" s="4" t="str">
        <f>IF(Balancete_Oficial[[#Headers],[Janeiro]]='Balancete MLN_WebPosto'!$G$2,
SUMIFS('Balancete MLN_WebPosto'!$J:$J,'Balancete MLN_WebPosto'!$C:$C,$A168,'Balancete MLN_WebPosto'!$B:$B,$B$2),
  "0"
)</f>
        <v>0</v>
      </c>
      <c r="K168" s="4" t="str">
        <f>IF(Balancete_Oficial[[#Headers],[Fevereiro]]='Balancete MLN_WebPosto'!$G$2,
SUMIFS('Balancete MLN_WebPosto'!$J:$J,'Balancete MLN_WebPosto'!$C:$C,$A168,'Balancete MLN_WebPosto'!$B:$B,$B$2),
  "0"
)</f>
        <v>0</v>
      </c>
      <c r="L168" s="4" t="str">
        <f>IF(Balancete_Oficial[[#Headers],[Março]]='Balancete MLN_WebPosto'!$G$2,
SUMIFS('Balancete MLN_WebPosto'!$J:$J,'Balancete MLN_WebPosto'!$C:$C,$A168,'Balancete MLN_WebPosto'!$B:$B,$B$2),
  "0"
)</f>
        <v>0</v>
      </c>
      <c r="M168" s="4" t="str">
        <f>IF(Balancete_Oficial[[#Headers],[Abril]]='Balancete MLN_WebPosto'!$G$2,
SUMIFS('Balancete MLN_WebPosto'!$J:$J,'Balancete MLN_WebPosto'!$C:$C,$A168,'Balancete MLN_WebPosto'!$B:$B,$B$2),
  "0"
)</f>
        <v>0</v>
      </c>
      <c r="N168" s="4" t="str">
        <f>IF(Balancete_Oficial[[#Headers],[Maio]]='Balancete MLN_WebPosto'!$G$2,
SUMIFS('Balancete MLN_WebPosto'!$I:$I,'Balancete MLN_WebPosto'!$C:$C,$A168,'Balancete MLN_WebPosto'!$B:$B,$B$2),
  "0"
)</f>
        <v>0</v>
      </c>
      <c r="O168" s="4" t="str">
        <f>IF(Balancete_Oficial[[#Headers],[Junho]]='Balancete MLN_WebPosto'!$G$2,
SUMIFS('Balancete MLN_WebPosto'!$I:$I,'Balancete MLN_WebPosto'!$C:$C,$A168,'Balancete MLN_WebPosto'!$B:$B,$B$2),
  "0"
)</f>
        <v>0</v>
      </c>
      <c r="P168" s="4" t="str">
        <f>IF(Balancete_Oficial[[#Headers],[Julho]]='Balancete MLN_WebPosto'!$G$2,
SUMIFS('Balancete MLN_WebPosto'!$I:$I,'Balancete MLN_WebPosto'!$C:$C,$A168,'Balancete MLN_WebPosto'!$B:$B,$B$2),
  "0"
)</f>
        <v>0</v>
      </c>
      <c r="Q168" s="4" t="str">
        <f>IF(Balancete_Oficial[[#Headers],[Agosto]]='Balancete MLN_WebPosto'!$G$2,
SUMIFS('Balancete MLN_WebPosto'!$I:$I,'Balancete MLN_WebPosto'!$C:$C,$A168,'Balancete MLN_WebPosto'!$B:$B,$B$2),
  "0"
)</f>
        <v>0</v>
      </c>
      <c r="R168" s="4">
        <f>IF(Balancete_Oficial[[#Headers],[Setembro]]='Balancete MLN_WebPosto'!$G$2,
SUMIFS('Balancete MLN_WebPosto'!$I:$I,'Balancete MLN_WebPosto'!$C:$C,$A168,'Balancete MLN_WebPosto'!$B:$B,$B$2),
  "0"
)</f>
        <v>0</v>
      </c>
      <c r="S168" s="4" t="str">
        <f>IF(Balancete_Oficial[[#Headers],[Outubro]]='Balancete MLN_WebPosto'!$G$2,
SUMIFS('Balancete MLN_WebPosto'!$I:$I,'Balancete MLN_WebPosto'!$C:$C,$A168,'Balancete MLN_WebPosto'!$B:$B,$B$2),
  "0"
)</f>
        <v>0</v>
      </c>
      <c r="T168" s="4" t="str">
        <f>IF(Balancete_Oficial[[#Headers],[Novembro]]='Balancete MLN_WebPosto'!$G$2,
SUMIFS('Balancete MLN_WebPosto'!$I:$I,'Balancete MLN_WebPosto'!$C:$C,$A168,'Balancete MLN_WebPosto'!$B:$B,$B$2),
  "0"
)</f>
        <v>0</v>
      </c>
      <c r="U168" s="4" t="str">
        <f>IF(Balancete_Oficial[[#Headers],[Dezembro]]='Balancete MLN_WebPosto'!$G$2,
SUMIFS('Balancete MLN_WebPosto'!$I:$I,'Balancete MLN_WebPosto'!$C:$C,$A168,'Balancete MLN_WebPosto'!$B:$B,$B$2),
  "0"
)</f>
        <v>0</v>
      </c>
    </row>
    <row r="169" spans="1:21" x14ac:dyDescent="0.25">
      <c r="A169" s="2" t="str">
        <f>IF(Dados!H166="","",Dados!H166)</f>
        <v/>
      </c>
      <c r="B169" s="2" t="e">
        <f>VLOOKUP(Balancete_Oficial[[#This Row],[Conta]],'Balancete MLN_WebPosto'!C:E,3,0)</f>
        <v>#N/A</v>
      </c>
      <c r="C169" s="3" t="str">
        <f t="shared" si="9"/>
        <v>Sintética</v>
      </c>
      <c r="D169" s="6" t="str">
        <f t="shared" si="10"/>
        <v>R</v>
      </c>
      <c r="E169" s="6" t="str">
        <f t="shared" si="11"/>
        <v/>
      </c>
      <c r="F169" s="6"/>
      <c r="G169" s="6"/>
      <c r="H169" s="6"/>
      <c r="I169" s="6"/>
      <c r="J169" s="4" t="str">
        <f>IF(Balancete_Oficial[[#Headers],[Janeiro]]='Balancete MLN_WebPosto'!$G$2,
SUMIFS('Balancete MLN_WebPosto'!$J:$J,'Balancete MLN_WebPosto'!$C:$C,$A169,'Balancete MLN_WebPosto'!$B:$B,$B$2),
  "0"
)</f>
        <v>0</v>
      </c>
      <c r="K169" s="4" t="str">
        <f>IF(Balancete_Oficial[[#Headers],[Fevereiro]]='Balancete MLN_WebPosto'!$G$2,
SUMIFS('Balancete MLN_WebPosto'!$J:$J,'Balancete MLN_WebPosto'!$C:$C,$A169,'Balancete MLN_WebPosto'!$B:$B,$B$2),
  "0"
)</f>
        <v>0</v>
      </c>
      <c r="L169" s="4" t="str">
        <f>IF(Balancete_Oficial[[#Headers],[Março]]='Balancete MLN_WebPosto'!$G$2,
SUMIFS('Balancete MLN_WebPosto'!$J:$J,'Balancete MLN_WebPosto'!$C:$C,$A169,'Balancete MLN_WebPosto'!$B:$B,$B$2),
  "0"
)</f>
        <v>0</v>
      </c>
      <c r="M169" s="4" t="str">
        <f>IF(Balancete_Oficial[[#Headers],[Abril]]='Balancete MLN_WebPosto'!$G$2,
SUMIFS('Balancete MLN_WebPosto'!$J:$J,'Balancete MLN_WebPosto'!$C:$C,$A169,'Balancete MLN_WebPosto'!$B:$B,$B$2),
  "0"
)</f>
        <v>0</v>
      </c>
      <c r="N169" s="4" t="str">
        <f>IF(Balancete_Oficial[[#Headers],[Maio]]='Balancete MLN_WebPosto'!$G$2,
SUMIFS('Balancete MLN_WebPosto'!$I:$I,'Balancete MLN_WebPosto'!$C:$C,$A169,'Balancete MLN_WebPosto'!$B:$B,$B$2),
  "0"
)</f>
        <v>0</v>
      </c>
      <c r="O169" s="4" t="str">
        <f>IF(Balancete_Oficial[[#Headers],[Junho]]='Balancete MLN_WebPosto'!$G$2,
SUMIFS('Balancete MLN_WebPosto'!$I:$I,'Balancete MLN_WebPosto'!$C:$C,$A169,'Balancete MLN_WebPosto'!$B:$B,$B$2),
  "0"
)</f>
        <v>0</v>
      </c>
      <c r="P169" s="4" t="str">
        <f>IF(Balancete_Oficial[[#Headers],[Julho]]='Balancete MLN_WebPosto'!$G$2,
SUMIFS('Balancete MLN_WebPosto'!$I:$I,'Balancete MLN_WebPosto'!$C:$C,$A169,'Balancete MLN_WebPosto'!$B:$B,$B$2),
  "0"
)</f>
        <v>0</v>
      </c>
      <c r="Q169" s="4" t="str">
        <f>IF(Balancete_Oficial[[#Headers],[Agosto]]='Balancete MLN_WebPosto'!$G$2,
SUMIFS('Balancete MLN_WebPosto'!$I:$I,'Balancete MLN_WebPosto'!$C:$C,$A169,'Balancete MLN_WebPosto'!$B:$B,$B$2),
  "0"
)</f>
        <v>0</v>
      </c>
      <c r="R169" s="4">
        <f>IF(Balancete_Oficial[[#Headers],[Setembro]]='Balancete MLN_WebPosto'!$G$2,
SUMIFS('Balancete MLN_WebPosto'!$I:$I,'Balancete MLN_WebPosto'!$C:$C,$A169,'Balancete MLN_WebPosto'!$B:$B,$B$2),
  "0"
)</f>
        <v>0</v>
      </c>
      <c r="S169" s="4" t="str">
        <f>IF(Balancete_Oficial[[#Headers],[Outubro]]='Balancete MLN_WebPosto'!$G$2,
SUMIFS('Balancete MLN_WebPosto'!$I:$I,'Balancete MLN_WebPosto'!$C:$C,$A169,'Balancete MLN_WebPosto'!$B:$B,$B$2),
  "0"
)</f>
        <v>0</v>
      </c>
      <c r="T169" s="4" t="str">
        <f>IF(Balancete_Oficial[[#Headers],[Novembro]]='Balancete MLN_WebPosto'!$G$2,
SUMIFS('Balancete MLN_WebPosto'!$I:$I,'Balancete MLN_WebPosto'!$C:$C,$A169,'Balancete MLN_WebPosto'!$B:$B,$B$2),
  "0"
)</f>
        <v>0</v>
      </c>
      <c r="U169" s="4" t="str">
        <f>IF(Balancete_Oficial[[#Headers],[Dezembro]]='Balancete MLN_WebPosto'!$G$2,
SUMIFS('Balancete MLN_WebPosto'!$I:$I,'Balancete MLN_WebPosto'!$C:$C,$A169,'Balancete MLN_WebPosto'!$B:$B,$B$2),
  "0"
)</f>
        <v>0</v>
      </c>
    </row>
    <row r="170" spans="1:21" x14ac:dyDescent="0.25">
      <c r="A170" s="2" t="str">
        <f>IF(Dados!H167="","",Dados!H167)</f>
        <v/>
      </c>
      <c r="B170" s="2" t="e">
        <f>VLOOKUP(Balancete_Oficial[[#This Row],[Conta]],'Balancete MLN_WebPosto'!C:E,3,0)</f>
        <v>#N/A</v>
      </c>
      <c r="C170" s="3" t="str">
        <f t="shared" si="9"/>
        <v>Sintética</v>
      </c>
      <c r="D170" s="6" t="str">
        <f t="shared" si="10"/>
        <v>R</v>
      </c>
      <c r="E170" s="6" t="str">
        <f t="shared" si="11"/>
        <v/>
      </c>
      <c r="F170" s="6"/>
      <c r="G170" s="6"/>
      <c r="H170" s="6"/>
      <c r="I170" s="6"/>
      <c r="J170" s="4" t="str">
        <f>IF(Balancete_Oficial[[#Headers],[Janeiro]]='Balancete MLN_WebPosto'!$G$2,
SUMIFS('Balancete MLN_WebPosto'!$J:$J,'Balancete MLN_WebPosto'!$C:$C,$A170,'Balancete MLN_WebPosto'!$B:$B,$B$2),
  "0"
)</f>
        <v>0</v>
      </c>
      <c r="K170" s="4" t="str">
        <f>IF(Balancete_Oficial[[#Headers],[Fevereiro]]='Balancete MLN_WebPosto'!$G$2,
SUMIFS('Balancete MLN_WebPosto'!$J:$J,'Balancete MLN_WebPosto'!$C:$C,$A170,'Balancete MLN_WebPosto'!$B:$B,$B$2),
  "0"
)</f>
        <v>0</v>
      </c>
      <c r="L170" s="4" t="str">
        <f>IF(Balancete_Oficial[[#Headers],[Março]]='Balancete MLN_WebPosto'!$G$2,
SUMIFS('Balancete MLN_WebPosto'!$J:$J,'Balancete MLN_WebPosto'!$C:$C,$A170,'Balancete MLN_WebPosto'!$B:$B,$B$2),
  "0"
)</f>
        <v>0</v>
      </c>
      <c r="M170" s="4" t="str">
        <f>IF(Balancete_Oficial[[#Headers],[Abril]]='Balancete MLN_WebPosto'!$G$2,
SUMIFS('Balancete MLN_WebPosto'!$J:$J,'Balancete MLN_WebPosto'!$C:$C,$A170,'Balancete MLN_WebPosto'!$B:$B,$B$2),
  "0"
)</f>
        <v>0</v>
      </c>
      <c r="N170" s="4" t="str">
        <f>IF(Balancete_Oficial[[#Headers],[Maio]]='Balancete MLN_WebPosto'!$G$2,
SUMIFS('Balancete MLN_WebPosto'!$I:$I,'Balancete MLN_WebPosto'!$C:$C,$A170,'Balancete MLN_WebPosto'!$B:$B,$B$2),
  "0"
)</f>
        <v>0</v>
      </c>
      <c r="O170" s="4" t="str">
        <f>IF(Balancete_Oficial[[#Headers],[Junho]]='Balancete MLN_WebPosto'!$G$2,
SUMIFS('Balancete MLN_WebPosto'!$I:$I,'Balancete MLN_WebPosto'!$C:$C,$A170,'Balancete MLN_WebPosto'!$B:$B,$B$2),
  "0"
)</f>
        <v>0</v>
      </c>
      <c r="P170" s="4" t="str">
        <f>IF(Balancete_Oficial[[#Headers],[Julho]]='Balancete MLN_WebPosto'!$G$2,
SUMIFS('Balancete MLN_WebPosto'!$I:$I,'Balancete MLN_WebPosto'!$C:$C,$A170,'Balancete MLN_WebPosto'!$B:$B,$B$2),
  "0"
)</f>
        <v>0</v>
      </c>
      <c r="Q170" s="4" t="str">
        <f>IF(Balancete_Oficial[[#Headers],[Agosto]]='Balancete MLN_WebPosto'!$G$2,
SUMIFS('Balancete MLN_WebPosto'!$I:$I,'Balancete MLN_WebPosto'!$C:$C,$A170,'Balancete MLN_WebPosto'!$B:$B,$B$2),
  "0"
)</f>
        <v>0</v>
      </c>
      <c r="R170" s="4">
        <f>IF(Balancete_Oficial[[#Headers],[Setembro]]='Balancete MLN_WebPosto'!$G$2,
SUMIFS('Balancete MLN_WebPosto'!$I:$I,'Balancete MLN_WebPosto'!$C:$C,$A170,'Balancete MLN_WebPosto'!$B:$B,$B$2),
  "0"
)</f>
        <v>0</v>
      </c>
      <c r="S170" s="4" t="str">
        <f>IF(Balancete_Oficial[[#Headers],[Outubro]]='Balancete MLN_WebPosto'!$G$2,
SUMIFS('Balancete MLN_WebPosto'!$I:$I,'Balancete MLN_WebPosto'!$C:$C,$A170,'Balancete MLN_WebPosto'!$B:$B,$B$2),
  "0"
)</f>
        <v>0</v>
      </c>
      <c r="T170" s="4" t="str">
        <f>IF(Balancete_Oficial[[#Headers],[Novembro]]='Balancete MLN_WebPosto'!$G$2,
SUMIFS('Balancete MLN_WebPosto'!$I:$I,'Balancete MLN_WebPosto'!$C:$C,$A170,'Balancete MLN_WebPosto'!$B:$B,$B$2),
  "0"
)</f>
        <v>0</v>
      </c>
      <c r="U170" s="4" t="str">
        <f>IF(Balancete_Oficial[[#Headers],[Dezembro]]='Balancete MLN_WebPosto'!$G$2,
SUMIFS('Balancete MLN_WebPosto'!$I:$I,'Balancete MLN_WebPosto'!$C:$C,$A170,'Balancete MLN_WebPosto'!$B:$B,$B$2),
  "0"
)</f>
        <v>0</v>
      </c>
    </row>
    <row r="171" spans="1:21" x14ac:dyDescent="0.25">
      <c r="A171" s="2" t="str">
        <f>IF(Dados!H168="","",Dados!H168)</f>
        <v/>
      </c>
      <c r="B171" s="2" t="e">
        <f>VLOOKUP(Balancete_Oficial[[#This Row],[Conta]],'Balancete MLN_WebPosto'!C:E,3,0)</f>
        <v>#N/A</v>
      </c>
      <c r="C171" s="3" t="str">
        <f t="shared" si="9"/>
        <v>Sintética</v>
      </c>
      <c r="D171" s="6" t="str">
        <f t="shared" si="10"/>
        <v>R</v>
      </c>
      <c r="E171" s="6" t="str">
        <f t="shared" si="11"/>
        <v/>
      </c>
      <c r="F171" s="6"/>
      <c r="G171" s="6"/>
      <c r="H171" s="6"/>
      <c r="I171" s="6"/>
      <c r="J171" s="4" t="str">
        <f>IF(Balancete_Oficial[[#Headers],[Janeiro]]='Balancete MLN_WebPosto'!$G$2,
SUMIFS('Balancete MLN_WebPosto'!$J:$J,'Balancete MLN_WebPosto'!$C:$C,$A171,'Balancete MLN_WebPosto'!$B:$B,$B$2),
  "0"
)</f>
        <v>0</v>
      </c>
      <c r="K171" s="4" t="str">
        <f>IF(Balancete_Oficial[[#Headers],[Fevereiro]]='Balancete MLN_WebPosto'!$G$2,
SUMIFS('Balancete MLN_WebPosto'!$J:$J,'Balancete MLN_WebPosto'!$C:$C,$A171,'Balancete MLN_WebPosto'!$B:$B,$B$2),
  "0"
)</f>
        <v>0</v>
      </c>
      <c r="L171" s="4" t="str">
        <f>IF(Balancete_Oficial[[#Headers],[Março]]='Balancete MLN_WebPosto'!$G$2,
SUMIFS('Balancete MLN_WebPosto'!$J:$J,'Balancete MLN_WebPosto'!$C:$C,$A171,'Balancete MLN_WebPosto'!$B:$B,$B$2),
  "0"
)</f>
        <v>0</v>
      </c>
      <c r="M171" s="4" t="str">
        <f>IF(Balancete_Oficial[[#Headers],[Abril]]='Balancete MLN_WebPosto'!$G$2,
SUMIFS('Balancete MLN_WebPosto'!$J:$J,'Balancete MLN_WebPosto'!$C:$C,$A171,'Balancete MLN_WebPosto'!$B:$B,$B$2),
  "0"
)</f>
        <v>0</v>
      </c>
      <c r="N171" s="4" t="str">
        <f>IF(Balancete_Oficial[[#Headers],[Maio]]='Balancete MLN_WebPosto'!$G$2,
SUMIFS('Balancete MLN_WebPosto'!$I:$I,'Balancete MLN_WebPosto'!$C:$C,$A171,'Balancete MLN_WebPosto'!$B:$B,$B$2),
  "0"
)</f>
        <v>0</v>
      </c>
      <c r="O171" s="4" t="str">
        <f>IF(Balancete_Oficial[[#Headers],[Junho]]='Balancete MLN_WebPosto'!$G$2,
SUMIFS('Balancete MLN_WebPosto'!$I:$I,'Balancete MLN_WebPosto'!$C:$C,$A171,'Balancete MLN_WebPosto'!$B:$B,$B$2),
  "0"
)</f>
        <v>0</v>
      </c>
      <c r="P171" s="4" t="str">
        <f>IF(Balancete_Oficial[[#Headers],[Julho]]='Balancete MLN_WebPosto'!$G$2,
SUMIFS('Balancete MLN_WebPosto'!$I:$I,'Balancete MLN_WebPosto'!$C:$C,$A171,'Balancete MLN_WebPosto'!$B:$B,$B$2),
  "0"
)</f>
        <v>0</v>
      </c>
      <c r="Q171" s="4" t="str">
        <f>IF(Balancete_Oficial[[#Headers],[Agosto]]='Balancete MLN_WebPosto'!$G$2,
SUMIFS('Balancete MLN_WebPosto'!$I:$I,'Balancete MLN_WebPosto'!$C:$C,$A171,'Balancete MLN_WebPosto'!$B:$B,$B$2),
  "0"
)</f>
        <v>0</v>
      </c>
      <c r="R171" s="4">
        <f>IF(Balancete_Oficial[[#Headers],[Setembro]]='Balancete MLN_WebPosto'!$G$2,
SUMIFS('Balancete MLN_WebPosto'!$I:$I,'Balancete MLN_WebPosto'!$C:$C,$A171,'Balancete MLN_WebPosto'!$B:$B,$B$2),
  "0"
)</f>
        <v>0</v>
      </c>
      <c r="S171" s="4" t="str">
        <f>IF(Balancete_Oficial[[#Headers],[Outubro]]='Balancete MLN_WebPosto'!$G$2,
SUMIFS('Balancete MLN_WebPosto'!$I:$I,'Balancete MLN_WebPosto'!$C:$C,$A171,'Balancete MLN_WebPosto'!$B:$B,$B$2),
  "0"
)</f>
        <v>0</v>
      </c>
      <c r="T171" s="4" t="str">
        <f>IF(Balancete_Oficial[[#Headers],[Novembro]]='Balancete MLN_WebPosto'!$G$2,
SUMIFS('Balancete MLN_WebPosto'!$I:$I,'Balancete MLN_WebPosto'!$C:$C,$A171,'Balancete MLN_WebPosto'!$B:$B,$B$2),
  "0"
)</f>
        <v>0</v>
      </c>
      <c r="U171" s="4" t="str">
        <f>IF(Balancete_Oficial[[#Headers],[Dezembro]]='Balancete MLN_WebPosto'!$G$2,
SUMIFS('Balancete MLN_WebPosto'!$I:$I,'Balancete MLN_WebPosto'!$C:$C,$A171,'Balancete MLN_WebPosto'!$B:$B,$B$2),
  "0"
)</f>
        <v>0</v>
      </c>
    </row>
    <row r="172" spans="1:21" x14ac:dyDescent="0.25">
      <c r="A172" s="2" t="str">
        <f>IF(Dados!H169="","",Dados!H169)</f>
        <v/>
      </c>
      <c r="B172" s="2" t="e">
        <f>VLOOKUP(Balancete_Oficial[[#This Row],[Conta]],'Balancete MLN_WebPosto'!C:E,3,0)</f>
        <v>#N/A</v>
      </c>
      <c r="C172" s="3" t="str">
        <f t="shared" si="9"/>
        <v>Sintética</v>
      </c>
      <c r="D172" s="6" t="str">
        <f t="shared" si="10"/>
        <v>R</v>
      </c>
      <c r="E172" s="6" t="str">
        <f t="shared" si="11"/>
        <v/>
      </c>
      <c r="F172" s="6"/>
      <c r="G172" s="6"/>
      <c r="H172" s="6"/>
      <c r="I172" s="6"/>
      <c r="J172" s="4" t="str">
        <f>IF(Balancete_Oficial[[#Headers],[Janeiro]]='Balancete MLN_WebPosto'!$G$2,
SUMIFS('Balancete MLN_WebPosto'!$J:$J,'Balancete MLN_WebPosto'!$C:$C,$A172,'Balancete MLN_WebPosto'!$B:$B,$B$2),
  "0"
)</f>
        <v>0</v>
      </c>
      <c r="K172" s="4" t="str">
        <f>IF(Balancete_Oficial[[#Headers],[Fevereiro]]='Balancete MLN_WebPosto'!$G$2,
SUMIFS('Balancete MLN_WebPosto'!$J:$J,'Balancete MLN_WebPosto'!$C:$C,$A172,'Balancete MLN_WebPosto'!$B:$B,$B$2),
  "0"
)</f>
        <v>0</v>
      </c>
      <c r="L172" s="4" t="str">
        <f>IF(Balancete_Oficial[[#Headers],[Março]]='Balancete MLN_WebPosto'!$G$2,
SUMIFS('Balancete MLN_WebPosto'!$J:$J,'Balancete MLN_WebPosto'!$C:$C,$A172,'Balancete MLN_WebPosto'!$B:$B,$B$2),
  "0"
)</f>
        <v>0</v>
      </c>
      <c r="M172" s="4" t="str">
        <f>IF(Balancete_Oficial[[#Headers],[Abril]]='Balancete MLN_WebPosto'!$G$2,
SUMIFS('Balancete MLN_WebPosto'!$J:$J,'Balancete MLN_WebPosto'!$C:$C,$A172,'Balancete MLN_WebPosto'!$B:$B,$B$2),
  "0"
)</f>
        <v>0</v>
      </c>
      <c r="N172" s="4" t="str">
        <f>IF(Balancete_Oficial[[#Headers],[Maio]]='Balancete MLN_WebPosto'!$G$2,
SUMIFS('Balancete MLN_WebPosto'!$I:$I,'Balancete MLN_WebPosto'!$C:$C,$A172,'Balancete MLN_WebPosto'!$B:$B,$B$2),
  "0"
)</f>
        <v>0</v>
      </c>
      <c r="O172" s="4" t="str">
        <f>IF(Balancete_Oficial[[#Headers],[Junho]]='Balancete MLN_WebPosto'!$G$2,
SUMIFS('Balancete MLN_WebPosto'!$I:$I,'Balancete MLN_WebPosto'!$C:$C,$A172,'Balancete MLN_WebPosto'!$B:$B,$B$2),
  "0"
)</f>
        <v>0</v>
      </c>
      <c r="P172" s="4" t="str">
        <f>IF(Balancete_Oficial[[#Headers],[Julho]]='Balancete MLN_WebPosto'!$G$2,
SUMIFS('Balancete MLN_WebPosto'!$I:$I,'Balancete MLN_WebPosto'!$C:$C,$A172,'Balancete MLN_WebPosto'!$B:$B,$B$2),
  "0"
)</f>
        <v>0</v>
      </c>
      <c r="Q172" s="4" t="str">
        <f>IF(Balancete_Oficial[[#Headers],[Agosto]]='Balancete MLN_WebPosto'!$G$2,
SUMIFS('Balancete MLN_WebPosto'!$I:$I,'Balancete MLN_WebPosto'!$C:$C,$A172,'Balancete MLN_WebPosto'!$B:$B,$B$2),
  "0"
)</f>
        <v>0</v>
      </c>
      <c r="R172" s="4">
        <f>IF(Balancete_Oficial[[#Headers],[Setembro]]='Balancete MLN_WebPosto'!$G$2,
SUMIFS('Balancete MLN_WebPosto'!$I:$I,'Balancete MLN_WebPosto'!$C:$C,$A172,'Balancete MLN_WebPosto'!$B:$B,$B$2),
  "0"
)</f>
        <v>0</v>
      </c>
      <c r="S172" s="4" t="str">
        <f>IF(Balancete_Oficial[[#Headers],[Outubro]]='Balancete MLN_WebPosto'!$G$2,
SUMIFS('Balancete MLN_WebPosto'!$I:$I,'Balancete MLN_WebPosto'!$C:$C,$A172,'Balancete MLN_WebPosto'!$B:$B,$B$2),
  "0"
)</f>
        <v>0</v>
      </c>
      <c r="T172" s="4" t="str">
        <f>IF(Balancete_Oficial[[#Headers],[Novembro]]='Balancete MLN_WebPosto'!$G$2,
SUMIFS('Balancete MLN_WebPosto'!$I:$I,'Balancete MLN_WebPosto'!$C:$C,$A172,'Balancete MLN_WebPosto'!$B:$B,$B$2),
  "0"
)</f>
        <v>0</v>
      </c>
      <c r="U172" s="4" t="str">
        <f>IF(Balancete_Oficial[[#Headers],[Dezembro]]='Balancete MLN_WebPosto'!$G$2,
SUMIFS('Balancete MLN_WebPosto'!$I:$I,'Balancete MLN_WebPosto'!$C:$C,$A172,'Balancete MLN_WebPosto'!$B:$B,$B$2),
  "0"
)</f>
        <v>0</v>
      </c>
    </row>
    <row r="173" spans="1:21" x14ac:dyDescent="0.25">
      <c r="A173" s="2" t="str">
        <f>IF(Dados!H170="","",Dados!H170)</f>
        <v/>
      </c>
      <c r="B173" s="2" t="e">
        <f>VLOOKUP(Balancete_Oficial[[#This Row],[Conta]],'Balancete MLN_WebPosto'!C:E,3,0)</f>
        <v>#N/A</v>
      </c>
      <c r="C173" s="3" t="str">
        <f t="shared" si="9"/>
        <v>Sintética</v>
      </c>
      <c r="D173" s="6" t="str">
        <f t="shared" si="10"/>
        <v>R</v>
      </c>
      <c r="E173" s="6" t="str">
        <f t="shared" si="11"/>
        <v/>
      </c>
      <c r="F173" s="6"/>
      <c r="G173" s="6"/>
      <c r="H173" s="6"/>
      <c r="I173" s="6"/>
      <c r="J173" s="4" t="str">
        <f>IF(Balancete_Oficial[[#Headers],[Janeiro]]='Balancete MLN_WebPosto'!$G$2,
SUMIFS('Balancete MLN_WebPosto'!$J:$J,'Balancete MLN_WebPosto'!$C:$C,$A173,'Balancete MLN_WebPosto'!$B:$B,$B$2),
  "0"
)</f>
        <v>0</v>
      </c>
      <c r="K173" s="4" t="str">
        <f>IF(Balancete_Oficial[[#Headers],[Fevereiro]]='Balancete MLN_WebPosto'!$G$2,
SUMIFS('Balancete MLN_WebPosto'!$J:$J,'Balancete MLN_WebPosto'!$C:$C,$A173,'Balancete MLN_WebPosto'!$B:$B,$B$2),
  "0"
)</f>
        <v>0</v>
      </c>
      <c r="L173" s="4" t="str">
        <f>IF(Balancete_Oficial[[#Headers],[Março]]='Balancete MLN_WebPosto'!$G$2,
SUMIFS('Balancete MLN_WebPosto'!$J:$J,'Balancete MLN_WebPosto'!$C:$C,$A173,'Balancete MLN_WebPosto'!$B:$B,$B$2),
  "0"
)</f>
        <v>0</v>
      </c>
      <c r="M173" s="4" t="str">
        <f>IF(Balancete_Oficial[[#Headers],[Abril]]='Balancete MLN_WebPosto'!$G$2,
SUMIFS('Balancete MLN_WebPosto'!$J:$J,'Balancete MLN_WebPosto'!$C:$C,$A173,'Balancete MLN_WebPosto'!$B:$B,$B$2),
  "0"
)</f>
        <v>0</v>
      </c>
      <c r="N173" s="4" t="str">
        <f>IF(Balancete_Oficial[[#Headers],[Maio]]='Balancete MLN_WebPosto'!$G$2,
SUMIFS('Balancete MLN_WebPosto'!$I:$I,'Balancete MLN_WebPosto'!$C:$C,$A173,'Balancete MLN_WebPosto'!$B:$B,$B$2),
  "0"
)</f>
        <v>0</v>
      </c>
      <c r="O173" s="4" t="str">
        <f>IF(Balancete_Oficial[[#Headers],[Junho]]='Balancete MLN_WebPosto'!$G$2,
SUMIFS('Balancete MLN_WebPosto'!$I:$I,'Balancete MLN_WebPosto'!$C:$C,$A173,'Balancete MLN_WebPosto'!$B:$B,$B$2),
  "0"
)</f>
        <v>0</v>
      </c>
      <c r="P173" s="4" t="str">
        <f>IF(Balancete_Oficial[[#Headers],[Julho]]='Balancete MLN_WebPosto'!$G$2,
SUMIFS('Balancete MLN_WebPosto'!$I:$I,'Balancete MLN_WebPosto'!$C:$C,$A173,'Balancete MLN_WebPosto'!$B:$B,$B$2),
  "0"
)</f>
        <v>0</v>
      </c>
      <c r="Q173" s="4" t="str">
        <f>IF(Balancete_Oficial[[#Headers],[Agosto]]='Balancete MLN_WebPosto'!$G$2,
SUMIFS('Balancete MLN_WebPosto'!$I:$I,'Balancete MLN_WebPosto'!$C:$C,$A173,'Balancete MLN_WebPosto'!$B:$B,$B$2),
  "0"
)</f>
        <v>0</v>
      </c>
      <c r="R173" s="4">
        <f>IF(Balancete_Oficial[[#Headers],[Setembro]]='Balancete MLN_WebPosto'!$G$2,
SUMIFS('Balancete MLN_WebPosto'!$I:$I,'Balancete MLN_WebPosto'!$C:$C,$A173,'Balancete MLN_WebPosto'!$B:$B,$B$2),
  "0"
)</f>
        <v>0</v>
      </c>
      <c r="S173" s="4" t="str">
        <f>IF(Balancete_Oficial[[#Headers],[Outubro]]='Balancete MLN_WebPosto'!$G$2,
SUMIFS('Balancete MLN_WebPosto'!$I:$I,'Balancete MLN_WebPosto'!$C:$C,$A173,'Balancete MLN_WebPosto'!$B:$B,$B$2),
  "0"
)</f>
        <v>0</v>
      </c>
      <c r="T173" s="4" t="str">
        <f>IF(Balancete_Oficial[[#Headers],[Novembro]]='Balancete MLN_WebPosto'!$G$2,
SUMIFS('Balancete MLN_WebPosto'!$I:$I,'Balancete MLN_WebPosto'!$C:$C,$A173,'Balancete MLN_WebPosto'!$B:$B,$B$2),
  "0"
)</f>
        <v>0</v>
      </c>
      <c r="U173" s="4" t="str">
        <f>IF(Balancete_Oficial[[#Headers],[Dezembro]]='Balancete MLN_WebPosto'!$G$2,
SUMIFS('Balancete MLN_WebPosto'!$I:$I,'Balancete MLN_WebPosto'!$C:$C,$A173,'Balancete MLN_WebPosto'!$B:$B,$B$2),
  "0"
)</f>
        <v>0</v>
      </c>
    </row>
    <row r="174" spans="1:21" x14ac:dyDescent="0.25">
      <c r="A174" s="2" t="str">
        <f>IF(Dados!H171="","",Dados!H171)</f>
        <v/>
      </c>
      <c r="B174" s="2" t="e">
        <f>VLOOKUP(Balancete_Oficial[[#This Row],[Conta]],'Balancete MLN_WebPosto'!C:E,3,0)</f>
        <v>#N/A</v>
      </c>
      <c r="C174" s="3" t="str">
        <f t="shared" si="9"/>
        <v>Sintética</v>
      </c>
      <c r="D174" s="6" t="str">
        <f t="shared" si="10"/>
        <v>R</v>
      </c>
      <c r="E174" s="6" t="str">
        <f t="shared" si="11"/>
        <v/>
      </c>
      <c r="F174" s="6"/>
      <c r="G174" s="6"/>
      <c r="H174" s="6"/>
      <c r="I174" s="6"/>
      <c r="J174" s="4" t="str">
        <f>IF(Balancete_Oficial[[#Headers],[Janeiro]]='Balancete MLN_WebPosto'!$G$2,
SUMIFS('Balancete MLN_WebPosto'!$J:$J,'Balancete MLN_WebPosto'!$C:$C,$A174,'Balancete MLN_WebPosto'!$B:$B,$B$2),
  "0"
)</f>
        <v>0</v>
      </c>
      <c r="K174" s="4" t="str">
        <f>IF(Balancete_Oficial[[#Headers],[Fevereiro]]='Balancete MLN_WebPosto'!$G$2,
SUMIFS('Balancete MLN_WebPosto'!$J:$J,'Balancete MLN_WebPosto'!$C:$C,$A174,'Balancete MLN_WebPosto'!$B:$B,$B$2),
  "0"
)</f>
        <v>0</v>
      </c>
      <c r="L174" s="4" t="str">
        <f>IF(Balancete_Oficial[[#Headers],[Março]]='Balancete MLN_WebPosto'!$G$2,
SUMIFS('Balancete MLN_WebPosto'!$J:$J,'Balancete MLN_WebPosto'!$C:$C,$A174,'Balancete MLN_WebPosto'!$B:$B,$B$2),
  "0"
)</f>
        <v>0</v>
      </c>
      <c r="M174" s="4" t="str">
        <f>IF(Balancete_Oficial[[#Headers],[Abril]]='Balancete MLN_WebPosto'!$G$2,
SUMIFS('Balancete MLN_WebPosto'!$J:$J,'Balancete MLN_WebPosto'!$C:$C,$A174,'Balancete MLN_WebPosto'!$B:$B,$B$2),
  "0"
)</f>
        <v>0</v>
      </c>
      <c r="N174" s="4" t="str">
        <f>IF(Balancete_Oficial[[#Headers],[Maio]]='Balancete MLN_WebPosto'!$G$2,
SUMIFS('Balancete MLN_WebPosto'!$I:$I,'Balancete MLN_WebPosto'!$C:$C,$A174,'Balancete MLN_WebPosto'!$B:$B,$B$2),
  "0"
)</f>
        <v>0</v>
      </c>
      <c r="O174" s="4" t="str">
        <f>IF(Balancete_Oficial[[#Headers],[Junho]]='Balancete MLN_WebPosto'!$G$2,
SUMIFS('Balancete MLN_WebPosto'!$I:$I,'Balancete MLN_WebPosto'!$C:$C,$A174,'Balancete MLN_WebPosto'!$B:$B,$B$2),
  "0"
)</f>
        <v>0</v>
      </c>
      <c r="P174" s="4" t="str">
        <f>IF(Balancete_Oficial[[#Headers],[Julho]]='Balancete MLN_WebPosto'!$G$2,
SUMIFS('Balancete MLN_WebPosto'!$I:$I,'Balancete MLN_WebPosto'!$C:$C,$A174,'Balancete MLN_WebPosto'!$B:$B,$B$2),
  "0"
)</f>
        <v>0</v>
      </c>
      <c r="Q174" s="4" t="str">
        <f>IF(Balancete_Oficial[[#Headers],[Agosto]]='Balancete MLN_WebPosto'!$G$2,
SUMIFS('Balancete MLN_WebPosto'!$I:$I,'Balancete MLN_WebPosto'!$C:$C,$A174,'Balancete MLN_WebPosto'!$B:$B,$B$2),
  "0"
)</f>
        <v>0</v>
      </c>
      <c r="R174" s="4">
        <f>IF(Balancete_Oficial[[#Headers],[Setembro]]='Balancete MLN_WebPosto'!$G$2,
SUMIFS('Balancete MLN_WebPosto'!$I:$I,'Balancete MLN_WebPosto'!$C:$C,$A174,'Balancete MLN_WebPosto'!$B:$B,$B$2),
  "0"
)</f>
        <v>0</v>
      </c>
      <c r="S174" s="4" t="str">
        <f>IF(Balancete_Oficial[[#Headers],[Outubro]]='Balancete MLN_WebPosto'!$G$2,
SUMIFS('Balancete MLN_WebPosto'!$I:$I,'Balancete MLN_WebPosto'!$C:$C,$A174,'Balancete MLN_WebPosto'!$B:$B,$B$2),
  "0"
)</f>
        <v>0</v>
      </c>
      <c r="T174" s="4" t="str">
        <f>IF(Balancete_Oficial[[#Headers],[Novembro]]='Balancete MLN_WebPosto'!$G$2,
SUMIFS('Balancete MLN_WebPosto'!$I:$I,'Balancete MLN_WebPosto'!$C:$C,$A174,'Balancete MLN_WebPosto'!$B:$B,$B$2),
  "0"
)</f>
        <v>0</v>
      </c>
      <c r="U174" s="4" t="str">
        <f>IF(Balancete_Oficial[[#Headers],[Dezembro]]='Balancete MLN_WebPosto'!$G$2,
SUMIFS('Balancete MLN_WebPosto'!$I:$I,'Balancete MLN_WebPosto'!$C:$C,$A174,'Balancete MLN_WebPosto'!$B:$B,$B$2),
  "0"
)</f>
        <v>0</v>
      </c>
    </row>
    <row r="175" spans="1:21" x14ac:dyDescent="0.25">
      <c r="A175" s="2" t="str">
        <f>IF(Dados!H172="","",Dados!H172)</f>
        <v/>
      </c>
      <c r="B175" s="2" t="e">
        <f>VLOOKUP(Balancete_Oficial[[#This Row],[Conta]],'Balancete MLN_WebPosto'!C:E,3,0)</f>
        <v>#N/A</v>
      </c>
      <c r="C175" s="3" t="str">
        <f t="shared" si="9"/>
        <v>Sintética</v>
      </c>
      <c r="D175" s="6" t="str">
        <f t="shared" si="10"/>
        <v>R</v>
      </c>
      <c r="E175" s="6" t="str">
        <f t="shared" si="11"/>
        <v/>
      </c>
      <c r="F175" s="6"/>
      <c r="G175" s="6"/>
      <c r="H175" s="6"/>
      <c r="I175" s="6"/>
      <c r="J175" s="4" t="str">
        <f>IF(Balancete_Oficial[[#Headers],[Janeiro]]='Balancete MLN_WebPosto'!$G$2,
SUMIFS('Balancete MLN_WebPosto'!$J:$J,'Balancete MLN_WebPosto'!$C:$C,$A175,'Balancete MLN_WebPosto'!$B:$B,$B$2),
  "0"
)</f>
        <v>0</v>
      </c>
      <c r="K175" s="4" t="str">
        <f>IF(Balancete_Oficial[[#Headers],[Fevereiro]]='Balancete MLN_WebPosto'!$G$2,
SUMIFS('Balancete MLN_WebPosto'!$J:$J,'Balancete MLN_WebPosto'!$C:$C,$A175,'Balancete MLN_WebPosto'!$B:$B,$B$2),
  "0"
)</f>
        <v>0</v>
      </c>
      <c r="L175" s="4" t="str">
        <f>IF(Balancete_Oficial[[#Headers],[Março]]='Balancete MLN_WebPosto'!$G$2,
SUMIFS('Balancete MLN_WebPosto'!$J:$J,'Balancete MLN_WebPosto'!$C:$C,$A175,'Balancete MLN_WebPosto'!$B:$B,$B$2),
  "0"
)</f>
        <v>0</v>
      </c>
      <c r="M175" s="4" t="str">
        <f>IF(Balancete_Oficial[[#Headers],[Abril]]='Balancete MLN_WebPosto'!$G$2,
SUMIFS('Balancete MLN_WebPosto'!$J:$J,'Balancete MLN_WebPosto'!$C:$C,$A175,'Balancete MLN_WebPosto'!$B:$B,$B$2),
  "0"
)</f>
        <v>0</v>
      </c>
      <c r="N175" s="4" t="str">
        <f>IF(Balancete_Oficial[[#Headers],[Maio]]='Balancete MLN_WebPosto'!$G$2,
SUMIFS('Balancete MLN_WebPosto'!$I:$I,'Balancete MLN_WebPosto'!$C:$C,$A175,'Balancete MLN_WebPosto'!$B:$B,$B$2),
  "0"
)</f>
        <v>0</v>
      </c>
      <c r="O175" s="4" t="str">
        <f>IF(Balancete_Oficial[[#Headers],[Junho]]='Balancete MLN_WebPosto'!$G$2,
SUMIFS('Balancete MLN_WebPosto'!$I:$I,'Balancete MLN_WebPosto'!$C:$C,$A175,'Balancete MLN_WebPosto'!$B:$B,$B$2),
  "0"
)</f>
        <v>0</v>
      </c>
      <c r="P175" s="4" t="str">
        <f>IF(Balancete_Oficial[[#Headers],[Julho]]='Balancete MLN_WebPosto'!$G$2,
SUMIFS('Balancete MLN_WebPosto'!$I:$I,'Balancete MLN_WebPosto'!$C:$C,$A175,'Balancete MLN_WebPosto'!$B:$B,$B$2),
  "0"
)</f>
        <v>0</v>
      </c>
      <c r="Q175" s="4" t="str">
        <f>IF(Balancete_Oficial[[#Headers],[Agosto]]='Balancete MLN_WebPosto'!$G$2,
SUMIFS('Balancete MLN_WebPosto'!$I:$I,'Balancete MLN_WebPosto'!$C:$C,$A175,'Balancete MLN_WebPosto'!$B:$B,$B$2),
  "0"
)</f>
        <v>0</v>
      </c>
      <c r="R175" s="4">
        <f>IF(Balancete_Oficial[[#Headers],[Setembro]]='Balancete MLN_WebPosto'!$G$2,
SUMIFS('Balancete MLN_WebPosto'!$I:$I,'Balancete MLN_WebPosto'!$C:$C,$A175,'Balancete MLN_WebPosto'!$B:$B,$B$2),
  "0"
)</f>
        <v>0</v>
      </c>
      <c r="S175" s="4" t="str">
        <f>IF(Balancete_Oficial[[#Headers],[Outubro]]='Balancete MLN_WebPosto'!$G$2,
SUMIFS('Balancete MLN_WebPosto'!$I:$I,'Balancete MLN_WebPosto'!$C:$C,$A175,'Balancete MLN_WebPosto'!$B:$B,$B$2),
  "0"
)</f>
        <v>0</v>
      </c>
      <c r="T175" s="4" t="str">
        <f>IF(Balancete_Oficial[[#Headers],[Novembro]]='Balancete MLN_WebPosto'!$G$2,
SUMIFS('Balancete MLN_WebPosto'!$I:$I,'Balancete MLN_WebPosto'!$C:$C,$A175,'Balancete MLN_WebPosto'!$B:$B,$B$2),
  "0"
)</f>
        <v>0</v>
      </c>
      <c r="U175" s="4" t="str">
        <f>IF(Balancete_Oficial[[#Headers],[Dezembro]]='Balancete MLN_WebPosto'!$G$2,
SUMIFS('Balancete MLN_WebPosto'!$I:$I,'Balancete MLN_WebPosto'!$C:$C,$A175,'Balancete MLN_WebPosto'!$B:$B,$B$2),
  "0"
)</f>
        <v>0</v>
      </c>
    </row>
    <row r="176" spans="1:21" x14ac:dyDescent="0.25">
      <c r="A176" s="2" t="str">
        <f>IF(Dados!H173="","",Dados!H173)</f>
        <v/>
      </c>
      <c r="B176" s="2" t="e">
        <f>VLOOKUP(Balancete_Oficial[[#This Row],[Conta]],'Balancete MLN_WebPosto'!C:E,3,0)</f>
        <v>#N/A</v>
      </c>
      <c r="C176" s="3" t="str">
        <f t="shared" si="9"/>
        <v>Sintética</v>
      </c>
      <c r="D176" s="6" t="str">
        <f t="shared" si="10"/>
        <v>R</v>
      </c>
      <c r="E176" s="6" t="str">
        <f t="shared" si="11"/>
        <v/>
      </c>
      <c r="F176" s="6"/>
      <c r="G176" s="6"/>
      <c r="H176" s="6"/>
      <c r="I176" s="6"/>
      <c r="J176" s="4" t="str">
        <f>IF(Balancete_Oficial[[#Headers],[Janeiro]]='Balancete MLN_WebPosto'!$G$2,
SUMIFS('Balancete MLN_WebPosto'!$J:$J,'Balancete MLN_WebPosto'!$C:$C,$A176,'Balancete MLN_WebPosto'!$B:$B,$B$2),
  "0"
)</f>
        <v>0</v>
      </c>
      <c r="K176" s="4" t="str">
        <f>IF(Balancete_Oficial[[#Headers],[Fevereiro]]='Balancete MLN_WebPosto'!$G$2,
SUMIFS('Balancete MLN_WebPosto'!$J:$J,'Balancete MLN_WebPosto'!$C:$C,$A176,'Balancete MLN_WebPosto'!$B:$B,$B$2),
  "0"
)</f>
        <v>0</v>
      </c>
      <c r="L176" s="4" t="str">
        <f>IF(Balancete_Oficial[[#Headers],[Março]]='Balancete MLN_WebPosto'!$G$2,
SUMIFS('Balancete MLN_WebPosto'!$J:$J,'Balancete MLN_WebPosto'!$C:$C,$A176,'Balancete MLN_WebPosto'!$B:$B,$B$2),
  "0"
)</f>
        <v>0</v>
      </c>
      <c r="M176" s="4" t="str">
        <f>IF(Balancete_Oficial[[#Headers],[Abril]]='Balancete MLN_WebPosto'!$G$2,
SUMIFS('Balancete MLN_WebPosto'!$J:$J,'Balancete MLN_WebPosto'!$C:$C,$A176,'Balancete MLN_WebPosto'!$B:$B,$B$2),
  "0"
)</f>
        <v>0</v>
      </c>
      <c r="N176" s="4" t="str">
        <f>IF(Balancete_Oficial[[#Headers],[Maio]]='Balancete MLN_WebPosto'!$G$2,
SUMIFS('Balancete MLN_WebPosto'!$I:$I,'Balancete MLN_WebPosto'!$C:$C,$A176,'Balancete MLN_WebPosto'!$B:$B,$B$2),
  "0"
)</f>
        <v>0</v>
      </c>
      <c r="O176" s="4" t="str">
        <f>IF(Balancete_Oficial[[#Headers],[Junho]]='Balancete MLN_WebPosto'!$G$2,
SUMIFS('Balancete MLN_WebPosto'!$I:$I,'Balancete MLN_WebPosto'!$C:$C,$A176,'Balancete MLN_WebPosto'!$B:$B,$B$2),
  "0"
)</f>
        <v>0</v>
      </c>
      <c r="P176" s="4" t="str">
        <f>IF(Balancete_Oficial[[#Headers],[Julho]]='Balancete MLN_WebPosto'!$G$2,
SUMIFS('Balancete MLN_WebPosto'!$I:$I,'Balancete MLN_WebPosto'!$C:$C,$A176,'Balancete MLN_WebPosto'!$B:$B,$B$2),
  "0"
)</f>
        <v>0</v>
      </c>
      <c r="Q176" s="4" t="str">
        <f>IF(Balancete_Oficial[[#Headers],[Agosto]]='Balancete MLN_WebPosto'!$G$2,
SUMIFS('Balancete MLN_WebPosto'!$I:$I,'Balancete MLN_WebPosto'!$C:$C,$A176,'Balancete MLN_WebPosto'!$B:$B,$B$2),
  "0"
)</f>
        <v>0</v>
      </c>
      <c r="R176" s="4">
        <f>IF(Balancete_Oficial[[#Headers],[Setembro]]='Balancete MLN_WebPosto'!$G$2,
SUMIFS('Balancete MLN_WebPosto'!$I:$I,'Balancete MLN_WebPosto'!$C:$C,$A176,'Balancete MLN_WebPosto'!$B:$B,$B$2),
  "0"
)</f>
        <v>0</v>
      </c>
      <c r="S176" s="4" t="str">
        <f>IF(Balancete_Oficial[[#Headers],[Outubro]]='Balancete MLN_WebPosto'!$G$2,
SUMIFS('Balancete MLN_WebPosto'!$I:$I,'Balancete MLN_WebPosto'!$C:$C,$A176,'Balancete MLN_WebPosto'!$B:$B,$B$2),
  "0"
)</f>
        <v>0</v>
      </c>
      <c r="T176" s="4" t="str">
        <f>IF(Balancete_Oficial[[#Headers],[Novembro]]='Balancete MLN_WebPosto'!$G$2,
SUMIFS('Balancete MLN_WebPosto'!$I:$I,'Balancete MLN_WebPosto'!$C:$C,$A176,'Balancete MLN_WebPosto'!$B:$B,$B$2),
  "0"
)</f>
        <v>0</v>
      </c>
      <c r="U176" s="4" t="str">
        <f>IF(Balancete_Oficial[[#Headers],[Dezembro]]='Balancete MLN_WebPosto'!$G$2,
SUMIFS('Balancete MLN_WebPosto'!$I:$I,'Balancete MLN_WebPosto'!$C:$C,$A176,'Balancete MLN_WebPosto'!$B:$B,$B$2),
  "0"
)</f>
        <v>0</v>
      </c>
    </row>
    <row r="177" spans="1:21" x14ac:dyDescent="0.25">
      <c r="A177" s="2" t="str">
        <f>IF(Dados!H174="","",Dados!H174)</f>
        <v/>
      </c>
      <c r="B177" s="2" t="e">
        <f>VLOOKUP(Balancete_Oficial[[#This Row],[Conta]],'Balancete MLN_WebPosto'!C:E,3,0)</f>
        <v>#N/A</v>
      </c>
      <c r="C177" s="3" t="str">
        <f t="shared" si="9"/>
        <v>Sintética</v>
      </c>
      <c r="D177" s="6" t="str">
        <f t="shared" si="10"/>
        <v>R</v>
      </c>
      <c r="E177" s="6" t="str">
        <f t="shared" si="11"/>
        <v/>
      </c>
      <c r="F177" s="6"/>
      <c r="G177" s="6"/>
      <c r="H177" s="6"/>
      <c r="I177" s="6"/>
      <c r="J177" s="4" t="str">
        <f>IF(Balancete_Oficial[[#Headers],[Janeiro]]='Balancete MLN_WebPosto'!$G$2,
SUMIFS('Balancete MLN_WebPosto'!$J:$J,'Balancete MLN_WebPosto'!$C:$C,$A177,'Balancete MLN_WebPosto'!$B:$B,$B$2),
  "0"
)</f>
        <v>0</v>
      </c>
      <c r="K177" s="4" t="str">
        <f>IF(Balancete_Oficial[[#Headers],[Fevereiro]]='Balancete MLN_WebPosto'!$G$2,
SUMIFS('Balancete MLN_WebPosto'!$J:$J,'Balancete MLN_WebPosto'!$C:$C,$A177,'Balancete MLN_WebPosto'!$B:$B,$B$2),
  "0"
)</f>
        <v>0</v>
      </c>
      <c r="L177" s="4" t="str">
        <f>IF(Balancete_Oficial[[#Headers],[Março]]='Balancete MLN_WebPosto'!$G$2,
SUMIFS('Balancete MLN_WebPosto'!$J:$J,'Balancete MLN_WebPosto'!$C:$C,$A177,'Balancete MLN_WebPosto'!$B:$B,$B$2),
  "0"
)</f>
        <v>0</v>
      </c>
      <c r="M177" s="4" t="str">
        <f>IF(Balancete_Oficial[[#Headers],[Abril]]='Balancete MLN_WebPosto'!$G$2,
SUMIFS('Balancete MLN_WebPosto'!$J:$J,'Balancete MLN_WebPosto'!$C:$C,$A177,'Balancete MLN_WebPosto'!$B:$B,$B$2),
  "0"
)</f>
        <v>0</v>
      </c>
      <c r="N177" s="4" t="str">
        <f>IF(Balancete_Oficial[[#Headers],[Maio]]='Balancete MLN_WebPosto'!$G$2,
SUMIFS('Balancete MLN_WebPosto'!$I:$I,'Balancete MLN_WebPosto'!$C:$C,$A177,'Balancete MLN_WebPosto'!$B:$B,$B$2),
  "0"
)</f>
        <v>0</v>
      </c>
      <c r="O177" s="4" t="str">
        <f>IF(Balancete_Oficial[[#Headers],[Junho]]='Balancete MLN_WebPosto'!$G$2,
SUMIFS('Balancete MLN_WebPosto'!$I:$I,'Balancete MLN_WebPosto'!$C:$C,$A177,'Balancete MLN_WebPosto'!$B:$B,$B$2),
  "0"
)</f>
        <v>0</v>
      </c>
      <c r="P177" s="4" t="str">
        <f>IF(Balancete_Oficial[[#Headers],[Julho]]='Balancete MLN_WebPosto'!$G$2,
SUMIFS('Balancete MLN_WebPosto'!$I:$I,'Balancete MLN_WebPosto'!$C:$C,$A177,'Balancete MLN_WebPosto'!$B:$B,$B$2),
  "0"
)</f>
        <v>0</v>
      </c>
      <c r="Q177" s="4" t="str">
        <f>IF(Balancete_Oficial[[#Headers],[Agosto]]='Balancete MLN_WebPosto'!$G$2,
SUMIFS('Balancete MLN_WebPosto'!$I:$I,'Balancete MLN_WebPosto'!$C:$C,$A177,'Balancete MLN_WebPosto'!$B:$B,$B$2),
  "0"
)</f>
        <v>0</v>
      </c>
      <c r="R177" s="4">
        <f>IF(Balancete_Oficial[[#Headers],[Setembro]]='Balancete MLN_WebPosto'!$G$2,
SUMIFS('Balancete MLN_WebPosto'!$I:$I,'Balancete MLN_WebPosto'!$C:$C,$A177,'Balancete MLN_WebPosto'!$B:$B,$B$2),
  "0"
)</f>
        <v>0</v>
      </c>
      <c r="S177" s="4" t="str">
        <f>IF(Balancete_Oficial[[#Headers],[Outubro]]='Balancete MLN_WebPosto'!$G$2,
SUMIFS('Balancete MLN_WebPosto'!$I:$I,'Balancete MLN_WebPosto'!$C:$C,$A177,'Balancete MLN_WebPosto'!$B:$B,$B$2),
  "0"
)</f>
        <v>0</v>
      </c>
      <c r="T177" s="4" t="str">
        <f>IF(Balancete_Oficial[[#Headers],[Novembro]]='Balancete MLN_WebPosto'!$G$2,
SUMIFS('Balancete MLN_WebPosto'!$I:$I,'Balancete MLN_WebPosto'!$C:$C,$A177,'Balancete MLN_WebPosto'!$B:$B,$B$2),
  "0"
)</f>
        <v>0</v>
      </c>
      <c r="U177" s="4" t="str">
        <f>IF(Balancete_Oficial[[#Headers],[Dezembro]]='Balancete MLN_WebPosto'!$G$2,
SUMIFS('Balancete MLN_WebPosto'!$I:$I,'Balancete MLN_WebPosto'!$C:$C,$A177,'Balancete MLN_WebPosto'!$B:$B,$B$2),
  "0"
)</f>
        <v>0</v>
      </c>
    </row>
    <row r="178" spans="1:21" x14ac:dyDescent="0.25">
      <c r="A178" s="2" t="str">
        <f>IF(Dados!H175="","",Dados!H175)</f>
        <v/>
      </c>
      <c r="B178" s="2" t="e">
        <f>VLOOKUP(Balancete_Oficial[[#This Row],[Conta]],'Balancete MLN_WebPosto'!C:E,3,0)</f>
        <v>#N/A</v>
      </c>
      <c r="C178" s="3" t="str">
        <f t="shared" si="9"/>
        <v>Sintética</v>
      </c>
      <c r="D178" s="6" t="str">
        <f t="shared" si="10"/>
        <v>R</v>
      </c>
      <c r="E178" s="6" t="str">
        <f t="shared" si="11"/>
        <v/>
      </c>
      <c r="F178" s="6"/>
      <c r="G178" s="6"/>
      <c r="H178" s="6"/>
      <c r="I178" s="6"/>
      <c r="J178" s="4" t="str">
        <f>IF(Balancete_Oficial[[#Headers],[Janeiro]]='Balancete MLN_WebPosto'!$G$2,
SUMIFS('Balancete MLN_WebPosto'!$J:$J,'Balancete MLN_WebPosto'!$C:$C,$A178,'Balancete MLN_WebPosto'!$B:$B,$B$2),
  "0"
)</f>
        <v>0</v>
      </c>
      <c r="K178" s="4" t="str">
        <f>IF(Balancete_Oficial[[#Headers],[Fevereiro]]='Balancete MLN_WebPosto'!$G$2,
SUMIFS('Balancete MLN_WebPosto'!$J:$J,'Balancete MLN_WebPosto'!$C:$C,$A178,'Balancete MLN_WebPosto'!$B:$B,$B$2),
  "0"
)</f>
        <v>0</v>
      </c>
      <c r="L178" s="4" t="str">
        <f>IF(Balancete_Oficial[[#Headers],[Março]]='Balancete MLN_WebPosto'!$G$2,
SUMIFS('Balancete MLN_WebPosto'!$J:$J,'Balancete MLN_WebPosto'!$C:$C,$A178,'Balancete MLN_WebPosto'!$B:$B,$B$2),
  "0"
)</f>
        <v>0</v>
      </c>
      <c r="M178" s="4" t="str">
        <f>IF(Balancete_Oficial[[#Headers],[Abril]]='Balancete MLN_WebPosto'!$G$2,
SUMIFS('Balancete MLN_WebPosto'!$J:$J,'Balancete MLN_WebPosto'!$C:$C,$A178,'Balancete MLN_WebPosto'!$B:$B,$B$2),
  "0"
)</f>
        <v>0</v>
      </c>
      <c r="N178" s="4" t="str">
        <f>IF(Balancete_Oficial[[#Headers],[Maio]]='Balancete MLN_WebPosto'!$G$2,
SUMIFS('Balancete MLN_WebPosto'!$I:$I,'Balancete MLN_WebPosto'!$C:$C,$A178,'Balancete MLN_WebPosto'!$B:$B,$B$2),
  "0"
)</f>
        <v>0</v>
      </c>
      <c r="O178" s="4" t="str">
        <f>IF(Balancete_Oficial[[#Headers],[Junho]]='Balancete MLN_WebPosto'!$G$2,
SUMIFS('Balancete MLN_WebPosto'!$I:$I,'Balancete MLN_WebPosto'!$C:$C,$A178,'Balancete MLN_WebPosto'!$B:$B,$B$2),
  "0"
)</f>
        <v>0</v>
      </c>
      <c r="P178" s="4" t="str">
        <f>IF(Balancete_Oficial[[#Headers],[Julho]]='Balancete MLN_WebPosto'!$G$2,
SUMIFS('Balancete MLN_WebPosto'!$I:$I,'Balancete MLN_WebPosto'!$C:$C,$A178,'Balancete MLN_WebPosto'!$B:$B,$B$2),
  "0"
)</f>
        <v>0</v>
      </c>
      <c r="Q178" s="4" t="str">
        <f>IF(Balancete_Oficial[[#Headers],[Agosto]]='Balancete MLN_WebPosto'!$G$2,
SUMIFS('Balancete MLN_WebPosto'!$I:$I,'Balancete MLN_WebPosto'!$C:$C,$A178,'Balancete MLN_WebPosto'!$B:$B,$B$2),
  "0"
)</f>
        <v>0</v>
      </c>
      <c r="R178" s="4">
        <f>IF(Balancete_Oficial[[#Headers],[Setembro]]='Balancete MLN_WebPosto'!$G$2,
SUMIFS('Balancete MLN_WebPosto'!$I:$I,'Balancete MLN_WebPosto'!$C:$C,$A178,'Balancete MLN_WebPosto'!$B:$B,$B$2),
  "0"
)</f>
        <v>0</v>
      </c>
      <c r="S178" s="4" t="str">
        <f>IF(Balancete_Oficial[[#Headers],[Outubro]]='Balancete MLN_WebPosto'!$G$2,
SUMIFS('Balancete MLN_WebPosto'!$I:$I,'Balancete MLN_WebPosto'!$C:$C,$A178,'Balancete MLN_WebPosto'!$B:$B,$B$2),
  "0"
)</f>
        <v>0</v>
      </c>
      <c r="T178" s="4" t="str">
        <f>IF(Balancete_Oficial[[#Headers],[Novembro]]='Balancete MLN_WebPosto'!$G$2,
SUMIFS('Balancete MLN_WebPosto'!$I:$I,'Balancete MLN_WebPosto'!$C:$C,$A178,'Balancete MLN_WebPosto'!$B:$B,$B$2),
  "0"
)</f>
        <v>0</v>
      </c>
      <c r="U178" s="4" t="str">
        <f>IF(Balancete_Oficial[[#Headers],[Dezembro]]='Balancete MLN_WebPosto'!$G$2,
SUMIFS('Balancete MLN_WebPosto'!$I:$I,'Balancete MLN_WebPosto'!$C:$C,$A178,'Balancete MLN_WebPosto'!$B:$B,$B$2),
  "0"
)</f>
        <v>0</v>
      </c>
    </row>
    <row r="179" spans="1:21" x14ac:dyDescent="0.25">
      <c r="A179" s="2" t="str">
        <f>IF(Dados!H176="","",Dados!H176)</f>
        <v/>
      </c>
      <c r="B179" s="2" t="e">
        <f>VLOOKUP(Balancete_Oficial[[#This Row],[Conta]],'Balancete MLN_WebPosto'!C:E,3,0)</f>
        <v>#N/A</v>
      </c>
      <c r="C179" s="3" t="str">
        <f t="shared" si="9"/>
        <v>Sintética</v>
      </c>
      <c r="D179" s="6" t="str">
        <f t="shared" si="10"/>
        <v>R</v>
      </c>
      <c r="E179" s="6" t="str">
        <f t="shared" si="11"/>
        <v/>
      </c>
      <c r="F179" s="6"/>
      <c r="G179" s="6"/>
      <c r="H179" s="6"/>
      <c r="I179" s="6"/>
      <c r="J179" s="4" t="str">
        <f>IF(Balancete_Oficial[[#Headers],[Janeiro]]='Balancete MLN_WebPosto'!$G$2,
SUMIFS('Balancete MLN_WebPosto'!$J:$J,'Balancete MLN_WebPosto'!$C:$C,$A179,'Balancete MLN_WebPosto'!$B:$B,$B$2),
  "0"
)</f>
        <v>0</v>
      </c>
      <c r="K179" s="4" t="str">
        <f>IF(Balancete_Oficial[[#Headers],[Fevereiro]]='Balancete MLN_WebPosto'!$G$2,
SUMIFS('Balancete MLN_WebPosto'!$J:$J,'Balancete MLN_WebPosto'!$C:$C,$A179,'Balancete MLN_WebPosto'!$B:$B,$B$2),
  "0"
)</f>
        <v>0</v>
      </c>
      <c r="L179" s="4" t="str">
        <f>IF(Balancete_Oficial[[#Headers],[Março]]='Balancete MLN_WebPosto'!$G$2,
SUMIFS('Balancete MLN_WebPosto'!$J:$J,'Balancete MLN_WebPosto'!$C:$C,$A179,'Balancete MLN_WebPosto'!$B:$B,$B$2),
  "0"
)</f>
        <v>0</v>
      </c>
      <c r="M179" s="4" t="str">
        <f>IF(Balancete_Oficial[[#Headers],[Abril]]='Balancete MLN_WebPosto'!$G$2,
SUMIFS('Balancete MLN_WebPosto'!$J:$J,'Balancete MLN_WebPosto'!$C:$C,$A179,'Balancete MLN_WebPosto'!$B:$B,$B$2),
  "0"
)</f>
        <v>0</v>
      </c>
      <c r="N179" s="4" t="str">
        <f>IF(Balancete_Oficial[[#Headers],[Maio]]='Balancete MLN_WebPosto'!$G$2,
SUMIFS('Balancete MLN_WebPosto'!$I:$I,'Balancete MLN_WebPosto'!$C:$C,$A179,'Balancete MLN_WebPosto'!$B:$B,$B$2),
  "0"
)</f>
        <v>0</v>
      </c>
      <c r="O179" s="4" t="str">
        <f>IF(Balancete_Oficial[[#Headers],[Junho]]='Balancete MLN_WebPosto'!$G$2,
SUMIFS('Balancete MLN_WebPosto'!$I:$I,'Balancete MLN_WebPosto'!$C:$C,$A179,'Balancete MLN_WebPosto'!$B:$B,$B$2),
  "0"
)</f>
        <v>0</v>
      </c>
      <c r="P179" s="4" t="str">
        <f>IF(Balancete_Oficial[[#Headers],[Julho]]='Balancete MLN_WebPosto'!$G$2,
SUMIFS('Balancete MLN_WebPosto'!$I:$I,'Balancete MLN_WebPosto'!$C:$C,$A179,'Balancete MLN_WebPosto'!$B:$B,$B$2),
  "0"
)</f>
        <v>0</v>
      </c>
      <c r="Q179" s="4" t="str">
        <f>IF(Balancete_Oficial[[#Headers],[Agosto]]='Balancete MLN_WebPosto'!$G$2,
SUMIFS('Balancete MLN_WebPosto'!$I:$I,'Balancete MLN_WebPosto'!$C:$C,$A179,'Balancete MLN_WebPosto'!$B:$B,$B$2),
  "0"
)</f>
        <v>0</v>
      </c>
      <c r="R179" s="4">
        <f>IF(Balancete_Oficial[[#Headers],[Setembro]]='Balancete MLN_WebPosto'!$G$2,
SUMIFS('Balancete MLN_WebPosto'!$I:$I,'Balancete MLN_WebPosto'!$C:$C,$A179,'Balancete MLN_WebPosto'!$B:$B,$B$2),
  "0"
)</f>
        <v>0</v>
      </c>
      <c r="S179" s="4" t="str">
        <f>IF(Balancete_Oficial[[#Headers],[Outubro]]='Balancete MLN_WebPosto'!$G$2,
SUMIFS('Balancete MLN_WebPosto'!$I:$I,'Balancete MLN_WebPosto'!$C:$C,$A179,'Balancete MLN_WebPosto'!$B:$B,$B$2),
  "0"
)</f>
        <v>0</v>
      </c>
      <c r="T179" s="4" t="str">
        <f>IF(Balancete_Oficial[[#Headers],[Novembro]]='Balancete MLN_WebPosto'!$G$2,
SUMIFS('Balancete MLN_WebPosto'!$I:$I,'Balancete MLN_WebPosto'!$C:$C,$A179,'Balancete MLN_WebPosto'!$B:$B,$B$2),
  "0"
)</f>
        <v>0</v>
      </c>
      <c r="U179" s="4" t="str">
        <f>IF(Balancete_Oficial[[#Headers],[Dezembro]]='Balancete MLN_WebPosto'!$G$2,
SUMIFS('Balancete MLN_WebPosto'!$I:$I,'Balancete MLN_WebPosto'!$C:$C,$A179,'Balancete MLN_WebPosto'!$B:$B,$B$2),
  "0"
)</f>
        <v>0</v>
      </c>
    </row>
    <row r="180" spans="1:21" x14ac:dyDescent="0.25">
      <c r="A180" s="2" t="str">
        <f>IF(Dados!H177="","",Dados!H177)</f>
        <v/>
      </c>
      <c r="B180" s="2" t="e">
        <f>VLOOKUP(Balancete_Oficial[[#This Row],[Conta]],'Balancete MLN_WebPosto'!C:E,3,0)</f>
        <v>#N/A</v>
      </c>
      <c r="C180" s="3" t="str">
        <f t="shared" si="9"/>
        <v>Sintética</v>
      </c>
      <c r="D180" s="6" t="str">
        <f t="shared" si="10"/>
        <v>R</v>
      </c>
      <c r="E180" s="6" t="str">
        <f t="shared" si="11"/>
        <v/>
      </c>
      <c r="F180" s="6"/>
      <c r="G180" s="6"/>
      <c r="H180" s="6"/>
      <c r="I180" s="6"/>
      <c r="J180" s="4" t="str">
        <f>IF(Balancete_Oficial[[#Headers],[Janeiro]]='Balancete MLN_WebPosto'!$G$2,
SUMIFS('Balancete MLN_WebPosto'!$J:$J,'Balancete MLN_WebPosto'!$C:$C,$A180,'Balancete MLN_WebPosto'!$B:$B,$B$2),
  "0"
)</f>
        <v>0</v>
      </c>
      <c r="K180" s="4" t="str">
        <f>IF(Balancete_Oficial[[#Headers],[Fevereiro]]='Balancete MLN_WebPosto'!$G$2,
SUMIFS('Balancete MLN_WebPosto'!$J:$J,'Balancete MLN_WebPosto'!$C:$C,$A180,'Balancete MLN_WebPosto'!$B:$B,$B$2),
  "0"
)</f>
        <v>0</v>
      </c>
      <c r="L180" s="4" t="str">
        <f>IF(Balancete_Oficial[[#Headers],[Março]]='Balancete MLN_WebPosto'!$G$2,
SUMIFS('Balancete MLN_WebPosto'!$J:$J,'Balancete MLN_WebPosto'!$C:$C,$A180,'Balancete MLN_WebPosto'!$B:$B,$B$2),
  "0"
)</f>
        <v>0</v>
      </c>
      <c r="M180" s="4" t="str">
        <f>IF(Balancete_Oficial[[#Headers],[Abril]]='Balancete MLN_WebPosto'!$G$2,
SUMIFS('Balancete MLN_WebPosto'!$J:$J,'Balancete MLN_WebPosto'!$C:$C,$A180,'Balancete MLN_WebPosto'!$B:$B,$B$2),
  "0"
)</f>
        <v>0</v>
      </c>
      <c r="N180" s="4" t="str">
        <f>IF(Balancete_Oficial[[#Headers],[Maio]]='Balancete MLN_WebPosto'!$G$2,
SUMIFS('Balancete MLN_WebPosto'!$I:$I,'Balancete MLN_WebPosto'!$C:$C,$A180,'Balancete MLN_WebPosto'!$B:$B,$B$2),
  "0"
)</f>
        <v>0</v>
      </c>
      <c r="O180" s="4" t="str">
        <f>IF(Balancete_Oficial[[#Headers],[Junho]]='Balancete MLN_WebPosto'!$G$2,
SUMIFS('Balancete MLN_WebPosto'!$I:$I,'Balancete MLN_WebPosto'!$C:$C,$A180,'Balancete MLN_WebPosto'!$B:$B,$B$2),
  "0"
)</f>
        <v>0</v>
      </c>
      <c r="P180" s="4" t="str">
        <f>IF(Balancete_Oficial[[#Headers],[Julho]]='Balancete MLN_WebPosto'!$G$2,
SUMIFS('Balancete MLN_WebPosto'!$I:$I,'Balancete MLN_WebPosto'!$C:$C,$A180,'Balancete MLN_WebPosto'!$B:$B,$B$2),
  "0"
)</f>
        <v>0</v>
      </c>
      <c r="Q180" s="4" t="str">
        <f>IF(Balancete_Oficial[[#Headers],[Agosto]]='Balancete MLN_WebPosto'!$G$2,
SUMIFS('Balancete MLN_WebPosto'!$I:$I,'Balancete MLN_WebPosto'!$C:$C,$A180,'Balancete MLN_WebPosto'!$B:$B,$B$2),
  "0"
)</f>
        <v>0</v>
      </c>
      <c r="R180" s="4">
        <f>IF(Balancete_Oficial[[#Headers],[Setembro]]='Balancete MLN_WebPosto'!$G$2,
SUMIFS('Balancete MLN_WebPosto'!$I:$I,'Balancete MLN_WebPosto'!$C:$C,$A180,'Balancete MLN_WebPosto'!$B:$B,$B$2),
  "0"
)</f>
        <v>0</v>
      </c>
      <c r="S180" s="4" t="str">
        <f>IF(Balancete_Oficial[[#Headers],[Outubro]]='Balancete MLN_WebPosto'!$G$2,
SUMIFS('Balancete MLN_WebPosto'!$I:$I,'Balancete MLN_WebPosto'!$C:$C,$A180,'Balancete MLN_WebPosto'!$B:$B,$B$2),
  "0"
)</f>
        <v>0</v>
      </c>
      <c r="T180" s="4" t="str">
        <f>IF(Balancete_Oficial[[#Headers],[Novembro]]='Balancete MLN_WebPosto'!$G$2,
SUMIFS('Balancete MLN_WebPosto'!$I:$I,'Balancete MLN_WebPosto'!$C:$C,$A180,'Balancete MLN_WebPosto'!$B:$B,$B$2),
  "0"
)</f>
        <v>0</v>
      </c>
      <c r="U180" s="4" t="str">
        <f>IF(Balancete_Oficial[[#Headers],[Dezembro]]='Balancete MLN_WebPosto'!$G$2,
SUMIFS('Balancete MLN_WebPosto'!$I:$I,'Balancete MLN_WebPosto'!$C:$C,$A180,'Balancete MLN_WebPosto'!$B:$B,$B$2),
  "0"
)</f>
        <v>0</v>
      </c>
    </row>
    <row r="181" spans="1:21" x14ac:dyDescent="0.25">
      <c r="A181" s="2" t="str">
        <f>IF(Dados!H178="","",Dados!H178)</f>
        <v/>
      </c>
      <c r="B181" s="2" t="e">
        <f>VLOOKUP(Balancete_Oficial[[#This Row],[Conta]],'Balancete MLN_WebPosto'!C:E,3,0)</f>
        <v>#N/A</v>
      </c>
      <c r="C181" s="3" t="str">
        <f t="shared" si="9"/>
        <v>Sintética</v>
      </c>
      <c r="D181" s="6" t="str">
        <f t="shared" si="10"/>
        <v>R</v>
      </c>
      <c r="E181" s="6" t="str">
        <f t="shared" si="11"/>
        <v/>
      </c>
      <c r="F181" s="6"/>
      <c r="G181" s="6"/>
      <c r="H181" s="6"/>
      <c r="I181" s="6"/>
      <c r="J181" s="4" t="str">
        <f>IF(Balancete_Oficial[[#Headers],[Janeiro]]='Balancete MLN_WebPosto'!$G$2,
SUMIFS('Balancete MLN_WebPosto'!$J:$J,'Balancete MLN_WebPosto'!$C:$C,$A181,'Balancete MLN_WebPosto'!$B:$B,$B$2),
  "0"
)</f>
        <v>0</v>
      </c>
      <c r="K181" s="4" t="str">
        <f>IF(Balancete_Oficial[[#Headers],[Fevereiro]]='Balancete MLN_WebPosto'!$G$2,
SUMIFS('Balancete MLN_WebPosto'!$J:$J,'Balancete MLN_WebPosto'!$C:$C,$A181,'Balancete MLN_WebPosto'!$B:$B,$B$2),
  "0"
)</f>
        <v>0</v>
      </c>
      <c r="L181" s="4" t="str">
        <f>IF(Balancete_Oficial[[#Headers],[Março]]='Balancete MLN_WebPosto'!$G$2,
SUMIFS('Balancete MLN_WebPosto'!$J:$J,'Balancete MLN_WebPosto'!$C:$C,$A181,'Balancete MLN_WebPosto'!$B:$B,$B$2),
  "0"
)</f>
        <v>0</v>
      </c>
      <c r="M181" s="4" t="str">
        <f>IF(Balancete_Oficial[[#Headers],[Abril]]='Balancete MLN_WebPosto'!$G$2,
SUMIFS('Balancete MLN_WebPosto'!$J:$J,'Balancete MLN_WebPosto'!$C:$C,$A181,'Balancete MLN_WebPosto'!$B:$B,$B$2),
  "0"
)</f>
        <v>0</v>
      </c>
      <c r="N181" s="4" t="str">
        <f>IF(Balancete_Oficial[[#Headers],[Maio]]='Balancete MLN_WebPosto'!$G$2,
SUMIFS('Balancete MLN_WebPosto'!$I:$I,'Balancete MLN_WebPosto'!$C:$C,$A181,'Balancete MLN_WebPosto'!$B:$B,$B$2),
  "0"
)</f>
        <v>0</v>
      </c>
      <c r="O181" s="4" t="str">
        <f>IF(Balancete_Oficial[[#Headers],[Junho]]='Balancete MLN_WebPosto'!$G$2,
SUMIFS('Balancete MLN_WebPosto'!$I:$I,'Balancete MLN_WebPosto'!$C:$C,$A181,'Balancete MLN_WebPosto'!$B:$B,$B$2),
  "0"
)</f>
        <v>0</v>
      </c>
      <c r="P181" s="4" t="str">
        <f>IF(Balancete_Oficial[[#Headers],[Julho]]='Balancete MLN_WebPosto'!$G$2,
SUMIFS('Balancete MLN_WebPosto'!$I:$I,'Balancete MLN_WebPosto'!$C:$C,$A181,'Balancete MLN_WebPosto'!$B:$B,$B$2),
  "0"
)</f>
        <v>0</v>
      </c>
      <c r="Q181" s="4" t="str">
        <f>IF(Balancete_Oficial[[#Headers],[Agosto]]='Balancete MLN_WebPosto'!$G$2,
SUMIFS('Balancete MLN_WebPosto'!$I:$I,'Balancete MLN_WebPosto'!$C:$C,$A181,'Balancete MLN_WebPosto'!$B:$B,$B$2),
  "0"
)</f>
        <v>0</v>
      </c>
      <c r="R181" s="4">
        <f>IF(Balancete_Oficial[[#Headers],[Setembro]]='Balancete MLN_WebPosto'!$G$2,
SUMIFS('Balancete MLN_WebPosto'!$I:$I,'Balancete MLN_WebPosto'!$C:$C,$A181,'Balancete MLN_WebPosto'!$B:$B,$B$2),
  "0"
)</f>
        <v>0</v>
      </c>
      <c r="S181" s="4" t="str">
        <f>IF(Balancete_Oficial[[#Headers],[Outubro]]='Balancete MLN_WebPosto'!$G$2,
SUMIFS('Balancete MLN_WebPosto'!$I:$I,'Balancete MLN_WebPosto'!$C:$C,$A181,'Balancete MLN_WebPosto'!$B:$B,$B$2),
  "0"
)</f>
        <v>0</v>
      </c>
      <c r="T181" s="4" t="str">
        <f>IF(Balancete_Oficial[[#Headers],[Novembro]]='Balancete MLN_WebPosto'!$G$2,
SUMIFS('Balancete MLN_WebPosto'!$I:$I,'Balancete MLN_WebPosto'!$C:$C,$A181,'Balancete MLN_WebPosto'!$B:$B,$B$2),
  "0"
)</f>
        <v>0</v>
      </c>
      <c r="U181" s="4" t="str">
        <f>IF(Balancete_Oficial[[#Headers],[Dezembro]]='Balancete MLN_WebPosto'!$G$2,
SUMIFS('Balancete MLN_WebPosto'!$I:$I,'Balancete MLN_WebPosto'!$C:$C,$A181,'Balancete MLN_WebPosto'!$B:$B,$B$2),
  "0"
)</f>
        <v>0</v>
      </c>
    </row>
    <row r="182" spans="1:21" x14ac:dyDescent="0.25">
      <c r="A182" s="2" t="str">
        <f>IF(Dados!H179="","",Dados!H179)</f>
        <v/>
      </c>
      <c r="B182" s="2" t="e">
        <f>VLOOKUP(Balancete_Oficial[[#This Row],[Conta]],'Balancete MLN_WebPosto'!C:E,3,0)</f>
        <v>#N/A</v>
      </c>
      <c r="C182" s="3" t="str">
        <f t="shared" si="9"/>
        <v>Sintética</v>
      </c>
      <c r="D182" s="6" t="str">
        <f t="shared" si="10"/>
        <v>R</v>
      </c>
      <c r="E182" s="6" t="str">
        <f t="shared" si="11"/>
        <v/>
      </c>
      <c r="F182" s="6"/>
      <c r="G182" s="6"/>
      <c r="H182" s="6"/>
      <c r="I182" s="6"/>
      <c r="J182" s="4" t="str">
        <f>IF(Balancete_Oficial[[#Headers],[Janeiro]]='Balancete MLN_WebPosto'!$G$2,
SUMIFS('Balancete MLN_WebPosto'!$J:$J,'Balancete MLN_WebPosto'!$C:$C,$A182,'Balancete MLN_WebPosto'!$B:$B,$B$2),
  "0"
)</f>
        <v>0</v>
      </c>
      <c r="K182" s="4" t="str">
        <f>IF(Balancete_Oficial[[#Headers],[Fevereiro]]='Balancete MLN_WebPosto'!$G$2,
SUMIFS('Balancete MLN_WebPosto'!$J:$J,'Balancete MLN_WebPosto'!$C:$C,$A182,'Balancete MLN_WebPosto'!$B:$B,$B$2),
  "0"
)</f>
        <v>0</v>
      </c>
      <c r="L182" s="4" t="str">
        <f>IF(Balancete_Oficial[[#Headers],[Março]]='Balancete MLN_WebPosto'!$G$2,
SUMIFS('Balancete MLN_WebPosto'!$J:$J,'Balancete MLN_WebPosto'!$C:$C,$A182,'Balancete MLN_WebPosto'!$B:$B,$B$2),
  "0"
)</f>
        <v>0</v>
      </c>
      <c r="M182" s="4" t="str">
        <f>IF(Balancete_Oficial[[#Headers],[Abril]]='Balancete MLN_WebPosto'!$G$2,
SUMIFS('Balancete MLN_WebPosto'!$J:$J,'Balancete MLN_WebPosto'!$C:$C,$A182,'Balancete MLN_WebPosto'!$B:$B,$B$2),
  "0"
)</f>
        <v>0</v>
      </c>
      <c r="N182" s="4" t="str">
        <f>IF(Balancete_Oficial[[#Headers],[Maio]]='Balancete MLN_WebPosto'!$G$2,
SUMIFS('Balancete MLN_WebPosto'!$I:$I,'Balancete MLN_WebPosto'!$C:$C,$A182,'Balancete MLN_WebPosto'!$B:$B,$B$2),
  "0"
)</f>
        <v>0</v>
      </c>
      <c r="O182" s="4" t="str">
        <f>IF(Balancete_Oficial[[#Headers],[Junho]]='Balancete MLN_WebPosto'!$G$2,
SUMIFS('Balancete MLN_WebPosto'!$I:$I,'Balancete MLN_WebPosto'!$C:$C,$A182,'Balancete MLN_WebPosto'!$B:$B,$B$2),
  "0"
)</f>
        <v>0</v>
      </c>
      <c r="P182" s="4" t="str">
        <f>IF(Balancete_Oficial[[#Headers],[Julho]]='Balancete MLN_WebPosto'!$G$2,
SUMIFS('Balancete MLN_WebPosto'!$I:$I,'Balancete MLN_WebPosto'!$C:$C,$A182,'Balancete MLN_WebPosto'!$B:$B,$B$2),
  "0"
)</f>
        <v>0</v>
      </c>
      <c r="Q182" s="4" t="str">
        <f>IF(Balancete_Oficial[[#Headers],[Agosto]]='Balancete MLN_WebPosto'!$G$2,
SUMIFS('Balancete MLN_WebPosto'!$I:$I,'Balancete MLN_WebPosto'!$C:$C,$A182,'Balancete MLN_WebPosto'!$B:$B,$B$2),
  "0"
)</f>
        <v>0</v>
      </c>
      <c r="R182" s="4">
        <f>IF(Balancete_Oficial[[#Headers],[Setembro]]='Balancete MLN_WebPosto'!$G$2,
SUMIFS('Balancete MLN_WebPosto'!$I:$I,'Balancete MLN_WebPosto'!$C:$C,$A182,'Balancete MLN_WebPosto'!$B:$B,$B$2),
  "0"
)</f>
        <v>0</v>
      </c>
      <c r="S182" s="4" t="str">
        <f>IF(Balancete_Oficial[[#Headers],[Outubro]]='Balancete MLN_WebPosto'!$G$2,
SUMIFS('Balancete MLN_WebPosto'!$I:$I,'Balancete MLN_WebPosto'!$C:$C,$A182,'Balancete MLN_WebPosto'!$B:$B,$B$2),
  "0"
)</f>
        <v>0</v>
      </c>
      <c r="T182" s="4" t="str">
        <f>IF(Balancete_Oficial[[#Headers],[Novembro]]='Balancete MLN_WebPosto'!$G$2,
SUMIFS('Balancete MLN_WebPosto'!$I:$I,'Balancete MLN_WebPosto'!$C:$C,$A182,'Balancete MLN_WebPosto'!$B:$B,$B$2),
  "0"
)</f>
        <v>0</v>
      </c>
      <c r="U182" s="4" t="str">
        <f>IF(Balancete_Oficial[[#Headers],[Dezembro]]='Balancete MLN_WebPosto'!$G$2,
SUMIFS('Balancete MLN_WebPosto'!$I:$I,'Balancete MLN_WebPosto'!$C:$C,$A182,'Balancete MLN_WebPosto'!$B:$B,$B$2),
  "0"
)</f>
        <v>0</v>
      </c>
    </row>
    <row r="183" spans="1:21" x14ac:dyDescent="0.25">
      <c r="A183" s="2" t="str">
        <f>IF(Dados!H180="","",Dados!H180)</f>
        <v/>
      </c>
      <c r="B183" s="2" t="e">
        <f>VLOOKUP(Balancete_Oficial[[#This Row],[Conta]],'Balancete MLN_WebPosto'!C:E,3,0)</f>
        <v>#N/A</v>
      </c>
      <c r="C183" s="3" t="str">
        <f t="shared" si="9"/>
        <v>Sintética</v>
      </c>
      <c r="D183" s="6" t="str">
        <f t="shared" si="10"/>
        <v>R</v>
      </c>
      <c r="E183" s="6" t="str">
        <f t="shared" si="11"/>
        <v/>
      </c>
      <c r="F183" s="6"/>
      <c r="G183" s="6"/>
      <c r="H183" s="6"/>
      <c r="I183" s="6"/>
      <c r="J183" s="4" t="str">
        <f>IF(Balancete_Oficial[[#Headers],[Janeiro]]='Balancete MLN_WebPosto'!$G$2,
SUMIFS('Balancete MLN_WebPosto'!$J:$J,'Balancete MLN_WebPosto'!$C:$C,$A183,'Balancete MLN_WebPosto'!$B:$B,$B$2),
  "0"
)</f>
        <v>0</v>
      </c>
      <c r="K183" s="4" t="str">
        <f>IF(Balancete_Oficial[[#Headers],[Fevereiro]]='Balancete MLN_WebPosto'!$G$2,
SUMIFS('Balancete MLN_WebPosto'!$J:$J,'Balancete MLN_WebPosto'!$C:$C,$A183,'Balancete MLN_WebPosto'!$B:$B,$B$2),
  "0"
)</f>
        <v>0</v>
      </c>
      <c r="L183" s="4" t="str">
        <f>IF(Balancete_Oficial[[#Headers],[Março]]='Balancete MLN_WebPosto'!$G$2,
SUMIFS('Balancete MLN_WebPosto'!$J:$J,'Balancete MLN_WebPosto'!$C:$C,$A183,'Balancete MLN_WebPosto'!$B:$B,$B$2),
  "0"
)</f>
        <v>0</v>
      </c>
      <c r="M183" s="4" t="str">
        <f>IF(Balancete_Oficial[[#Headers],[Abril]]='Balancete MLN_WebPosto'!$G$2,
SUMIFS('Balancete MLN_WebPosto'!$J:$J,'Balancete MLN_WebPosto'!$C:$C,$A183,'Balancete MLN_WebPosto'!$B:$B,$B$2),
  "0"
)</f>
        <v>0</v>
      </c>
      <c r="N183" s="4" t="str">
        <f>IF(Balancete_Oficial[[#Headers],[Maio]]='Balancete MLN_WebPosto'!$G$2,
SUMIFS('Balancete MLN_WebPosto'!$I:$I,'Balancete MLN_WebPosto'!$C:$C,$A183,'Balancete MLN_WebPosto'!$B:$B,$B$2),
  "0"
)</f>
        <v>0</v>
      </c>
      <c r="O183" s="4" t="str">
        <f>IF(Balancete_Oficial[[#Headers],[Junho]]='Balancete MLN_WebPosto'!$G$2,
SUMIFS('Balancete MLN_WebPosto'!$I:$I,'Balancete MLN_WebPosto'!$C:$C,$A183,'Balancete MLN_WebPosto'!$B:$B,$B$2),
  "0"
)</f>
        <v>0</v>
      </c>
      <c r="P183" s="4" t="str">
        <f>IF(Balancete_Oficial[[#Headers],[Julho]]='Balancete MLN_WebPosto'!$G$2,
SUMIFS('Balancete MLN_WebPosto'!$I:$I,'Balancete MLN_WebPosto'!$C:$C,$A183,'Balancete MLN_WebPosto'!$B:$B,$B$2),
  "0"
)</f>
        <v>0</v>
      </c>
      <c r="Q183" s="4" t="str">
        <f>IF(Balancete_Oficial[[#Headers],[Agosto]]='Balancete MLN_WebPosto'!$G$2,
SUMIFS('Balancete MLN_WebPosto'!$I:$I,'Balancete MLN_WebPosto'!$C:$C,$A183,'Balancete MLN_WebPosto'!$B:$B,$B$2),
  "0"
)</f>
        <v>0</v>
      </c>
      <c r="R183" s="4">
        <f>IF(Balancete_Oficial[[#Headers],[Setembro]]='Balancete MLN_WebPosto'!$G$2,
SUMIFS('Balancete MLN_WebPosto'!$I:$I,'Balancete MLN_WebPosto'!$C:$C,$A183,'Balancete MLN_WebPosto'!$B:$B,$B$2),
  "0"
)</f>
        <v>0</v>
      </c>
      <c r="S183" s="4" t="str">
        <f>IF(Balancete_Oficial[[#Headers],[Outubro]]='Balancete MLN_WebPosto'!$G$2,
SUMIFS('Balancete MLN_WebPosto'!$I:$I,'Balancete MLN_WebPosto'!$C:$C,$A183,'Balancete MLN_WebPosto'!$B:$B,$B$2),
  "0"
)</f>
        <v>0</v>
      </c>
      <c r="T183" s="4" t="str">
        <f>IF(Balancete_Oficial[[#Headers],[Novembro]]='Balancete MLN_WebPosto'!$G$2,
SUMIFS('Balancete MLN_WebPosto'!$I:$I,'Balancete MLN_WebPosto'!$C:$C,$A183,'Balancete MLN_WebPosto'!$B:$B,$B$2),
  "0"
)</f>
        <v>0</v>
      </c>
      <c r="U183" s="4" t="str">
        <f>IF(Balancete_Oficial[[#Headers],[Dezembro]]='Balancete MLN_WebPosto'!$G$2,
SUMIFS('Balancete MLN_WebPosto'!$I:$I,'Balancete MLN_WebPosto'!$C:$C,$A183,'Balancete MLN_WebPosto'!$B:$B,$B$2),
  "0"
)</f>
        <v>0</v>
      </c>
    </row>
    <row r="184" spans="1:21" x14ac:dyDescent="0.25">
      <c r="A184" s="2" t="str">
        <f>IF(Dados!H181="","",Dados!H181)</f>
        <v/>
      </c>
      <c r="B184" s="2" t="e">
        <f>VLOOKUP(Balancete_Oficial[[#This Row],[Conta]],'Balancete MLN_WebPosto'!C:E,3,0)</f>
        <v>#N/A</v>
      </c>
      <c r="C184" s="3" t="str">
        <f t="shared" si="9"/>
        <v>Sintética</v>
      </c>
      <c r="D184" s="6" t="str">
        <f t="shared" si="10"/>
        <v>R</v>
      </c>
      <c r="E184" s="6" t="str">
        <f t="shared" si="11"/>
        <v/>
      </c>
      <c r="F184" s="6"/>
      <c r="G184" s="6"/>
      <c r="H184" s="6"/>
      <c r="I184" s="6"/>
      <c r="J184" s="4" t="str">
        <f>IF(Balancete_Oficial[[#Headers],[Janeiro]]='Balancete MLN_WebPosto'!$G$2,
SUMIFS('Balancete MLN_WebPosto'!$J:$J,'Balancete MLN_WebPosto'!$C:$C,$A184,'Balancete MLN_WebPosto'!$B:$B,$B$2),
  "0"
)</f>
        <v>0</v>
      </c>
      <c r="K184" s="4" t="str">
        <f>IF(Balancete_Oficial[[#Headers],[Fevereiro]]='Balancete MLN_WebPosto'!$G$2,
SUMIFS('Balancete MLN_WebPosto'!$J:$J,'Balancete MLN_WebPosto'!$C:$C,$A184,'Balancete MLN_WebPosto'!$B:$B,$B$2),
  "0"
)</f>
        <v>0</v>
      </c>
      <c r="L184" s="4" t="str">
        <f>IF(Balancete_Oficial[[#Headers],[Março]]='Balancete MLN_WebPosto'!$G$2,
SUMIFS('Balancete MLN_WebPosto'!$J:$J,'Balancete MLN_WebPosto'!$C:$C,$A184,'Balancete MLN_WebPosto'!$B:$B,$B$2),
  "0"
)</f>
        <v>0</v>
      </c>
      <c r="M184" s="4" t="str">
        <f>IF(Balancete_Oficial[[#Headers],[Abril]]='Balancete MLN_WebPosto'!$G$2,
SUMIFS('Balancete MLN_WebPosto'!$J:$J,'Balancete MLN_WebPosto'!$C:$C,$A184,'Balancete MLN_WebPosto'!$B:$B,$B$2),
  "0"
)</f>
        <v>0</v>
      </c>
      <c r="N184" s="4" t="str">
        <f>IF(Balancete_Oficial[[#Headers],[Maio]]='Balancete MLN_WebPosto'!$G$2,
SUMIFS('Balancete MLN_WebPosto'!$I:$I,'Balancete MLN_WebPosto'!$C:$C,$A184,'Balancete MLN_WebPosto'!$B:$B,$B$2),
  "0"
)</f>
        <v>0</v>
      </c>
      <c r="O184" s="4" t="str">
        <f>IF(Balancete_Oficial[[#Headers],[Junho]]='Balancete MLN_WebPosto'!$G$2,
SUMIFS('Balancete MLN_WebPosto'!$I:$I,'Balancete MLN_WebPosto'!$C:$C,$A184,'Balancete MLN_WebPosto'!$B:$B,$B$2),
  "0"
)</f>
        <v>0</v>
      </c>
      <c r="P184" s="4" t="str">
        <f>IF(Balancete_Oficial[[#Headers],[Julho]]='Balancete MLN_WebPosto'!$G$2,
SUMIFS('Balancete MLN_WebPosto'!$I:$I,'Balancete MLN_WebPosto'!$C:$C,$A184,'Balancete MLN_WebPosto'!$B:$B,$B$2),
  "0"
)</f>
        <v>0</v>
      </c>
      <c r="Q184" s="4" t="str">
        <f>IF(Balancete_Oficial[[#Headers],[Agosto]]='Balancete MLN_WebPosto'!$G$2,
SUMIFS('Balancete MLN_WebPosto'!$I:$I,'Balancete MLN_WebPosto'!$C:$C,$A184,'Balancete MLN_WebPosto'!$B:$B,$B$2),
  "0"
)</f>
        <v>0</v>
      </c>
      <c r="R184" s="4">
        <f>IF(Balancete_Oficial[[#Headers],[Setembro]]='Balancete MLN_WebPosto'!$G$2,
SUMIFS('Balancete MLN_WebPosto'!$I:$I,'Balancete MLN_WebPosto'!$C:$C,$A184,'Balancete MLN_WebPosto'!$B:$B,$B$2),
  "0"
)</f>
        <v>0</v>
      </c>
      <c r="S184" s="4" t="str">
        <f>IF(Balancete_Oficial[[#Headers],[Outubro]]='Balancete MLN_WebPosto'!$G$2,
SUMIFS('Balancete MLN_WebPosto'!$I:$I,'Balancete MLN_WebPosto'!$C:$C,$A184,'Balancete MLN_WebPosto'!$B:$B,$B$2),
  "0"
)</f>
        <v>0</v>
      </c>
      <c r="T184" s="4" t="str">
        <f>IF(Balancete_Oficial[[#Headers],[Novembro]]='Balancete MLN_WebPosto'!$G$2,
SUMIFS('Balancete MLN_WebPosto'!$I:$I,'Balancete MLN_WebPosto'!$C:$C,$A184,'Balancete MLN_WebPosto'!$B:$B,$B$2),
  "0"
)</f>
        <v>0</v>
      </c>
      <c r="U184" s="4" t="str">
        <f>IF(Balancete_Oficial[[#Headers],[Dezembro]]='Balancete MLN_WebPosto'!$G$2,
SUMIFS('Balancete MLN_WebPosto'!$I:$I,'Balancete MLN_WebPosto'!$C:$C,$A184,'Balancete MLN_WebPosto'!$B:$B,$B$2),
  "0"
)</f>
        <v>0</v>
      </c>
    </row>
    <row r="185" spans="1:21" x14ac:dyDescent="0.25">
      <c r="A185" s="2" t="str">
        <f>IF(Dados!H182="","",Dados!H182)</f>
        <v/>
      </c>
      <c r="B185" s="2" t="e">
        <f>VLOOKUP(Balancete_Oficial[[#This Row],[Conta]],'Balancete MLN_WebPosto'!C:E,3,0)</f>
        <v>#N/A</v>
      </c>
      <c r="C185" s="3" t="str">
        <f t="shared" si="9"/>
        <v>Sintética</v>
      </c>
      <c r="D185" s="6" t="str">
        <f t="shared" si="10"/>
        <v>R</v>
      </c>
      <c r="E185" s="6" t="str">
        <f t="shared" si="11"/>
        <v/>
      </c>
      <c r="F185" s="6"/>
      <c r="G185" s="6"/>
      <c r="H185" s="6"/>
      <c r="I185" s="6"/>
      <c r="J185" s="4" t="str">
        <f>IF(Balancete_Oficial[[#Headers],[Janeiro]]='Balancete MLN_WebPosto'!$G$2,
SUMIFS('Balancete MLN_WebPosto'!$J:$J,'Balancete MLN_WebPosto'!$C:$C,$A185,'Balancete MLN_WebPosto'!$B:$B,$B$2),
  "0"
)</f>
        <v>0</v>
      </c>
      <c r="K185" s="4" t="str">
        <f>IF(Balancete_Oficial[[#Headers],[Fevereiro]]='Balancete MLN_WebPosto'!$G$2,
SUMIFS('Balancete MLN_WebPosto'!$J:$J,'Balancete MLN_WebPosto'!$C:$C,$A185,'Balancete MLN_WebPosto'!$B:$B,$B$2),
  "0"
)</f>
        <v>0</v>
      </c>
      <c r="L185" s="4" t="str">
        <f>IF(Balancete_Oficial[[#Headers],[Março]]='Balancete MLN_WebPosto'!$G$2,
SUMIFS('Balancete MLN_WebPosto'!$J:$J,'Balancete MLN_WebPosto'!$C:$C,$A185,'Balancete MLN_WebPosto'!$B:$B,$B$2),
  "0"
)</f>
        <v>0</v>
      </c>
      <c r="M185" s="4" t="str">
        <f>IF(Balancete_Oficial[[#Headers],[Abril]]='Balancete MLN_WebPosto'!$G$2,
SUMIFS('Balancete MLN_WebPosto'!$J:$J,'Balancete MLN_WebPosto'!$C:$C,$A185,'Balancete MLN_WebPosto'!$B:$B,$B$2),
  "0"
)</f>
        <v>0</v>
      </c>
      <c r="N185" s="4" t="str">
        <f>IF(Balancete_Oficial[[#Headers],[Maio]]='Balancete MLN_WebPosto'!$G$2,
SUMIFS('Balancete MLN_WebPosto'!$I:$I,'Balancete MLN_WebPosto'!$C:$C,$A185,'Balancete MLN_WebPosto'!$B:$B,$B$2),
  "0"
)</f>
        <v>0</v>
      </c>
      <c r="O185" s="4" t="str">
        <f>IF(Balancete_Oficial[[#Headers],[Junho]]='Balancete MLN_WebPosto'!$G$2,
SUMIFS('Balancete MLN_WebPosto'!$I:$I,'Balancete MLN_WebPosto'!$C:$C,$A185,'Balancete MLN_WebPosto'!$B:$B,$B$2),
  "0"
)</f>
        <v>0</v>
      </c>
      <c r="P185" s="4" t="str">
        <f>IF(Balancete_Oficial[[#Headers],[Julho]]='Balancete MLN_WebPosto'!$G$2,
SUMIFS('Balancete MLN_WebPosto'!$I:$I,'Balancete MLN_WebPosto'!$C:$C,$A185,'Balancete MLN_WebPosto'!$B:$B,$B$2),
  "0"
)</f>
        <v>0</v>
      </c>
      <c r="Q185" s="4" t="str">
        <f>IF(Balancete_Oficial[[#Headers],[Agosto]]='Balancete MLN_WebPosto'!$G$2,
SUMIFS('Balancete MLN_WebPosto'!$I:$I,'Balancete MLN_WebPosto'!$C:$C,$A185,'Balancete MLN_WebPosto'!$B:$B,$B$2),
  "0"
)</f>
        <v>0</v>
      </c>
      <c r="R185" s="4">
        <f>IF(Balancete_Oficial[[#Headers],[Setembro]]='Balancete MLN_WebPosto'!$G$2,
SUMIFS('Balancete MLN_WebPosto'!$I:$I,'Balancete MLN_WebPosto'!$C:$C,$A185,'Balancete MLN_WebPosto'!$B:$B,$B$2),
  "0"
)</f>
        <v>0</v>
      </c>
      <c r="S185" s="4" t="str">
        <f>IF(Balancete_Oficial[[#Headers],[Outubro]]='Balancete MLN_WebPosto'!$G$2,
SUMIFS('Balancete MLN_WebPosto'!$I:$I,'Balancete MLN_WebPosto'!$C:$C,$A185,'Balancete MLN_WebPosto'!$B:$B,$B$2),
  "0"
)</f>
        <v>0</v>
      </c>
      <c r="T185" s="4" t="str">
        <f>IF(Balancete_Oficial[[#Headers],[Novembro]]='Balancete MLN_WebPosto'!$G$2,
SUMIFS('Balancete MLN_WebPosto'!$I:$I,'Balancete MLN_WebPosto'!$C:$C,$A185,'Balancete MLN_WebPosto'!$B:$B,$B$2),
  "0"
)</f>
        <v>0</v>
      </c>
      <c r="U185" s="4" t="str">
        <f>IF(Balancete_Oficial[[#Headers],[Dezembro]]='Balancete MLN_WebPosto'!$G$2,
SUMIFS('Balancete MLN_WebPosto'!$I:$I,'Balancete MLN_WebPosto'!$C:$C,$A185,'Balancete MLN_WebPosto'!$B:$B,$B$2),
  "0"
)</f>
        <v>0</v>
      </c>
    </row>
    <row r="186" spans="1:21" x14ac:dyDescent="0.25">
      <c r="A186" s="2" t="str">
        <f>IF(Dados!H183="","",Dados!H183)</f>
        <v/>
      </c>
      <c r="B186" s="2" t="e">
        <f>VLOOKUP(Balancete_Oficial[[#This Row],[Conta]],'Balancete MLN_WebPosto'!C:E,3,0)</f>
        <v>#N/A</v>
      </c>
      <c r="C186" s="3" t="str">
        <f t="shared" si="9"/>
        <v>Sintética</v>
      </c>
      <c r="D186" s="6" t="str">
        <f t="shared" si="10"/>
        <v>R</v>
      </c>
      <c r="E186" s="6" t="str">
        <f t="shared" si="11"/>
        <v/>
      </c>
      <c r="F186" s="6"/>
      <c r="G186" s="6"/>
      <c r="H186" s="6"/>
      <c r="I186" s="6"/>
      <c r="J186" s="4" t="str">
        <f>IF(Balancete_Oficial[[#Headers],[Janeiro]]='Balancete MLN_WebPosto'!$G$2,
SUMIFS('Balancete MLN_WebPosto'!$J:$J,'Balancete MLN_WebPosto'!$C:$C,$A186,'Balancete MLN_WebPosto'!$B:$B,$B$2),
  "0"
)</f>
        <v>0</v>
      </c>
      <c r="K186" s="4" t="str">
        <f>IF(Balancete_Oficial[[#Headers],[Fevereiro]]='Balancete MLN_WebPosto'!$G$2,
SUMIFS('Balancete MLN_WebPosto'!$J:$J,'Balancete MLN_WebPosto'!$C:$C,$A186,'Balancete MLN_WebPosto'!$B:$B,$B$2),
  "0"
)</f>
        <v>0</v>
      </c>
      <c r="L186" s="4" t="str">
        <f>IF(Balancete_Oficial[[#Headers],[Março]]='Balancete MLN_WebPosto'!$G$2,
SUMIFS('Balancete MLN_WebPosto'!$J:$J,'Balancete MLN_WebPosto'!$C:$C,$A186,'Balancete MLN_WebPosto'!$B:$B,$B$2),
  "0"
)</f>
        <v>0</v>
      </c>
      <c r="M186" s="4" t="str">
        <f>IF(Balancete_Oficial[[#Headers],[Abril]]='Balancete MLN_WebPosto'!$G$2,
SUMIFS('Balancete MLN_WebPosto'!$J:$J,'Balancete MLN_WebPosto'!$C:$C,$A186,'Balancete MLN_WebPosto'!$B:$B,$B$2),
  "0"
)</f>
        <v>0</v>
      </c>
      <c r="N186" s="4" t="str">
        <f>IF(Balancete_Oficial[[#Headers],[Maio]]='Balancete MLN_WebPosto'!$G$2,
SUMIFS('Balancete MLN_WebPosto'!$I:$I,'Balancete MLN_WebPosto'!$C:$C,$A186,'Balancete MLN_WebPosto'!$B:$B,$B$2),
  "0"
)</f>
        <v>0</v>
      </c>
      <c r="O186" s="4" t="str">
        <f>IF(Balancete_Oficial[[#Headers],[Junho]]='Balancete MLN_WebPosto'!$G$2,
SUMIFS('Balancete MLN_WebPosto'!$I:$I,'Balancete MLN_WebPosto'!$C:$C,$A186,'Balancete MLN_WebPosto'!$B:$B,$B$2),
  "0"
)</f>
        <v>0</v>
      </c>
      <c r="P186" s="4" t="str">
        <f>IF(Balancete_Oficial[[#Headers],[Julho]]='Balancete MLN_WebPosto'!$G$2,
SUMIFS('Balancete MLN_WebPosto'!$I:$I,'Balancete MLN_WebPosto'!$C:$C,$A186,'Balancete MLN_WebPosto'!$B:$B,$B$2),
  "0"
)</f>
        <v>0</v>
      </c>
      <c r="Q186" s="4" t="str">
        <f>IF(Balancete_Oficial[[#Headers],[Agosto]]='Balancete MLN_WebPosto'!$G$2,
SUMIFS('Balancete MLN_WebPosto'!$I:$I,'Balancete MLN_WebPosto'!$C:$C,$A186,'Balancete MLN_WebPosto'!$B:$B,$B$2),
  "0"
)</f>
        <v>0</v>
      </c>
      <c r="R186" s="4">
        <f>IF(Balancete_Oficial[[#Headers],[Setembro]]='Balancete MLN_WebPosto'!$G$2,
SUMIFS('Balancete MLN_WebPosto'!$I:$I,'Balancete MLN_WebPosto'!$C:$C,$A186,'Balancete MLN_WebPosto'!$B:$B,$B$2),
  "0"
)</f>
        <v>0</v>
      </c>
      <c r="S186" s="4" t="str">
        <f>IF(Balancete_Oficial[[#Headers],[Outubro]]='Balancete MLN_WebPosto'!$G$2,
SUMIFS('Balancete MLN_WebPosto'!$I:$I,'Balancete MLN_WebPosto'!$C:$C,$A186,'Balancete MLN_WebPosto'!$B:$B,$B$2),
  "0"
)</f>
        <v>0</v>
      </c>
      <c r="T186" s="4" t="str">
        <f>IF(Balancete_Oficial[[#Headers],[Novembro]]='Balancete MLN_WebPosto'!$G$2,
SUMIFS('Balancete MLN_WebPosto'!$I:$I,'Balancete MLN_WebPosto'!$C:$C,$A186,'Balancete MLN_WebPosto'!$B:$B,$B$2),
  "0"
)</f>
        <v>0</v>
      </c>
      <c r="U186" s="4" t="str">
        <f>IF(Balancete_Oficial[[#Headers],[Dezembro]]='Balancete MLN_WebPosto'!$G$2,
SUMIFS('Balancete MLN_WebPosto'!$I:$I,'Balancete MLN_WebPosto'!$C:$C,$A186,'Balancete MLN_WebPosto'!$B:$B,$B$2),
  "0"
)</f>
        <v>0</v>
      </c>
    </row>
    <row r="187" spans="1:21" x14ac:dyDescent="0.25">
      <c r="A187" s="2" t="str">
        <f>IF(Dados!H184="","",Dados!H184)</f>
        <v/>
      </c>
      <c r="B187" s="2" t="e">
        <f>VLOOKUP(Balancete_Oficial[[#This Row],[Conta]],'Balancete MLN_WebPosto'!C:E,3,0)</f>
        <v>#N/A</v>
      </c>
      <c r="C187" s="3" t="str">
        <f t="shared" si="9"/>
        <v>Sintética</v>
      </c>
      <c r="D187" s="6" t="str">
        <f t="shared" si="10"/>
        <v>R</v>
      </c>
      <c r="E187" s="6" t="str">
        <f t="shared" si="11"/>
        <v/>
      </c>
      <c r="F187" s="6"/>
      <c r="G187" s="6"/>
      <c r="H187" s="6"/>
      <c r="I187" s="6"/>
      <c r="J187" s="4" t="str">
        <f>IF(Balancete_Oficial[[#Headers],[Janeiro]]='Balancete MLN_WebPosto'!$G$2,
SUMIFS('Balancete MLN_WebPosto'!$J:$J,'Balancete MLN_WebPosto'!$C:$C,$A187,'Balancete MLN_WebPosto'!$B:$B,$B$2),
  "0"
)</f>
        <v>0</v>
      </c>
      <c r="K187" s="4" t="str">
        <f>IF(Balancete_Oficial[[#Headers],[Fevereiro]]='Balancete MLN_WebPosto'!$G$2,
SUMIFS('Balancete MLN_WebPosto'!$J:$J,'Balancete MLN_WebPosto'!$C:$C,$A187,'Balancete MLN_WebPosto'!$B:$B,$B$2),
  "0"
)</f>
        <v>0</v>
      </c>
      <c r="L187" s="4" t="str">
        <f>IF(Balancete_Oficial[[#Headers],[Março]]='Balancete MLN_WebPosto'!$G$2,
SUMIFS('Balancete MLN_WebPosto'!$J:$J,'Balancete MLN_WebPosto'!$C:$C,$A187,'Balancete MLN_WebPosto'!$B:$B,$B$2),
  "0"
)</f>
        <v>0</v>
      </c>
      <c r="M187" s="4" t="str">
        <f>IF(Balancete_Oficial[[#Headers],[Abril]]='Balancete MLN_WebPosto'!$G$2,
SUMIFS('Balancete MLN_WebPosto'!$J:$J,'Balancete MLN_WebPosto'!$C:$C,$A187,'Balancete MLN_WebPosto'!$B:$B,$B$2),
  "0"
)</f>
        <v>0</v>
      </c>
      <c r="N187" s="4" t="str">
        <f>IF(Balancete_Oficial[[#Headers],[Maio]]='Balancete MLN_WebPosto'!$G$2,
SUMIFS('Balancete MLN_WebPosto'!$I:$I,'Balancete MLN_WebPosto'!$C:$C,$A187,'Balancete MLN_WebPosto'!$B:$B,$B$2),
  "0"
)</f>
        <v>0</v>
      </c>
      <c r="O187" s="4" t="str">
        <f>IF(Balancete_Oficial[[#Headers],[Junho]]='Balancete MLN_WebPosto'!$G$2,
SUMIFS('Balancete MLN_WebPosto'!$I:$I,'Balancete MLN_WebPosto'!$C:$C,$A187,'Balancete MLN_WebPosto'!$B:$B,$B$2),
  "0"
)</f>
        <v>0</v>
      </c>
      <c r="P187" s="4" t="str">
        <f>IF(Balancete_Oficial[[#Headers],[Julho]]='Balancete MLN_WebPosto'!$G$2,
SUMIFS('Balancete MLN_WebPosto'!$I:$I,'Balancete MLN_WebPosto'!$C:$C,$A187,'Balancete MLN_WebPosto'!$B:$B,$B$2),
  "0"
)</f>
        <v>0</v>
      </c>
      <c r="Q187" s="4" t="str">
        <f>IF(Balancete_Oficial[[#Headers],[Agosto]]='Balancete MLN_WebPosto'!$G$2,
SUMIFS('Balancete MLN_WebPosto'!$I:$I,'Balancete MLN_WebPosto'!$C:$C,$A187,'Balancete MLN_WebPosto'!$B:$B,$B$2),
  "0"
)</f>
        <v>0</v>
      </c>
      <c r="R187" s="4">
        <f>IF(Balancete_Oficial[[#Headers],[Setembro]]='Balancete MLN_WebPosto'!$G$2,
SUMIFS('Balancete MLN_WebPosto'!$I:$I,'Balancete MLN_WebPosto'!$C:$C,$A187,'Balancete MLN_WebPosto'!$B:$B,$B$2),
  "0"
)</f>
        <v>0</v>
      </c>
      <c r="S187" s="4" t="str">
        <f>IF(Balancete_Oficial[[#Headers],[Outubro]]='Balancete MLN_WebPosto'!$G$2,
SUMIFS('Balancete MLN_WebPosto'!$I:$I,'Balancete MLN_WebPosto'!$C:$C,$A187,'Balancete MLN_WebPosto'!$B:$B,$B$2),
  "0"
)</f>
        <v>0</v>
      </c>
      <c r="T187" s="4" t="str">
        <f>IF(Balancete_Oficial[[#Headers],[Novembro]]='Balancete MLN_WebPosto'!$G$2,
SUMIFS('Balancete MLN_WebPosto'!$I:$I,'Balancete MLN_WebPosto'!$C:$C,$A187,'Balancete MLN_WebPosto'!$B:$B,$B$2),
  "0"
)</f>
        <v>0</v>
      </c>
      <c r="U187" s="4" t="str">
        <f>IF(Balancete_Oficial[[#Headers],[Dezembro]]='Balancete MLN_WebPosto'!$G$2,
SUMIFS('Balancete MLN_WebPosto'!$I:$I,'Balancete MLN_WebPosto'!$C:$C,$A187,'Balancete MLN_WebPosto'!$B:$B,$B$2),
  "0"
)</f>
        <v>0</v>
      </c>
    </row>
    <row r="188" spans="1:21" x14ac:dyDescent="0.25">
      <c r="A188" s="2" t="str">
        <f>IF(Dados!H185="","",Dados!H185)</f>
        <v/>
      </c>
      <c r="B188" s="2" t="e">
        <f>VLOOKUP(Balancete_Oficial[[#This Row],[Conta]],'Balancete MLN_WebPosto'!C:E,3,0)</f>
        <v>#N/A</v>
      </c>
      <c r="C188" s="3" t="str">
        <f t="shared" si="9"/>
        <v>Sintética</v>
      </c>
      <c r="D188" s="6" t="str">
        <f t="shared" si="10"/>
        <v>R</v>
      </c>
      <c r="E188" s="6" t="str">
        <f t="shared" si="11"/>
        <v/>
      </c>
      <c r="F188" s="6"/>
      <c r="G188" s="6"/>
      <c r="H188" s="6"/>
      <c r="I188" s="6"/>
      <c r="J188" s="4" t="str">
        <f>IF(Balancete_Oficial[[#Headers],[Janeiro]]='Balancete MLN_WebPosto'!$G$2,
SUMIFS('Balancete MLN_WebPosto'!$J:$J,'Balancete MLN_WebPosto'!$C:$C,$A188,'Balancete MLN_WebPosto'!$B:$B,$B$2),
  "0"
)</f>
        <v>0</v>
      </c>
      <c r="K188" s="4" t="str">
        <f>IF(Balancete_Oficial[[#Headers],[Fevereiro]]='Balancete MLN_WebPosto'!$G$2,
SUMIFS('Balancete MLN_WebPosto'!$J:$J,'Balancete MLN_WebPosto'!$C:$C,$A188,'Balancete MLN_WebPosto'!$B:$B,$B$2),
  "0"
)</f>
        <v>0</v>
      </c>
      <c r="L188" s="4" t="str">
        <f>IF(Balancete_Oficial[[#Headers],[Março]]='Balancete MLN_WebPosto'!$G$2,
SUMIFS('Balancete MLN_WebPosto'!$J:$J,'Balancete MLN_WebPosto'!$C:$C,$A188,'Balancete MLN_WebPosto'!$B:$B,$B$2),
  "0"
)</f>
        <v>0</v>
      </c>
      <c r="M188" s="4" t="str">
        <f>IF(Balancete_Oficial[[#Headers],[Abril]]='Balancete MLN_WebPosto'!$G$2,
SUMIFS('Balancete MLN_WebPosto'!$J:$J,'Balancete MLN_WebPosto'!$C:$C,$A188,'Balancete MLN_WebPosto'!$B:$B,$B$2),
  "0"
)</f>
        <v>0</v>
      </c>
      <c r="N188" s="4" t="str">
        <f>IF(Balancete_Oficial[[#Headers],[Maio]]='Balancete MLN_WebPosto'!$G$2,
SUMIFS('Balancete MLN_WebPosto'!$I:$I,'Balancete MLN_WebPosto'!$C:$C,$A188,'Balancete MLN_WebPosto'!$B:$B,$B$2),
  "0"
)</f>
        <v>0</v>
      </c>
      <c r="O188" s="4" t="str">
        <f>IF(Balancete_Oficial[[#Headers],[Junho]]='Balancete MLN_WebPosto'!$G$2,
SUMIFS('Balancete MLN_WebPosto'!$I:$I,'Balancete MLN_WebPosto'!$C:$C,$A188,'Balancete MLN_WebPosto'!$B:$B,$B$2),
  "0"
)</f>
        <v>0</v>
      </c>
      <c r="P188" s="4" t="str">
        <f>IF(Balancete_Oficial[[#Headers],[Julho]]='Balancete MLN_WebPosto'!$G$2,
SUMIFS('Balancete MLN_WebPosto'!$I:$I,'Balancete MLN_WebPosto'!$C:$C,$A188,'Balancete MLN_WebPosto'!$B:$B,$B$2),
  "0"
)</f>
        <v>0</v>
      </c>
      <c r="Q188" s="4" t="str">
        <f>IF(Balancete_Oficial[[#Headers],[Agosto]]='Balancete MLN_WebPosto'!$G$2,
SUMIFS('Balancete MLN_WebPosto'!$I:$I,'Balancete MLN_WebPosto'!$C:$C,$A188,'Balancete MLN_WebPosto'!$B:$B,$B$2),
  "0"
)</f>
        <v>0</v>
      </c>
      <c r="R188" s="4">
        <f>IF(Balancete_Oficial[[#Headers],[Setembro]]='Balancete MLN_WebPosto'!$G$2,
SUMIFS('Balancete MLN_WebPosto'!$I:$I,'Balancete MLN_WebPosto'!$C:$C,$A188,'Balancete MLN_WebPosto'!$B:$B,$B$2),
  "0"
)</f>
        <v>0</v>
      </c>
      <c r="S188" s="4" t="str">
        <f>IF(Balancete_Oficial[[#Headers],[Outubro]]='Balancete MLN_WebPosto'!$G$2,
SUMIFS('Balancete MLN_WebPosto'!$I:$I,'Balancete MLN_WebPosto'!$C:$C,$A188,'Balancete MLN_WebPosto'!$B:$B,$B$2),
  "0"
)</f>
        <v>0</v>
      </c>
      <c r="T188" s="4" t="str">
        <f>IF(Balancete_Oficial[[#Headers],[Novembro]]='Balancete MLN_WebPosto'!$G$2,
SUMIFS('Balancete MLN_WebPosto'!$I:$I,'Balancete MLN_WebPosto'!$C:$C,$A188,'Balancete MLN_WebPosto'!$B:$B,$B$2),
  "0"
)</f>
        <v>0</v>
      </c>
      <c r="U188" s="4" t="str">
        <f>IF(Balancete_Oficial[[#Headers],[Dezembro]]='Balancete MLN_WebPosto'!$G$2,
SUMIFS('Balancete MLN_WebPosto'!$I:$I,'Balancete MLN_WebPosto'!$C:$C,$A188,'Balancete MLN_WebPosto'!$B:$B,$B$2),
  "0"
)</f>
        <v>0</v>
      </c>
    </row>
    <row r="189" spans="1:21" x14ac:dyDescent="0.25">
      <c r="A189" s="2" t="str">
        <f>IF(Dados!H186="","",Dados!H186)</f>
        <v/>
      </c>
      <c r="B189" s="2" t="e">
        <f>VLOOKUP(Balancete_Oficial[[#This Row],[Conta]],'Balancete MLN_WebPosto'!C:E,3,0)</f>
        <v>#N/A</v>
      </c>
      <c r="C189" s="3" t="str">
        <f t="shared" si="9"/>
        <v>Sintética</v>
      </c>
      <c r="D189" s="6" t="str">
        <f t="shared" si="10"/>
        <v>R</v>
      </c>
      <c r="E189" s="6" t="str">
        <f t="shared" si="11"/>
        <v/>
      </c>
      <c r="F189" s="6"/>
      <c r="G189" s="6"/>
      <c r="H189" s="6"/>
      <c r="I189" s="6"/>
      <c r="J189" s="4" t="str">
        <f>IF(Balancete_Oficial[[#Headers],[Janeiro]]='Balancete MLN_WebPosto'!$G$2,
SUMIFS('Balancete MLN_WebPosto'!$J:$J,'Balancete MLN_WebPosto'!$C:$C,$A189,'Balancete MLN_WebPosto'!$B:$B,$B$2),
  "0"
)</f>
        <v>0</v>
      </c>
      <c r="K189" s="4" t="str">
        <f>IF(Balancete_Oficial[[#Headers],[Fevereiro]]='Balancete MLN_WebPosto'!$G$2,
SUMIFS('Balancete MLN_WebPosto'!$J:$J,'Balancete MLN_WebPosto'!$C:$C,$A189,'Balancete MLN_WebPosto'!$B:$B,$B$2),
  "0"
)</f>
        <v>0</v>
      </c>
      <c r="L189" s="4" t="str">
        <f>IF(Balancete_Oficial[[#Headers],[Março]]='Balancete MLN_WebPosto'!$G$2,
SUMIFS('Balancete MLN_WebPosto'!$J:$J,'Balancete MLN_WebPosto'!$C:$C,$A189,'Balancete MLN_WebPosto'!$B:$B,$B$2),
  "0"
)</f>
        <v>0</v>
      </c>
      <c r="M189" s="4" t="str">
        <f>IF(Balancete_Oficial[[#Headers],[Abril]]='Balancete MLN_WebPosto'!$G$2,
SUMIFS('Balancete MLN_WebPosto'!$J:$J,'Balancete MLN_WebPosto'!$C:$C,$A189,'Balancete MLN_WebPosto'!$B:$B,$B$2),
  "0"
)</f>
        <v>0</v>
      </c>
      <c r="N189" s="4" t="str">
        <f>IF(Balancete_Oficial[[#Headers],[Maio]]='Balancete MLN_WebPosto'!$G$2,
SUMIFS('Balancete MLN_WebPosto'!$I:$I,'Balancete MLN_WebPosto'!$C:$C,$A189,'Balancete MLN_WebPosto'!$B:$B,$B$2),
  "0"
)</f>
        <v>0</v>
      </c>
      <c r="O189" s="4" t="str">
        <f>IF(Balancete_Oficial[[#Headers],[Junho]]='Balancete MLN_WebPosto'!$G$2,
SUMIFS('Balancete MLN_WebPosto'!$I:$I,'Balancete MLN_WebPosto'!$C:$C,$A189,'Balancete MLN_WebPosto'!$B:$B,$B$2),
  "0"
)</f>
        <v>0</v>
      </c>
      <c r="P189" s="4" t="str">
        <f>IF(Balancete_Oficial[[#Headers],[Julho]]='Balancete MLN_WebPosto'!$G$2,
SUMIFS('Balancete MLN_WebPosto'!$I:$I,'Balancete MLN_WebPosto'!$C:$C,$A189,'Balancete MLN_WebPosto'!$B:$B,$B$2),
  "0"
)</f>
        <v>0</v>
      </c>
      <c r="Q189" s="4" t="str">
        <f>IF(Balancete_Oficial[[#Headers],[Agosto]]='Balancete MLN_WebPosto'!$G$2,
SUMIFS('Balancete MLN_WebPosto'!$I:$I,'Balancete MLN_WebPosto'!$C:$C,$A189,'Balancete MLN_WebPosto'!$B:$B,$B$2),
  "0"
)</f>
        <v>0</v>
      </c>
      <c r="R189" s="4">
        <f>IF(Balancete_Oficial[[#Headers],[Setembro]]='Balancete MLN_WebPosto'!$G$2,
SUMIFS('Balancete MLN_WebPosto'!$I:$I,'Balancete MLN_WebPosto'!$C:$C,$A189,'Balancete MLN_WebPosto'!$B:$B,$B$2),
  "0"
)</f>
        <v>0</v>
      </c>
      <c r="S189" s="4" t="str">
        <f>IF(Balancete_Oficial[[#Headers],[Outubro]]='Balancete MLN_WebPosto'!$G$2,
SUMIFS('Balancete MLN_WebPosto'!$I:$I,'Balancete MLN_WebPosto'!$C:$C,$A189,'Balancete MLN_WebPosto'!$B:$B,$B$2),
  "0"
)</f>
        <v>0</v>
      </c>
      <c r="T189" s="4" t="str">
        <f>IF(Balancete_Oficial[[#Headers],[Novembro]]='Balancete MLN_WebPosto'!$G$2,
SUMIFS('Balancete MLN_WebPosto'!$I:$I,'Balancete MLN_WebPosto'!$C:$C,$A189,'Balancete MLN_WebPosto'!$B:$B,$B$2),
  "0"
)</f>
        <v>0</v>
      </c>
      <c r="U189" s="4" t="str">
        <f>IF(Balancete_Oficial[[#Headers],[Dezembro]]='Balancete MLN_WebPosto'!$G$2,
SUMIFS('Balancete MLN_WebPosto'!$I:$I,'Balancete MLN_WebPosto'!$C:$C,$A189,'Balancete MLN_WebPosto'!$B:$B,$B$2),
  "0"
)</f>
        <v>0</v>
      </c>
    </row>
    <row r="190" spans="1:21" x14ac:dyDescent="0.25">
      <c r="A190" s="2" t="str">
        <f>IF(Dados!H187="","",Dados!H187)</f>
        <v/>
      </c>
      <c r="B190" s="2" t="e">
        <f>VLOOKUP(Balancete_Oficial[[#This Row],[Conta]],'Balancete MLN_WebPosto'!C:E,3,0)</f>
        <v>#N/A</v>
      </c>
      <c r="C190" s="3" t="str">
        <f t="shared" si="9"/>
        <v>Sintética</v>
      </c>
      <c r="D190" s="6" t="str">
        <f t="shared" si="10"/>
        <v>R</v>
      </c>
      <c r="E190" s="6" t="str">
        <f t="shared" si="11"/>
        <v/>
      </c>
      <c r="F190" s="6"/>
      <c r="G190" s="6"/>
      <c r="H190" s="6"/>
      <c r="I190" s="6"/>
      <c r="J190" s="4" t="str">
        <f>IF(Balancete_Oficial[[#Headers],[Janeiro]]='Balancete MLN_WebPosto'!$G$2,
SUMIFS('Balancete MLN_WebPosto'!$J:$J,'Balancete MLN_WebPosto'!$C:$C,$A190,'Balancete MLN_WebPosto'!$B:$B,$B$2),
  "0"
)</f>
        <v>0</v>
      </c>
      <c r="K190" s="4" t="str">
        <f>IF(Balancete_Oficial[[#Headers],[Fevereiro]]='Balancete MLN_WebPosto'!$G$2,
SUMIFS('Balancete MLN_WebPosto'!$J:$J,'Balancete MLN_WebPosto'!$C:$C,$A190,'Balancete MLN_WebPosto'!$B:$B,$B$2),
  "0"
)</f>
        <v>0</v>
      </c>
      <c r="L190" s="4" t="str">
        <f>IF(Balancete_Oficial[[#Headers],[Março]]='Balancete MLN_WebPosto'!$G$2,
SUMIFS('Balancete MLN_WebPosto'!$J:$J,'Balancete MLN_WebPosto'!$C:$C,$A190,'Balancete MLN_WebPosto'!$B:$B,$B$2),
  "0"
)</f>
        <v>0</v>
      </c>
      <c r="M190" s="4" t="str">
        <f>IF(Balancete_Oficial[[#Headers],[Abril]]='Balancete MLN_WebPosto'!$G$2,
SUMIFS('Balancete MLN_WebPosto'!$J:$J,'Balancete MLN_WebPosto'!$C:$C,$A190,'Balancete MLN_WebPosto'!$B:$B,$B$2),
  "0"
)</f>
        <v>0</v>
      </c>
      <c r="N190" s="4" t="str">
        <f>IF(Balancete_Oficial[[#Headers],[Maio]]='Balancete MLN_WebPosto'!$G$2,
SUMIFS('Balancete MLN_WebPosto'!$I:$I,'Balancete MLN_WebPosto'!$C:$C,$A190,'Balancete MLN_WebPosto'!$B:$B,$B$2),
  "0"
)</f>
        <v>0</v>
      </c>
      <c r="O190" s="4" t="str">
        <f>IF(Balancete_Oficial[[#Headers],[Junho]]='Balancete MLN_WebPosto'!$G$2,
SUMIFS('Balancete MLN_WebPosto'!$I:$I,'Balancete MLN_WebPosto'!$C:$C,$A190,'Balancete MLN_WebPosto'!$B:$B,$B$2),
  "0"
)</f>
        <v>0</v>
      </c>
      <c r="P190" s="4" t="str">
        <f>IF(Balancete_Oficial[[#Headers],[Julho]]='Balancete MLN_WebPosto'!$G$2,
SUMIFS('Balancete MLN_WebPosto'!$I:$I,'Balancete MLN_WebPosto'!$C:$C,$A190,'Balancete MLN_WebPosto'!$B:$B,$B$2),
  "0"
)</f>
        <v>0</v>
      </c>
      <c r="Q190" s="4" t="str">
        <f>IF(Balancete_Oficial[[#Headers],[Agosto]]='Balancete MLN_WebPosto'!$G$2,
SUMIFS('Balancete MLN_WebPosto'!$I:$I,'Balancete MLN_WebPosto'!$C:$C,$A190,'Balancete MLN_WebPosto'!$B:$B,$B$2),
  "0"
)</f>
        <v>0</v>
      </c>
      <c r="R190" s="4">
        <f>IF(Balancete_Oficial[[#Headers],[Setembro]]='Balancete MLN_WebPosto'!$G$2,
SUMIFS('Balancete MLN_WebPosto'!$I:$I,'Balancete MLN_WebPosto'!$C:$C,$A190,'Balancete MLN_WebPosto'!$B:$B,$B$2),
  "0"
)</f>
        <v>0</v>
      </c>
      <c r="S190" s="4" t="str">
        <f>IF(Balancete_Oficial[[#Headers],[Outubro]]='Balancete MLN_WebPosto'!$G$2,
SUMIFS('Balancete MLN_WebPosto'!$I:$I,'Balancete MLN_WebPosto'!$C:$C,$A190,'Balancete MLN_WebPosto'!$B:$B,$B$2),
  "0"
)</f>
        <v>0</v>
      </c>
      <c r="T190" s="4" t="str">
        <f>IF(Balancete_Oficial[[#Headers],[Novembro]]='Balancete MLN_WebPosto'!$G$2,
SUMIFS('Balancete MLN_WebPosto'!$I:$I,'Balancete MLN_WebPosto'!$C:$C,$A190,'Balancete MLN_WebPosto'!$B:$B,$B$2),
  "0"
)</f>
        <v>0</v>
      </c>
      <c r="U190" s="4" t="str">
        <f>IF(Balancete_Oficial[[#Headers],[Dezembro]]='Balancete MLN_WebPosto'!$G$2,
SUMIFS('Balancete MLN_WebPosto'!$I:$I,'Balancete MLN_WebPosto'!$C:$C,$A190,'Balancete MLN_WebPosto'!$B:$B,$B$2),
  "0"
)</f>
        <v>0</v>
      </c>
    </row>
    <row r="191" spans="1:21" x14ac:dyDescent="0.25">
      <c r="A191" s="2" t="str">
        <f>IF(Dados!H188="","",Dados!H188)</f>
        <v/>
      </c>
      <c r="B191" s="2" t="e">
        <f>VLOOKUP(Balancete_Oficial[[#This Row],[Conta]],'Balancete MLN_WebPosto'!C:E,3,0)</f>
        <v>#N/A</v>
      </c>
      <c r="C191" s="3" t="str">
        <f t="shared" si="9"/>
        <v>Sintética</v>
      </c>
      <c r="D191" s="6" t="str">
        <f t="shared" si="10"/>
        <v>R</v>
      </c>
      <c r="E191" s="6" t="str">
        <f t="shared" si="11"/>
        <v/>
      </c>
      <c r="F191" s="6"/>
      <c r="G191" s="6"/>
      <c r="H191" s="6"/>
      <c r="I191" s="6"/>
      <c r="J191" s="4" t="str">
        <f>IF(Balancete_Oficial[[#Headers],[Janeiro]]='Balancete MLN_WebPosto'!$G$2,
SUMIFS('Balancete MLN_WebPosto'!$J:$J,'Balancete MLN_WebPosto'!$C:$C,$A191,'Balancete MLN_WebPosto'!$B:$B,$B$2),
  "0"
)</f>
        <v>0</v>
      </c>
      <c r="K191" s="4" t="str">
        <f>IF(Balancete_Oficial[[#Headers],[Fevereiro]]='Balancete MLN_WebPosto'!$G$2,
SUMIFS('Balancete MLN_WebPosto'!$J:$J,'Balancete MLN_WebPosto'!$C:$C,$A191,'Balancete MLN_WebPosto'!$B:$B,$B$2),
  "0"
)</f>
        <v>0</v>
      </c>
      <c r="L191" s="4" t="str">
        <f>IF(Balancete_Oficial[[#Headers],[Março]]='Balancete MLN_WebPosto'!$G$2,
SUMIFS('Balancete MLN_WebPosto'!$J:$J,'Balancete MLN_WebPosto'!$C:$C,$A191,'Balancete MLN_WebPosto'!$B:$B,$B$2),
  "0"
)</f>
        <v>0</v>
      </c>
      <c r="M191" s="4" t="str">
        <f>IF(Balancete_Oficial[[#Headers],[Abril]]='Balancete MLN_WebPosto'!$G$2,
SUMIFS('Balancete MLN_WebPosto'!$J:$J,'Balancete MLN_WebPosto'!$C:$C,$A191,'Balancete MLN_WebPosto'!$B:$B,$B$2),
  "0"
)</f>
        <v>0</v>
      </c>
      <c r="N191" s="4" t="str">
        <f>IF(Balancete_Oficial[[#Headers],[Maio]]='Balancete MLN_WebPosto'!$G$2,
SUMIFS('Balancete MLN_WebPosto'!$I:$I,'Balancete MLN_WebPosto'!$C:$C,$A191,'Balancete MLN_WebPosto'!$B:$B,$B$2),
  "0"
)</f>
        <v>0</v>
      </c>
      <c r="O191" s="4" t="str">
        <f>IF(Balancete_Oficial[[#Headers],[Junho]]='Balancete MLN_WebPosto'!$G$2,
SUMIFS('Balancete MLN_WebPosto'!$I:$I,'Balancete MLN_WebPosto'!$C:$C,$A191,'Balancete MLN_WebPosto'!$B:$B,$B$2),
  "0"
)</f>
        <v>0</v>
      </c>
      <c r="P191" s="4" t="str">
        <f>IF(Balancete_Oficial[[#Headers],[Julho]]='Balancete MLN_WebPosto'!$G$2,
SUMIFS('Balancete MLN_WebPosto'!$I:$I,'Balancete MLN_WebPosto'!$C:$C,$A191,'Balancete MLN_WebPosto'!$B:$B,$B$2),
  "0"
)</f>
        <v>0</v>
      </c>
      <c r="Q191" s="4" t="str">
        <f>IF(Balancete_Oficial[[#Headers],[Agosto]]='Balancete MLN_WebPosto'!$G$2,
SUMIFS('Balancete MLN_WebPosto'!$I:$I,'Balancete MLN_WebPosto'!$C:$C,$A191,'Balancete MLN_WebPosto'!$B:$B,$B$2),
  "0"
)</f>
        <v>0</v>
      </c>
      <c r="R191" s="4">
        <f>IF(Balancete_Oficial[[#Headers],[Setembro]]='Balancete MLN_WebPosto'!$G$2,
SUMIFS('Balancete MLN_WebPosto'!$I:$I,'Balancete MLN_WebPosto'!$C:$C,$A191,'Balancete MLN_WebPosto'!$B:$B,$B$2),
  "0"
)</f>
        <v>0</v>
      </c>
      <c r="S191" s="4" t="str">
        <f>IF(Balancete_Oficial[[#Headers],[Outubro]]='Balancete MLN_WebPosto'!$G$2,
SUMIFS('Balancete MLN_WebPosto'!$I:$I,'Balancete MLN_WebPosto'!$C:$C,$A191,'Balancete MLN_WebPosto'!$B:$B,$B$2),
  "0"
)</f>
        <v>0</v>
      </c>
      <c r="T191" s="4" t="str">
        <f>IF(Balancete_Oficial[[#Headers],[Novembro]]='Balancete MLN_WebPosto'!$G$2,
SUMIFS('Balancete MLN_WebPosto'!$I:$I,'Balancete MLN_WebPosto'!$C:$C,$A191,'Balancete MLN_WebPosto'!$B:$B,$B$2),
  "0"
)</f>
        <v>0</v>
      </c>
      <c r="U191" s="4" t="str">
        <f>IF(Balancete_Oficial[[#Headers],[Dezembro]]='Balancete MLN_WebPosto'!$G$2,
SUMIFS('Balancete MLN_WebPosto'!$I:$I,'Balancete MLN_WebPosto'!$C:$C,$A191,'Balancete MLN_WebPosto'!$B:$B,$B$2),
  "0"
)</f>
        <v>0</v>
      </c>
    </row>
    <row r="192" spans="1:21" x14ac:dyDescent="0.25">
      <c r="A192" s="2" t="str">
        <f>IF(Dados!H189="","",Dados!H189)</f>
        <v/>
      </c>
      <c r="B192" s="2" t="e">
        <f>VLOOKUP(Balancete_Oficial[[#This Row],[Conta]],'Balancete MLN_WebPosto'!C:E,3,0)</f>
        <v>#N/A</v>
      </c>
      <c r="C192" s="3" t="str">
        <f t="shared" si="9"/>
        <v>Sintética</v>
      </c>
      <c r="D192" s="6" t="str">
        <f t="shared" si="10"/>
        <v>R</v>
      </c>
      <c r="E192" s="6" t="str">
        <f t="shared" si="11"/>
        <v/>
      </c>
      <c r="F192" s="6"/>
      <c r="G192" s="6"/>
      <c r="H192" s="6"/>
      <c r="I192" s="6"/>
      <c r="J192" s="4" t="str">
        <f>IF(Balancete_Oficial[[#Headers],[Janeiro]]='Balancete MLN_WebPosto'!$G$2,
SUMIFS('Balancete MLN_WebPosto'!$J:$J,'Balancete MLN_WebPosto'!$C:$C,$A192,'Balancete MLN_WebPosto'!$B:$B,$B$2),
  "0"
)</f>
        <v>0</v>
      </c>
      <c r="K192" s="4" t="str">
        <f>IF(Balancete_Oficial[[#Headers],[Fevereiro]]='Balancete MLN_WebPosto'!$G$2,
SUMIFS('Balancete MLN_WebPosto'!$J:$J,'Balancete MLN_WebPosto'!$C:$C,$A192,'Balancete MLN_WebPosto'!$B:$B,$B$2),
  "0"
)</f>
        <v>0</v>
      </c>
      <c r="L192" s="4" t="str">
        <f>IF(Balancete_Oficial[[#Headers],[Março]]='Balancete MLN_WebPosto'!$G$2,
SUMIFS('Balancete MLN_WebPosto'!$J:$J,'Balancete MLN_WebPosto'!$C:$C,$A192,'Balancete MLN_WebPosto'!$B:$B,$B$2),
  "0"
)</f>
        <v>0</v>
      </c>
      <c r="M192" s="4" t="str">
        <f>IF(Balancete_Oficial[[#Headers],[Abril]]='Balancete MLN_WebPosto'!$G$2,
SUMIFS('Balancete MLN_WebPosto'!$J:$J,'Balancete MLN_WebPosto'!$C:$C,$A192,'Balancete MLN_WebPosto'!$B:$B,$B$2),
  "0"
)</f>
        <v>0</v>
      </c>
      <c r="N192" s="4" t="str">
        <f>IF(Balancete_Oficial[[#Headers],[Maio]]='Balancete MLN_WebPosto'!$G$2,
SUMIFS('Balancete MLN_WebPosto'!$I:$I,'Balancete MLN_WebPosto'!$C:$C,$A192,'Balancete MLN_WebPosto'!$B:$B,$B$2),
  "0"
)</f>
        <v>0</v>
      </c>
      <c r="O192" s="4" t="str">
        <f>IF(Balancete_Oficial[[#Headers],[Junho]]='Balancete MLN_WebPosto'!$G$2,
SUMIFS('Balancete MLN_WebPosto'!$I:$I,'Balancete MLN_WebPosto'!$C:$C,$A192,'Balancete MLN_WebPosto'!$B:$B,$B$2),
  "0"
)</f>
        <v>0</v>
      </c>
      <c r="P192" s="4" t="str">
        <f>IF(Balancete_Oficial[[#Headers],[Julho]]='Balancete MLN_WebPosto'!$G$2,
SUMIFS('Balancete MLN_WebPosto'!$I:$I,'Balancete MLN_WebPosto'!$C:$C,$A192,'Balancete MLN_WebPosto'!$B:$B,$B$2),
  "0"
)</f>
        <v>0</v>
      </c>
      <c r="Q192" s="4" t="str">
        <f>IF(Balancete_Oficial[[#Headers],[Agosto]]='Balancete MLN_WebPosto'!$G$2,
SUMIFS('Balancete MLN_WebPosto'!$I:$I,'Balancete MLN_WebPosto'!$C:$C,$A192,'Balancete MLN_WebPosto'!$B:$B,$B$2),
  "0"
)</f>
        <v>0</v>
      </c>
      <c r="R192" s="4">
        <f>IF(Balancete_Oficial[[#Headers],[Setembro]]='Balancete MLN_WebPosto'!$G$2,
SUMIFS('Balancete MLN_WebPosto'!$I:$I,'Balancete MLN_WebPosto'!$C:$C,$A192,'Balancete MLN_WebPosto'!$B:$B,$B$2),
  "0"
)</f>
        <v>0</v>
      </c>
      <c r="S192" s="4" t="str">
        <f>IF(Balancete_Oficial[[#Headers],[Outubro]]='Balancete MLN_WebPosto'!$G$2,
SUMIFS('Balancete MLN_WebPosto'!$I:$I,'Balancete MLN_WebPosto'!$C:$C,$A192,'Balancete MLN_WebPosto'!$B:$B,$B$2),
  "0"
)</f>
        <v>0</v>
      </c>
      <c r="T192" s="4" t="str">
        <f>IF(Balancete_Oficial[[#Headers],[Novembro]]='Balancete MLN_WebPosto'!$G$2,
SUMIFS('Balancete MLN_WebPosto'!$I:$I,'Balancete MLN_WebPosto'!$C:$C,$A192,'Balancete MLN_WebPosto'!$B:$B,$B$2),
  "0"
)</f>
        <v>0</v>
      </c>
      <c r="U192" s="4" t="str">
        <f>IF(Balancete_Oficial[[#Headers],[Dezembro]]='Balancete MLN_WebPosto'!$G$2,
SUMIFS('Balancete MLN_WebPosto'!$I:$I,'Balancete MLN_WebPosto'!$C:$C,$A192,'Balancete MLN_WebPosto'!$B:$B,$B$2),
  "0"
)</f>
        <v>0</v>
      </c>
    </row>
    <row r="193" spans="1:21" x14ac:dyDescent="0.25">
      <c r="A193" s="2" t="str">
        <f>IF(Dados!H190="","",Dados!H190)</f>
        <v/>
      </c>
      <c r="B193" s="2" t="e">
        <f>VLOOKUP(Balancete_Oficial[[#This Row],[Conta]],'Balancete MLN_WebPosto'!C:E,3,0)</f>
        <v>#N/A</v>
      </c>
      <c r="C193" s="3" t="str">
        <f t="shared" si="9"/>
        <v>Sintética</v>
      </c>
      <c r="D193" s="6" t="str">
        <f t="shared" si="10"/>
        <v>R</v>
      </c>
      <c r="E193" s="6" t="str">
        <f t="shared" si="11"/>
        <v/>
      </c>
      <c r="F193" s="6"/>
      <c r="G193" s="6"/>
      <c r="H193" s="6"/>
      <c r="I193" s="6"/>
      <c r="J193" s="4" t="str">
        <f>IF(Balancete_Oficial[[#Headers],[Janeiro]]='Balancete MLN_WebPosto'!$G$2,
SUMIFS('Balancete MLN_WebPosto'!$J:$J,'Balancete MLN_WebPosto'!$C:$C,$A193,'Balancete MLN_WebPosto'!$B:$B,$B$2),
  "0"
)</f>
        <v>0</v>
      </c>
      <c r="K193" s="4" t="str">
        <f>IF(Balancete_Oficial[[#Headers],[Fevereiro]]='Balancete MLN_WebPosto'!$G$2,
SUMIFS('Balancete MLN_WebPosto'!$J:$J,'Balancete MLN_WebPosto'!$C:$C,$A193,'Balancete MLN_WebPosto'!$B:$B,$B$2),
  "0"
)</f>
        <v>0</v>
      </c>
      <c r="L193" s="4" t="str">
        <f>IF(Balancete_Oficial[[#Headers],[Março]]='Balancete MLN_WebPosto'!$G$2,
SUMIFS('Balancete MLN_WebPosto'!$J:$J,'Balancete MLN_WebPosto'!$C:$C,$A193,'Balancete MLN_WebPosto'!$B:$B,$B$2),
  "0"
)</f>
        <v>0</v>
      </c>
      <c r="M193" s="4" t="str">
        <f>IF(Balancete_Oficial[[#Headers],[Abril]]='Balancete MLN_WebPosto'!$G$2,
SUMIFS('Balancete MLN_WebPosto'!$J:$J,'Balancete MLN_WebPosto'!$C:$C,$A193,'Balancete MLN_WebPosto'!$B:$B,$B$2),
  "0"
)</f>
        <v>0</v>
      </c>
      <c r="N193" s="4" t="str">
        <f>IF(Balancete_Oficial[[#Headers],[Maio]]='Balancete MLN_WebPosto'!$G$2,
SUMIFS('Balancete MLN_WebPosto'!$I:$I,'Balancete MLN_WebPosto'!$C:$C,$A193,'Balancete MLN_WebPosto'!$B:$B,$B$2),
  "0"
)</f>
        <v>0</v>
      </c>
      <c r="O193" s="4" t="str">
        <f>IF(Balancete_Oficial[[#Headers],[Junho]]='Balancete MLN_WebPosto'!$G$2,
SUMIFS('Balancete MLN_WebPosto'!$I:$I,'Balancete MLN_WebPosto'!$C:$C,$A193,'Balancete MLN_WebPosto'!$B:$B,$B$2),
  "0"
)</f>
        <v>0</v>
      </c>
      <c r="P193" s="4" t="str">
        <f>IF(Balancete_Oficial[[#Headers],[Julho]]='Balancete MLN_WebPosto'!$G$2,
SUMIFS('Balancete MLN_WebPosto'!$I:$I,'Balancete MLN_WebPosto'!$C:$C,$A193,'Balancete MLN_WebPosto'!$B:$B,$B$2),
  "0"
)</f>
        <v>0</v>
      </c>
      <c r="Q193" s="4" t="str">
        <f>IF(Balancete_Oficial[[#Headers],[Agosto]]='Balancete MLN_WebPosto'!$G$2,
SUMIFS('Balancete MLN_WebPosto'!$I:$I,'Balancete MLN_WebPosto'!$C:$C,$A193,'Balancete MLN_WebPosto'!$B:$B,$B$2),
  "0"
)</f>
        <v>0</v>
      </c>
      <c r="R193" s="4">
        <f>IF(Balancete_Oficial[[#Headers],[Setembro]]='Balancete MLN_WebPosto'!$G$2,
SUMIFS('Balancete MLN_WebPosto'!$I:$I,'Balancete MLN_WebPosto'!$C:$C,$A193,'Balancete MLN_WebPosto'!$B:$B,$B$2),
  "0"
)</f>
        <v>0</v>
      </c>
      <c r="S193" s="4" t="str">
        <f>IF(Balancete_Oficial[[#Headers],[Outubro]]='Balancete MLN_WebPosto'!$G$2,
SUMIFS('Balancete MLN_WebPosto'!$I:$I,'Balancete MLN_WebPosto'!$C:$C,$A193,'Balancete MLN_WebPosto'!$B:$B,$B$2),
  "0"
)</f>
        <v>0</v>
      </c>
      <c r="T193" s="4" t="str">
        <f>IF(Balancete_Oficial[[#Headers],[Novembro]]='Balancete MLN_WebPosto'!$G$2,
SUMIFS('Balancete MLN_WebPosto'!$I:$I,'Balancete MLN_WebPosto'!$C:$C,$A193,'Balancete MLN_WebPosto'!$B:$B,$B$2),
  "0"
)</f>
        <v>0</v>
      </c>
      <c r="U193" s="4" t="str">
        <f>IF(Balancete_Oficial[[#Headers],[Dezembro]]='Balancete MLN_WebPosto'!$G$2,
SUMIFS('Balancete MLN_WebPosto'!$I:$I,'Balancete MLN_WebPosto'!$C:$C,$A193,'Balancete MLN_WebPosto'!$B:$B,$B$2),
  "0"
)</f>
        <v>0</v>
      </c>
    </row>
    <row r="194" spans="1:21" x14ac:dyDescent="0.25">
      <c r="A194" s="2" t="str">
        <f>IF(Dados!H191="","",Dados!H191)</f>
        <v/>
      </c>
      <c r="B194" s="2" t="e">
        <f>VLOOKUP(Balancete_Oficial[[#This Row],[Conta]],'Balancete MLN_WebPosto'!C:E,3,0)</f>
        <v>#N/A</v>
      </c>
      <c r="C194" s="3" t="str">
        <f t="shared" si="9"/>
        <v>Sintética</v>
      </c>
      <c r="D194" s="6" t="str">
        <f t="shared" si="10"/>
        <v>R</v>
      </c>
      <c r="E194" s="6" t="str">
        <f t="shared" si="11"/>
        <v/>
      </c>
      <c r="F194" s="6"/>
      <c r="G194" s="6"/>
      <c r="H194" s="6"/>
      <c r="I194" s="6"/>
      <c r="J194" s="4" t="str">
        <f>IF(Balancete_Oficial[[#Headers],[Janeiro]]='Balancete MLN_WebPosto'!$G$2,
SUMIFS('Balancete MLN_WebPosto'!$J:$J,'Balancete MLN_WebPosto'!$C:$C,$A194,'Balancete MLN_WebPosto'!$B:$B,$B$2),
  "0"
)</f>
        <v>0</v>
      </c>
      <c r="K194" s="4" t="str">
        <f>IF(Balancete_Oficial[[#Headers],[Fevereiro]]='Balancete MLN_WebPosto'!$G$2,
SUMIFS('Balancete MLN_WebPosto'!$J:$J,'Balancete MLN_WebPosto'!$C:$C,$A194,'Balancete MLN_WebPosto'!$B:$B,$B$2),
  "0"
)</f>
        <v>0</v>
      </c>
      <c r="L194" s="4" t="str">
        <f>IF(Balancete_Oficial[[#Headers],[Março]]='Balancete MLN_WebPosto'!$G$2,
SUMIFS('Balancete MLN_WebPosto'!$J:$J,'Balancete MLN_WebPosto'!$C:$C,$A194,'Balancete MLN_WebPosto'!$B:$B,$B$2),
  "0"
)</f>
        <v>0</v>
      </c>
      <c r="M194" s="4" t="str">
        <f>IF(Balancete_Oficial[[#Headers],[Abril]]='Balancete MLN_WebPosto'!$G$2,
SUMIFS('Balancete MLN_WebPosto'!$J:$J,'Balancete MLN_WebPosto'!$C:$C,$A194,'Balancete MLN_WebPosto'!$B:$B,$B$2),
  "0"
)</f>
        <v>0</v>
      </c>
      <c r="N194" s="4" t="str">
        <f>IF(Balancete_Oficial[[#Headers],[Maio]]='Balancete MLN_WebPosto'!$G$2,
SUMIFS('Balancete MLN_WebPosto'!$I:$I,'Balancete MLN_WebPosto'!$C:$C,$A194,'Balancete MLN_WebPosto'!$B:$B,$B$2),
  "0"
)</f>
        <v>0</v>
      </c>
      <c r="O194" s="4" t="str">
        <f>IF(Balancete_Oficial[[#Headers],[Junho]]='Balancete MLN_WebPosto'!$G$2,
SUMIFS('Balancete MLN_WebPosto'!$I:$I,'Balancete MLN_WebPosto'!$C:$C,$A194,'Balancete MLN_WebPosto'!$B:$B,$B$2),
  "0"
)</f>
        <v>0</v>
      </c>
      <c r="P194" s="4" t="str">
        <f>IF(Balancete_Oficial[[#Headers],[Julho]]='Balancete MLN_WebPosto'!$G$2,
SUMIFS('Balancete MLN_WebPosto'!$I:$I,'Balancete MLN_WebPosto'!$C:$C,$A194,'Balancete MLN_WebPosto'!$B:$B,$B$2),
  "0"
)</f>
        <v>0</v>
      </c>
      <c r="Q194" s="4" t="str">
        <f>IF(Balancete_Oficial[[#Headers],[Agosto]]='Balancete MLN_WebPosto'!$G$2,
SUMIFS('Balancete MLN_WebPosto'!$I:$I,'Balancete MLN_WebPosto'!$C:$C,$A194,'Balancete MLN_WebPosto'!$B:$B,$B$2),
  "0"
)</f>
        <v>0</v>
      </c>
      <c r="R194" s="4">
        <f>IF(Balancete_Oficial[[#Headers],[Setembro]]='Balancete MLN_WebPosto'!$G$2,
SUMIFS('Balancete MLN_WebPosto'!$I:$I,'Balancete MLN_WebPosto'!$C:$C,$A194,'Balancete MLN_WebPosto'!$B:$B,$B$2),
  "0"
)</f>
        <v>0</v>
      </c>
      <c r="S194" s="4" t="str">
        <f>IF(Balancete_Oficial[[#Headers],[Outubro]]='Balancete MLN_WebPosto'!$G$2,
SUMIFS('Balancete MLN_WebPosto'!$I:$I,'Balancete MLN_WebPosto'!$C:$C,$A194,'Balancete MLN_WebPosto'!$B:$B,$B$2),
  "0"
)</f>
        <v>0</v>
      </c>
      <c r="T194" s="4" t="str">
        <f>IF(Balancete_Oficial[[#Headers],[Novembro]]='Balancete MLN_WebPosto'!$G$2,
SUMIFS('Balancete MLN_WebPosto'!$I:$I,'Balancete MLN_WebPosto'!$C:$C,$A194,'Balancete MLN_WebPosto'!$B:$B,$B$2),
  "0"
)</f>
        <v>0</v>
      </c>
      <c r="U194" s="4" t="str">
        <f>IF(Balancete_Oficial[[#Headers],[Dezembro]]='Balancete MLN_WebPosto'!$G$2,
SUMIFS('Balancete MLN_WebPosto'!$I:$I,'Balancete MLN_WebPosto'!$C:$C,$A194,'Balancete MLN_WebPosto'!$B:$B,$B$2),
  "0"
)</f>
        <v>0</v>
      </c>
    </row>
    <row r="195" spans="1:21" x14ac:dyDescent="0.25">
      <c r="A195" s="2" t="str">
        <f>IF(Dados!H192="","",Dados!H192)</f>
        <v/>
      </c>
      <c r="B195" s="2" t="e">
        <f>VLOOKUP(Balancete_Oficial[[#This Row],[Conta]],'Balancete MLN_WebPosto'!C:E,3,0)</f>
        <v>#N/A</v>
      </c>
      <c r="C195" s="3" t="str">
        <f t="shared" si="9"/>
        <v>Sintética</v>
      </c>
      <c r="D195" s="6" t="str">
        <f t="shared" si="10"/>
        <v>R</v>
      </c>
      <c r="E195" s="6" t="str">
        <f t="shared" si="11"/>
        <v/>
      </c>
      <c r="F195" s="6"/>
      <c r="G195" s="6"/>
      <c r="H195" s="6"/>
      <c r="I195" s="6"/>
      <c r="J195" s="4" t="str">
        <f>IF(Balancete_Oficial[[#Headers],[Janeiro]]='Balancete MLN_WebPosto'!$G$2,
SUMIFS('Balancete MLN_WebPosto'!$J:$J,'Balancete MLN_WebPosto'!$C:$C,$A195,'Balancete MLN_WebPosto'!$B:$B,$B$2),
  "0"
)</f>
        <v>0</v>
      </c>
      <c r="K195" s="4" t="str">
        <f>IF(Balancete_Oficial[[#Headers],[Fevereiro]]='Balancete MLN_WebPosto'!$G$2,
SUMIFS('Balancete MLN_WebPosto'!$J:$J,'Balancete MLN_WebPosto'!$C:$C,$A195,'Balancete MLN_WebPosto'!$B:$B,$B$2),
  "0"
)</f>
        <v>0</v>
      </c>
      <c r="L195" s="4" t="str">
        <f>IF(Balancete_Oficial[[#Headers],[Março]]='Balancete MLN_WebPosto'!$G$2,
SUMIFS('Balancete MLN_WebPosto'!$J:$J,'Balancete MLN_WebPosto'!$C:$C,$A195,'Balancete MLN_WebPosto'!$B:$B,$B$2),
  "0"
)</f>
        <v>0</v>
      </c>
      <c r="M195" s="4" t="str">
        <f>IF(Balancete_Oficial[[#Headers],[Abril]]='Balancete MLN_WebPosto'!$G$2,
SUMIFS('Balancete MLN_WebPosto'!$J:$J,'Balancete MLN_WebPosto'!$C:$C,$A195,'Balancete MLN_WebPosto'!$B:$B,$B$2),
  "0"
)</f>
        <v>0</v>
      </c>
      <c r="N195" s="4" t="str">
        <f>IF(Balancete_Oficial[[#Headers],[Maio]]='Balancete MLN_WebPosto'!$G$2,
SUMIFS('Balancete MLN_WebPosto'!$I:$I,'Balancete MLN_WebPosto'!$C:$C,$A195,'Balancete MLN_WebPosto'!$B:$B,$B$2),
  "0"
)</f>
        <v>0</v>
      </c>
      <c r="O195" s="4" t="str">
        <f>IF(Balancete_Oficial[[#Headers],[Junho]]='Balancete MLN_WebPosto'!$G$2,
SUMIFS('Balancete MLN_WebPosto'!$I:$I,'Balancete MLN_WebPosto'!$C:$C,$A195,'Balancete MLN_WebPosto'!$B:$B,$B$2),
  "0"
)</f>
        <v>0</v>
      </c>
      <c r="P195" s="4" t="str">
        <f>IF(Balancete_Oficial[[#Headers],[Julho]]='Balancete MLN_WebPosto'!$G$2,
SUMIFS('Balancete MLN_WebPosto'!$I:$I,'Balancete MLN_WebPosto'!$C:$C,$A195,'Balancete MLN_WebPosto'!$B:$B,$B$2),
  "0"
)</f>
        <v>0</v>
      </c>
      <c r="Q195" s="4" t="str">
        <f>IF(Balancete_Oficial[[#Headers],[Agosto]]='Balancete MLN_WebPosto'!$G$2,
SUMIFS('Balancete MLN_WebPosto'!$I:$I,'Balancete MLN_WebPosto'!$C:$C,$A195,'Balancete MLN_WebPosto'!$B:$B,$B$2),
  "0"
)</f>
        <v>0</v>
      </c>
      <c r="R195" s="4">
        <f>IF(Balancete_Oficial[[#Headers],[Setembro]]='Balancete MLN_WebPosto'!$G$2,
SUMIFS('Balancete MLN_WebPosto'!$I:$I,'Balancete MLN_WebPosto'!$C:$C,$A195,'Balancete MLN_WebPosto'!$B:$B,$B$2),
  "0"
)</f>
        <v>0</v>
      </c>
      <c r="S195" s="4" t="str">
        <f>IF(Balancete_Oficial[[#Headers],[Outubro]]='Balancete MLN_WebPosto'!$G$2,
SUMIFS('Balancete MLN_WebPosto'!$I:$I,'Balancete MLN_WebPosto'!$C:$C,$A195,'Balancete MLN_WebPosto'!$B:$B,$B$2),
  "0"
)</f>
        <v>0</v>
      </c>
      <c r="T195" s="4" t="str">
        <f>IF(Balancete_Oficial[[#Headers],[Novembro]]='Balancete MLN_WebPosto'!$G$2,
SUMIFS('Balancete MLN_WebPosto'!$I:$I,'Balancete MLN_WebPosto'!$C:$C,$A195,'Balancete MLN_WebPosto'!$B:$B,$B$2),
  "0"
)</f>
        <v>0</v>
      </c>
      <c r="U195" s="4" t="str">
        <f>IF(Balancete_Oficial[[#Headers],[Dezembro]]='Balancete MLN_WebPosto'!$G$2,
SUMIFS('Balancete MLN_WebPosto'!$I:$I,'Balancete MLN_WebPosto'!$C:$C,$A195,'Balancete MLN_WebPosto'!$B:$B,$B$2),
  "0"
)</f>
        <v>0</v>
      </c>
    </row>
    <row r="196" spans="1:21" x14ac:dyDescent="0.25">
      <c r="A196" s="2" t="str">
        <f>IF(Dados!H193="","",Dados!H193)</f>
        <v/>
      </c>
      <c r="B196" s="2" t="e">
        <f>VLOOKUP(Balancete_Oficial[[#This Row],[Conta]],'Balancete MLN_WebPosto'!C:E,3,0)</f>
        <v>#N/A</v>
      </c>
      <c r="C196" s="3" t="str">
        <f t="shared" si="9"/>
        <v>Sintética</v>
      </c>
      <c r="D196" s="6" t="str">
        <f t="shared" si="10"/>
        <v>R</v>
      </c>
      <c r="E196" s="6" t="str">
        <f t="shared" si="11"/>
        <v/>
      </c>
      <c r="F196" s="6"/>
      <c r="G196" s="6"/>
      <c r="H196" s="6"/>
      <c r="I196" s="6"/>
      <c r="J196" s="4" t="str">
        <f>IF(Balancete_Oficial[[#Headers],[Janeiro]]='Balancete MLN_WebPosto'!$G$2,
SUMIFS('Balancete MLN_WebPosto'!$J:$J,'Balancete MLN_WebPosto'!$C:$C,$A196,'Balancete MLN_WebPosto'!$B:$B,$B$2),
  "0"
)</f>
        <v>0</v>
      </c>
      <c r="K196" s="4" t="str">
        <f>IF(Balancete_Oficial[[#Headers],[Fevereiro]]='Balancete MLN_WebPosto'!$G$2,
SUMIFS('Balancete MLN_WebPosto'!$J:$J,'Balancete MLN_WebPosto'!$C:$C,$A196,'Balancete MLN_WebPosto'!$B:$B,$B$2),
  "0"
)</f>
        <v>0</v>
      </c>
      <c r="L196" s="4" t="str">
        <f>IF(Balancete_Oficial[[#Headers],[Março]]='Balancete MLN_WebPosto'!$G$2,
SUMIFS('Balancete MLN_WebPosto'!$J:$J,'Balancete MLN_WebPosto'!$C:$C,$A196,'Balancete MLN_WebPosto'!$B:$B,$B$2),
  "0"
)</f>
        <v>0</v>
      </c>
      <c r="M196" s="4" t="str">
        <f>IF(Balancete_Oficial[[#Headers],[Abril]]='Balancete MLN_WebPosto'!$G$2,
SUMIFS('Balancete MLN_WebPosto'!$J:$J,'Balancete MLN_WebPosto'!$C:$C,$A196,'Balancete MLN_WebPosto'!$B:$B,$B$2),
  "0"
)</f>
        <v>0</v>
      </c>
      <c r="N196" s="4" t="str">
        <f>IF(Balancete_Oficial[[#Headers],[Maio]]='Balancete MLN_WebPosto'!$G$2,
SUMIFS('Balancete MLN_WebPosto'!$I:$I,'Balancete MLN_WebPosto'!$C:$C,$A196,'Balancete MLN_WebPosto'!$B:$B,$B$2),
  "0"
)</f>
        <v>0</v>
      </c>
      <c r="O196" s="4" t="str">
        <f>IF(Balancete_Oficial[[#Headers],[Junho]]='Balancete MLN_WebPosto'!$G$2,
SUMIFS('Balancete MLN_WebPosto'!$I:$I,'Balancete MLN_WebPosto'!$C:$C,$A196,'Balancete MLN_WebPosto'!$B:$B,$B$2),
  "0"
)</f>
        <v>0</v>
      </c>
      <c r="P196" s="4" t="str">
        <f>IF(Balancete_Oficial[[#Headers],[Julho]]='Balancete MLN_WebPosto'!$G$2,
SUMIFS('Balancete MLN_WebPosto'!$I:$I,'Balancete MLN_WebPosto'!$C:$C,$A196,'Balancete MLN_WebPosto'!$B:$B,$B$2),
  "0"
)</f>
        <v>0</v>
      </c>
      <c r="Q196" s="4" t="str">
        <f>IF(Balancete_Oficial[[#Headers],[Agosto]]='Balancete MLN_WebPosto'!$G$2,
SUMIFS('Balancete MLN_WebPosto'!$I:$I,'Balancete MLN_WebPosto'!$C:$C,$A196,'Balancete MLN_WebPosto'!$B:$B,$B$2),
  "0"
)</f>
        <v>0</v>
      </c>
      <c r="R196" s="4">
        <f>IF(Balancete_Oficial[[#Headers],[Setembro]]='Balancete MLN_WebPosto'!$G$2,
SUMIFS('Balancete MLN_WebPosto'!$I:$I,'Balancete MLN_WebPosto'!$C:$C,$A196,'Balancete MLN_WebPosto'!$B:$B,$B$2),
  "0"
)</f>
        <v>0</v>
      </c>
      <c r="S196" s="4" t="str">
        <f>IF(Balancete_Oficial[[#Headers],[Outubro]]='Balancete MLN_WebPosto'!$G$2,
SUMIFS('Balancete MLN_WebPosto'!$I:$I,'Balancete MLN_WebPosto'!$C:$C,$A196,'Balancete MLN_WebPosto'!$B:$B,$B$2),
  "0"
)</f>
        <v>0</v>
      </c>
      <c r="T196" s="4" t="str">
        <f>IF(Balancete_Oficial[[#Headers],[Novembro]]='Balancete MLN_WebPosto'!$G$2,
SUMIFS('Balancete MLN_WebPosto'!$I:$I,'Balancete MLN_WebPosto'!$C:$C,$A196,'Balancete MLN_WebPosto'!$B:$B,$B$2),
  "0"
)</f>
        <v>0</v>
      </c>
      <c r="U196" s="4" t="str">
        <f>IF(Balancete_Oficial[[#Headers],[Dezembro]]='Balancete MLN_WebPosto'!$G$2,
SUMIFS('Balancete MLN_WebPosto'!$I:$I,'Balancete MLN_WebPosto'!$C:$C,$A196,'Balancete MLN_WebPosto'!$B:$B,$B$2),
  "0"
)</f>
        <v>0</v>
      </c>
    </row>
    <row r="197" spans="1:21" x14ac:dyDescent="0.25">
      <c r="A197" s="2" t="str">
        <f>IF(Dados!H194="","",Dados!H194)</f>
        <v/>
      </c>
      <c r="B197" s="2" t="e">
        <f>VLOOKUP(Balancete_Oficial[[#This Row],[Conta]],'Balancete MLN_WebPosto'!C:E,3,0)</f>
        <v>#N/A</v>
      </c>
      <c r="C197" s="3" t="str">
        <f t="shared" si="9"/>
        <v>Sintética</v>
      </c>
      <c r="D197" s="6" t="str">
        <f t="shared" si="10"/>
        <v>R</v>
      </c>
      <c r="E197" s="6" t="str">
        <f t="shared" si="11"/>
        <v/>
      </c>
      <c r="F197" s="6"/>
      <c r="G197" s="6"/>
      <c r="H197" s="6"/>
      <c r="I197" s="6"/>
      <c r="J197" s="4" t="str">
        <f>IF(Balancete_Oficial[[#Headers],[Janeiro]]='Balancete MLN_WebPosto'!$G$2,
SUMIFS('Balancete MLN_WebPosto'!$J:$J,'Balancete MLN_WebPosto'!$C:$C,$A197,'Balancete MLN_WebPosto'!$B:$B,$B$2),
  "0"
)</f>
        <v>0</v>
      </c>
      <c r="K197" s="4" t="str">
        <f>IF(Balancete_Oficial[[#Headers],[Fevereiro]]='Balancete MLN_WebPosto'!$G$2,
SUMIFS('Balancete MLN_WebPosto'!$J:$J,'Balancete MLN_WebPosto'!$C:$C,$A197,'Balancete MLN_WebPosto'!$B:$B,$B$2),
  "0"
)</f>
        <v>0</v>
      </c>
      <c r="L197" s="4" t="str">
        <f>IF(Balancete_Oficial[[#Headers],[Março]]='Balancete MLN_WebPosto'!$G$2,
SUMIFS('Balancete MLN_WebPosto'!$J:$J,'Balancete MLN_WebPosto'!$C:$C,$A197,'Balancete MLN_WebPosto'!$B:$B,$B$2),
  "0"
)</f>
        <v>0</v>
      </c>
      <c r="M197" s="4" t="str">
        <f>IF(Balancete_Oficial[[#Headers],[Abril]]='Balancete MLN_WebPosto'!$G$2,
SUMIFS('Balancete MLN_WebPosto'!$J:$J,'Balancete MLN_WebPosto'!$C:$C,$A197,'Balancete MLN_WebPosto'!$B:$B,$B$2),
  "0"
)</f>
        <v>0</v>
      </c>
      <c r="N197" s="4" t="str">
        <f>IF(Balancete_Oficial[[#Headers],[Maio]]='Balancete MLN_WebPosto'!$G$2,
SUMIFS('Balancete MLN_WebPosto'!$I:$I,'Balancete MLN_WebPosto'!$C:$C,$A197,'Balancete MLN_WebPosto'!$B:$B,$B$2),
  "0"
)</f>
        <v>0</v>
      </c>
      <c r="O197" s="4" t="str">
        <f>IF(Balancete_Oficial[[#Headers],[Junho]]='Balancete MLN_WebPosto'!$G$2,
SUMIFS('Balancete MLN_WebPosto'!$I:$I,'Balancete MLN_WebPosto'!$C:$C,$A197,'Balancete MLN_WebPosto'!$B:$B,$B$2),
  "0"
)</f>
        <v>0</v>
      </c>
      <c r="P197" s="4" t="str">
        <f>IF(Balancete_Oficial[[#Headers],[Julho]]='Balancete MLN_WebPosto'!$G$2,
SUMIFS('Balancete MLN_WebPosto'!$I:$I,'Balancete MLN_WebPosto'!$C:$C,$A197,'Balancete MLN_WebPosto'!$B:$B,$B$2),
  "0"
)</f>
        <v>0</v>
      </c>
      <c r="Q197" s="4" t="str">
        <f>IF(Balancete_Oficial[[#Headers],[Agosto]]='Balancete MLN_WebPosto'!$G$2,
SUMIFS('Balancete MLN_WebPosto'!$I:$I,'Balancete MLN_WebPosto'!$C:$C,$A197,'Balancete MLN_WebPosto'!$B:$B,$B$2),
  "0"
)</f>
        <v>0</v>
      </c>
      <c r="R197" s="4">
        <f>IF(Balancete_Oficial[[#Headers],[Setembro]]='Balancete MLN_WebPosto'!$G$2,
SUMIFS('Balancete MLN_WebPosto'!$I:$I,'Balancete MLN_WebPosto'!$C:$C,$A197,'Balancete MLN_WebPosto'!$B:$B,$B$2),
  "0"
)</f>
        <v>0</v>
      </c>
      <c r="S197" s="4" t="str">
        <f>IF(Balancete_Oficial[[#Headers],[Outubro]]='Balancete MLN_WebPosto'!$G$2,
SUMIFS('Balancete MLN_WebPosto'!$I:$I,'Balancete MLN_WebPosto'!$C:$C,$A197,'Balancete MLN_WebPosto'!$B:$B,$B$2),
  "0"
)</f>
        <v>0</v>
      </c>
      <c r="T197" s="4" t="str">
        <f>IF(Balancete_Oficial[[#Headers],[Novembro]]='Balancete MLN_WebPosto'!$G$2,
SUMIFS('Balancete MLN_WebPosto'!$I:$I,'Balancete MLN_WebPosto'!$C:$C,$A197,'Balancete MLN_WebPosto'!$B:$B,$B$2),
  "0"
)</f>
        <v>0</v>
      </c>
      <c r="U197" s="4" t="str">
        <f>IF(Balancete_Oficial[[#Headers],[Dezembro]]='Balancete MLN_WebPosto'!$G$2,
SUMIFS('Balancete MLN_WebPosto'!$I:$I,'Balancete MLN_WebPosto'!$C:$C,$A197,'Balancete MLN_WebPosto'!$B:$B,$B$2),
  "0"
)</f>
        <v>0</v>
      </c>
    </row>
    <row r="198" spans="1:21" x14ac:dyDescent="0.25">
      <c r="A198" s="2" t="str">
        <f>IF(Dados!H195="","",Dados!H195)</f>
        <v/>
      </c>
      <c r="B198" s="2" t="e">
        <f>VLOOKUP(Balancete_Oficial[[#This Row],[Conta]],'Balancete MLN_WebPosto'!C:E,3,0)</f>
        <v>#N/A</v>
      </c>
      <c r="C198" s="3" t="str">
        <f t="shared" si="9"/>
        <v>Sintética</v>
      </c>
      <c r="D198" s="6" t="str">
        <f t="shared" si="10"/>
        <v>R</v>
      </c>
      <c r="E198" s="6" t="str">
        <f t="shared" si="11"/>
        <v/>
      </c>
      <c r="F198" s="6"/>
      <c r="G198" s="6"/>
      <c r="H198" s="6"/>
      <c r="I198" s="6"/>
      <c r="J198" s="4" t="str">
        <f>IF(Balancete_Oficial[[#Headers],[Janeiro]]='Balancete MLN_WebPosto'!$G$2,
SUMIFS('Balancete MLN_WebPosto'!$J:$J,'Balancete MLN_WebPosto'!$C:$C,$A198,'Balancete MLN_WebPosto'!$B:$B,$B$2),
  "0"
)</f>
        <v>0</v>
      </c>
      <c r="K198" s="4" t="str">
        <f>IF(Balancete_Oficial[[#Headers],[Fevereiro]]='Balancete MLN_WebPosto'!$G$2,
SUMIFS('Balancete MLN_WebPosto'!$J:$J,'Balancete MLN_WebPosto'!$C:$C,$A198,'Balancete MLN_WebPosto'!$B:$B,$B$2),
  "0"
)</f>
        <v>0</v>
      </c>
      <c r="L198" s="4" t="str">
        <f>IF(Balancete_Oficial[[#Headers],[Março]]='Balancete MLN_WebPosto'!$G$2,
SUMIFS('Balancete MLN_WebPosto'!$J:$J,'Balancete MLN_WebPosto'!$C:$C,$A198,'Balancete MLN_WebPosto'!$B:$B,$B$2),
  "0"
)</f>
        <v>0</v>
      </c>
      <c r="M198" s="4" t="str">
        <f>IF(Balancete_Oficial[[#Headers],[Abril]]='Balancete MLN_WebPosto'!$G$2,
SUMIFS('Balancete MLN_WebPosto'!$J:$J,'Balancete MLN_WebPosto'!$C:$C,$A198,'Balancete MLN_WebPosto'!$B:$B,$B$2),
  "0"
)</f>
        <v>0</v>
      </c>
      <c r="N198" s="4" t="str">
        <f>IF(Balancete_Oficial[[#Headers],[Maio]]='Balancete MLN_WebPosto'!$G$2,
SUMIFS('Balancete MLN_WebPosto'!$I:$I,'Balancete MLN_WebPosto'!$C:$C,$A198,'Balancete MLN_WebPosto'!$B:$B,$B$2),
  "0"
)</f>
        <v>0</v>
      </c>
      <c r="O198" s="4" t="str">
        <f>IF(Balancete_Oficial[[#Headers],[Junho]]='Balancete MLN_WebPosto'!$G$2,
SUMIFS('Balancete MLN_WebPosto'!$I:$I,'Balancete MLN_WebPosto'!$C:$C,$A198,'Balancete MLN_WebPosto'!$B:$B,$B$2),
  "0"
)</f>
        <v>0</v>
      </c>
      <c r="P198" s="4" t="str">
        <f>IF(Balancete_Oficial[[#Headers],[Julho]]='Balancete MLN_WebPosto'!$G$2,
SUMIFS('Balancete MLN_WebPosto'!$I:$I,'Balancete MLN_WebPosto'!$C:$C,$A198,'Balancete MLN_WebPosto'!$B:$B,$B$2),
  "0"
)</f>
        <v>0</v>
      </c>
      <c r="Q198" s="4" t="str">
        <f>IF(Balancete_Oficial[[#Headers],[Agosto]]='Balancete MLN_WebPosto'!$G$2,
SUMIFS('Balancete MLN_WebPosto'!$I:$I,'Balancete MLN_WebPosto'!$C:$C,$A198,'Balancete MLN_WebPosto'!$B:$B,$B$2),
  "0"
)</f>
        <v>0</v>
      </c>
      <c r="R198" s="4">
        <f>IF(Balancete_Oficial[[#Headers],[Setembro]]='Balancete MLN_WebPosto'!$G$2,
SUMIFS('Balancete MLN_WebPosto'!$I:$I,'Balancete MLN_WebPosto'!$C:$C,$A198,'Balancete MLN_WebPosto'!$B:$B,$B$2),
  "0"
)</f>
        <v>0</v>
      </c>
      <c r="S198" s="4" t="str">
        <f>IF(Balancete_Oficial[[#Headers],[Outubro]]='Balancete MLN_WebPosto'!$G$2,
SUMIFS('Balancete MLN_WebPosto'!$I:$I,'Balancete MLN_WebPosto'!$C:$C,$A198,'Balancete MLN_WebPosto'!$B:$B,$B$2),
  "0"
)</f>
        <v>0</v>
      </c>
      <c r="T198" s="4" t="str">
        <f>IF(Balancete_Oficial[[#Headers],[Novembro]]='Balancete MLN_WebPosto'!$G$2,
SUMIFS('Balancete MLN_WebPosto'!$I:$I,'Balancete MLN_WebPosto'!$C:$C,$A198,'Balancete MLN_WebPosto'!$B:$B,$B$2),
  "0"
)</f>
        <v>0</v>
      </c>
      <c r="U198" s="4" t="str">
        <f>IF(Balancete_Oficial[[#Headers],[Dezembro]]='Balancete MLN_WebPosto'!$G$2,
SUMIFS('Balancete MLN_WebPosto'!$I:$I,'Balancete MLN_WebPosto'!$C:$C,$A198,'Balancete MLN_WebPosto'!$B:$B,$B$2),
  "0"
)</f>
        <v>0</v>
      </c>
    </row>
    <row r="199" spans="1:21" x14ac:dyDescent="0.25">
      <c r="A199" s="2" t="str">
        <f>IF(Dados!H196="","",Dados!H196)</f>
        <v/>
      </c>
      <c r="B199" s="2" t="e">
        <f>VLOOKUP(Balancete_Oficial[[#This Row],[Conta]],'Balancete MLN_WebPosto'!C:E,3,0)</f>
        <v>#N/A</v>
      </c>
      <c r="C199" s="3" t="str">
        <f t="shared" si="9"/>
        <v>Sintética</v>
      </c>
      <c r="D199" s="6" t="str">
        <f t="shared" si="10"/>
        <v>R</v>
      </c>
      <c r="E199" s="6" t="str">
        <f t="shared" si="11"/>
        <v/>
      </c>
      <c r="F199" s="6"/>
      <c r="G199" s="6"/>
      <c r="H199" s="6"/>
      <c r="I199" s="6"/>
      <c r="J199" s="4" t="str">
        <f>IF(Balancete_Oficial[[#Headers],[Janeiro]]='Balancete MLN_WebPosto'!$G$2,
SUMIFS('Balancete MLN_WebPosto'!$J:$J,'Balancete MLN_WebPosto'!$C:$C,$A199,'Balancete MLN_WebPosto'!$B:$B,$B$2),
  "0"
)</f>
        <v>0</v>
      </c>
      <c r="K199" s="4" t="str">
        <f>IF(Balancete_Oficial[[#Headers],[Fevereiro]]='Balancete MLN_WebPosto'!$G$2,
SUMIFS('Balancete MLN_WebPosto'!$J:$J,'Balancete MLN_WebPosto'!$C:$C,$A199,'Balancete MLN_WebPosto'!$B:$B,$B$2),
  "0"
)</f>
        <v>0</v>
      </c>
      <c r="L199" s="4" t="str">
        <f>IF(Balancete_Oficial[[#Headers],[Março]]='Balancete MLN_WebPosto'!$G$2,
SUMIFS('Balancete MLN_WebPosto'!$J:$J,'Balancete MLN_WebPosto'!$C:$C,$A199,'Balancete MLN_WebPosto'!$B:$B,$B$2),
  "0"
)</f>
        <v>0</v>
      </c>
      <c r="M199" s="4" t="str">
        <f>IF(Balancete_Oficial[[#Headers],[Abril]]='Balancete MLN_WebPosto'!$G$2,
SUMIFS('Balancete MLN_WebPosto'!$J:$J,'Balancete MLN_WebPosto'!$C:$C,$A199,'Balancete MLN_WebPosto'!$B:$B,$B$2),
  "0"
)</f>
        <v>0</v>
      </c>
      <c r="N199" s="4" t="str">
        <f>IF(Balancete_Oficial[[#Headers],[Maio]]='Balancete MLN_WebPosto'!$G$2,
SUMIFS('Balancete MLN_WebPosto'!$I:$I,'Balancete MLN_WebPosto'!$C:$C,$A199,'Balancete MLN_WebPosto'!$B:$B,$B$2),
  "0"
)</f>
        <v>0</v>
      </c>
      <c r="O199" s="4" t="str">
        <f>IF(Balancete_Oficial[[#Headers],[Junho]]='Balancete MLN_WebPosto'!$G$2,
SUMIFS('Balancete MLN_WebPosto'!$I:$I,'Balancete MLN_WebPosto'!$C:$C,$A199,'Balancete MLN_WebPosto'!$B:$B,$B$2),
  "0"
)</f>
        <v>0</v>
      </c>
      <c r="P199" s="4" t="str">
        <f>IF(Balancete_Oficial[[#Headers],[Julho]]='Balancete MLN_WebPosto'!$G$2,
SUMIFS('Balancete MLN_WebPosto'!$I:$I,'Balancete MLN_WebPosto'!$C:$C,$A199,'Balancete MLN_WebPosto'!$B:$B,$B$2),
  "0"
)</f>
        <v>0</v>
      </c>
      <c r="Q199" s="4" t="str">
        <f>IF(Balancete_Oficial[[#Headers],[Agosto]]='Balancete MLN_WebPosto'!$G$2,
SUMIFS('Balancete MLN_WebPosto'!$I:$I,'Balancete MLN_WebPosto'!$C:$C,$A199,'Balancete MLN_WebPosto'!$B:$B,$B$2),
  "0"
)</f>
        <v>0</v>
      </c>
      <c r="R199" s="4">
        <f>IF(Balancete_Oficial[[#Headers],[Setembro]]='Balancete MLN_WebPosto'!$G$2,
SUMIFS('Balancete MLN_WebPosto'!$I:$I,'Balancete MLN_WebPosto'!$C:$C,$A199,'Balancete MLN_WebPosto'!$B:$B,$B$2),
  "0"
)</f>
        <v>0</v>
      </c>
      <c r="S199" s="4" t="str">
        <f>IF(Balancete_Oficial[[#Headers],[Outubro]]='Balancete MLN_WebPosto'!$G$2,
SUMIFS('Balancete MLN_WebPosto'!$I:$I,'Balancete MLN_WebPosto'!$C:$C,$A199,'Balancete MLN_WebPosto'!$B:$B,$B$2),
  "0"
)</f>
        <v>0</v>
      </c>
      <c r="T199" s="4" t="str">
        <f>IF(Balancete_Oficial[[#Headers],[Novembro]]='Balancete MLN_WebPosto'!$G$2,
SUMIFS('Balancete MLN_WebPosto'!$I:$I,'Balancete MLN_WebPosto'!$C:$C,$A199,'Balancete MLN_WebPosto'!$B:$B,$B$2),
  "0"
)</f>
        <v>0</v>
      </c>
      <c r="U199" s="4" t="str">
        <f>IF(Balancete_Oficial[[#Headers],[Dezembro]]='Balancete MLN_WebPosto'!$G$2,
SUMIFS('Balancete MLN_WebPosto'!$I:$I,'Balancete MLN_WebPosto'!$C:$C,$A199,'Balancete MLN_WebPosto'!$B:$B,$B$2),
  "0"
)</f>
        <v>0</v>
      </c>
    </row>
    <row r="200" spans="1:21" x14ac:dyDescent="0.25">
      <c r="A200" s="2" t="str">
        <f>IF(Dados!H197="","",Dados!H197)</f>
        <v/>
      </c>
      <c r="B200" s="2" t="e">
        <f>VLOOKUP(Balancete_Oficial[[#This Row],[Conta]],'Balancete MLN_WebPosto'!C:E,3,0)</f>
        <v>#N/A</v>
      </c>
      <c r="C200" s="3" t="str">
        <f t="shared" si="9"/>
        <v>Sintética</v>
      </c>
      <c r="D200" s="6" t="str">
        <f t="shared" si="10"/>
        <v>R</v>
      </c>
      <c r="E200" s="6" t="str">
        <f t="shared" si="11"/>
        <v/>
      </c>
      <c r="F200" s="6"/>
      <c r="G200" s="6"/>
      <c r="H200" s="6"/>
      <c r="I200" s="6"/>
      <c r="J200" s="4" t="str">
        <f>IF(Balancete_Oficial[[#Headers],[Janeiro]]='Balancete MLN_WebPosto'!$G$2,
SUMIFS('Balancete MLN_WebPosto'!$J:$J,'Balancete MLN_WebPosto'!$C:$C,$A200,'Balancete MLN_WebPosto'!$B:$B,$B$2),
  "0"
)</f>
        <v>0</v>
      </c>
      <c r="K200" s="4" t="str">
        <f>IF(Balancete_Oficial[[#Headers],[Fevereiro]]='Balancete MLN_WebPosto'!$G$2,
SUMIFS('Balancete MLN_WebPosto'!$J:$J,'Balancete MLN_WebPosto'!$C:$C,$A200,'Balancete MLN_WebPosto'!$B:$B,$B$2),
  "0"
)</f>
        <v>0</v>
      </c>
      <c r="L200" s="4" t="str">
        <f>IF(Balancete_Oficial[[#Headers],[Março]]='Balancete MLN_WebPosto'!$G$2,
SUMIFS('Balancete MLN_WebPosto'!$J:$J,'Balancete MLN_WebPosto'!$C:$C,$A200,'Balancete MLN_WebPosto'!$B:$B,$B$2),
  "0"
)</f>
        <v>0</v>
      </c>
      <c r="M200" s="4" t="str">
        <f>IF(Balancete_Oficial[[#Headers],[Abril]]='Balancete MLN_WebPosto'!$G$2,
SUMIFS('Balancete MLN_WebPosto'!$J:$J,'Balancete MLN_WebPosto'!$C:$C,$A200,'Balancete MLN_WebPosto'!$B:$B,$B$2),
  "0"
)</f>
        <v>0</v>
      </c>
      <c r="N200" s="4" t="str">
        <f>IF(Balancete_Oficial[[#Headers],[Maio]]='Balancete MLN_WebPosto'!$G$2,
SUMIFS('Balancete MLN_WebPosto'!$I:$I,'Balancete MLN_WebPosto'!$C:$C,$A200,'Balancete MLN_WebPosto'!$B:$B,$B$2),
  "0"
)</f>
        <v>0</v>
      </c>
      <c r="O200" s="4" t="str">
        <f>IF(Balancete_Oficial[[#Headers],[Junho]]='Balancete MLN_WebPosto'!$G$2,
SUMIFS('Balancete MLN_WebPosto'!$I:$I,'Balancete MLN_WebPosto'!$C:$C,$A200,'Balancete MLN_WebPosto'!$B:$B,$B$2),
  "0"
)</f>
        <v>0</v>
      </c>
      <c r="P200" s="4" t="str">
        <f>IF(Balancete_Oficial[[#Headers],[Julho]]='Balancete MLN_WebPosto'!$G$2,
SUMIFS('Balancete MLN_WebPosto'!$I:$I,'Balancete MLN_WebPosto'!$C:$C,$A200,'Balancete MLN_WebPosto'!$B:$B,$B$2),
  "0"
)</f>
        <v>0</v>
      </c>
      <c r="Q200" s="4" t="str">
        <f>IF(Balancete_Oficial[[#Headers],[Agosto]]='Balancete MLN_WebPosto'!$G$2,
SUMIFS('Balancete MLN_WebPosto'!$I:$I,'Balancete MLN_WebPosto'!$C:$C,$A200,'Balancete MLN_WebPosto'!$B:$B,$B$2),
  "0"
)</f>
        <v>0</v>
      </c>
      <c r="R200" s="4">
        <f>IF(Balancete_Oficial[[#Headers],[Setembro]]='Balancete MLN_WebPosto'!$G$2,
SUMIFS('Balancete MLN_WebPosto'!$I:$I,'Balancete MLN_WebPosto'!$C:$C,$A200,'Balancete MLN_WebPosto'!$B:$B,$B$2),
  "0"
)</f>
        <v>0</v>
      </c>
      <c r="S200" s="4" t="str">
        <f>IF(Balancete_Oficial[[#Headers],[Outubro]]='Balancete MLN_WebPosto'!$G$2,
SUMIFS('Balancete MLN_WebPosto'!$I:$I,'Balancete MLN_WebPosto'!$C:$C,$A200,'Balancete MLN_WebPosto'!$B:$B,$B$2),
  "0"
)</f>
        <v>0</v>
      </c>
      <c r="T200" s="4" t="str">
        <f>IF(Balancete_Oficial[[#Headers],[Novembro]]='Balancete MLN_WebPosto'!$G$2,
SUMIFS('Balancete MLN_WebPosto'!$I:$I,'Balancete MLN_WebPosto'!$C:$C,$A200,'Balancete MLN_WebPosto'!$B:$B,$B$2),
  "0"
)</f>
        <v>0</v>
      </c>
      <c r="U200" s="4" t="str">
        <f>IF(Balancete_Oficial[[#Headers],[Dezembro]]='Balancete MLN_WebPosto'!$G$2,
SUMIFS('Balancete MLN_WebPosto'!$I:$I,'Balancete MLN_WebPosto'!$C:$C,$A200,'Balancete MLN_WebPosto'!$B:$B,$B$2),
  "0"
)</f>
        <v>0</v>
      </c>
    </row>
    <row r="201" spans="1:21" x14ac:dyDescent="0.25">
      <c r="A201" s="2" t="str">
        <f>IF(Dados!H198="","",Dados!H198)</f>
        <v/>
      </c>
      <c r="B201" s="2" t="e">
        <f>VLOOKUP(Balancete_Oficial[[#This Row],[Conta]],'Balancete MLN_WebPosto'!C:E,3,0)</f>
        <v>#N/A</v>
      </c>
      <c r="C201" s="3" t="str">
        <f t="shared" ref="C201:C264" si="12">IF(LEN(A201)=17,"Analítica","Sintética")</f>
        <v>Sintética</v>
      </c>
      <c r="D201" s="6" t="str">
        <f t="shared" ref="D201:D264" si="13">IF(LEFT(A201,1)="1","A",IF(LEFT(A201,1)="2","P","R"))</f>
        <v>R</v>
      </c>
      <c r="E201" s="6" t="str">
        <f t="shared" ref="E201:E264" si="14">LEFT(A201,1)</f>
        <v/>
      </c>
      <c r="F201" s="6"/>
      <c r="G201" s="6"/>
      <c r="H201" s="6"/>
      <c r="I201" s="6"/>
      <c r="J201" s="4" t="str">
        <f>IF(Balancete_Oficial[[#Headers],[Janeiro]]='Balancete MLN_WebPosto'!$G$2,
SUMIFS('Balancete MLN_WebPosto'!$J:$J,'Balancete MLN_WebPosto'!$C:$C,$A201,'Balancete MLN_WebPosto'!$B:$B,$B$2),
  "0"
)</f>
        <v>0</v>
      </c>
      <c r="K201" s="4" t="str">
        <f>IF(Balancete_Oficial[[#Headers],[Fevereiro]]='Balancete MLN_WebPosto'!$G$2,
SUMIFS('Balancete MLN_WebPosto'!$J:$J,'Balancete MLN_WebPosto'!$C:$C,$A201,'Balancete MLN_WebPosto'!$B:$B,$B$2),
  "0"
)</f>
        <v>0</v>
      </c>
      <c r="L201" s="4" t="str">
        <f>IF(Balancete_Oficial[[#Headers],[Março]]='Balancete MLN_WebPosto'!$G$2,
SUMIFS('Balancete MLN_WebPosto'!$J:$J,'Balancete MLN_WebPosto'!$C:$C,$A201,'Balancete MLN_WebPosto'!$B:$B,$B$2),
  "0"
)</f>
        <v>0</v>
      </c>
      <c r="M201" s="4" t="str">
        <f>IF(Balancete_Oficial[[#Headers],[Abril]]='Balancete MLN_WebPosto'!$G$2,
SUMIFS('Balancete MLN_WebPosto'!$J:$J,'Balancete MLN_WebPosto'!$C:$C,$A201,'Balancete MLN_WebPosto'!$B:$B,$B$2),
  "0"
)</f>
        <v>0</v>
      </c>
      <c r="N201" s="4" t="str">
        <f>IF(Balancete_Oficial[[#Headers],[Maio]]='Balancete MLN_WebPosto'!$G$2,
SUMIFS('Balancete MLN_WebPosto'!$I:$I,'Balancete MLN_WebPosto'!$C:$C,$A201,'Balancete MLN_WebPosto'!$B:$B,$B$2),
  "0"
)</f>
        <v>0</v>
      </c>
      <c r="O201" s="4" t="str">
        <f>IF(Balancete_Oficial[[#Headers],[Junho]]='Balancete MLN_WebPosto'!$G$2,
SUMIFS('Balancete MLN_WebPosto'!$I:$I,'Balancete MLN_WebPosto'!$C:$C,$A201,'Balancete MLN_WebPosto'!$B:$B,$B$2),
  "0"
)</f>
        <v>0</v>
      </c>
      <c r="P201" s="4" t="str">
        <f>IF(Balancete_Oficial[[#Headers],[Julho]]='Balancete MLN_WebPosto'!$G$2,
SUMIFS('Balancete MLN_WebPosto'!$I:$I,'Balancete MLN_WebPosto'!$C:$C,$A201,'Balancete MLN_WebPosto'!$B:$B,$B$2),
  "0"
)</f>
        <v>0</v>
      </c>
      <c r="Q201" s="4" t="str">
        <f>IF(Balancete_Oficial[[#Headers],[Agosto]]='Balancete MLN_WebPosto'!$G$2,
SUMIFS('Balancete MLN_WebPosto'!$I:$I,'Balancete MLN_WebPosto'!$C:$C,$A201,'Balancete MLN_WebPosto'!$B:$B,$B$2),
  "0"
)</f>
        <v>0</v>
      </c>
      <c r="R201" s="4">
        <f>IF(Balancete_Oficial[[#Headers],[Setembro]]='Balancete MLN_WebPosto'!$G$2,
SUMIFS('Balancete MLN_WebPosto'!$I:$I,'Balancete MLN_WebPosto'!$C:$C,$A201,'Balancete MLN_WebPosto'!$B:$B,$B$2),
  "0"
)</f>
        <v>0</v>
      </c>
      <c r="S201" s="4" t="str">
        <f>IF(Balancete_Oficial[[#Headers],[Outubro]]='Balancete MLN_WebPosto'!$G$2,
SUMIFS('Balancete MLN_WebPosto'!$I:$I,'Balancete MLN_WebPosto'!$C:$C,$A201,'Balancete MLN_WebPosto'!$B:$B,$B$2),
  "0"
)</f>
        <v>0</v>
      </c>
      <c r="T201" s="4" t="str">
        <f>IF(Balancete_Oficial[[#Headers],[Novembro]]='Balancete MLN_WebPosto'!$G$2,
SUMIFS('Balancete MLN_WebPosto'!$I:$I,'Balancete MLN_WebPosto'!$C:$C,$A201,'Balancete MLN_WebPosto'!$B:$B,$B$2),
  "0"
)</f>
        <v>0</v>
      </c>
      <c r="U201" s="4" t="str">
        <f>IF(Balancete_Oficial[[#Headers],[Dezembro]]='Balancete MLN_WebPosto'!$G$2,
SUMIFS('Balancete MLN_WebPosto'!$I:$I,'Balancete MLN_WebPosto'!$C:$C,$A201,'Balancete MLN_WebPosto'!$B:$B,$B$2),
  "0"
)</f>
        <v>0</v>
      </c>
    </row>
    <row r="202" spans="1:21" x14ac:dyDescent="0.25">
      <c r="A202" s="2" t="str">
        <f>IF(Dados!H199="","",Dados!H199)</f>
        <v/>
      </c>
      <c r="B202" s="2" t="e">
        <f>VLOOKUP(Balancete_Oficial[[#This Row],[Conta]],'Balancete MLN_WebPosto'!C:E,3,0)</f>
        <v>#N/A</v>
      </c>
      <c r="C202" s="3" t="str">
        <f t="shared" si="12"/>
        <v>Sintética</v>
      </c>
      <c r="D202" s="6" t="str">
        <f t="shared" si="13"/>
        <v>R</v>
      </c>
      <c r="E202" s="6" t="str">
        <f t="shared" si="14"/>
        <v/>
      </c>
      <c r="F202" s="6"/>
      <c r="G202" s="6"/>
      <c r="H202" s="6"/>
      <c r="I202" s="6"/>
      <c r="J202" s="4" t="str">
        <f>IF(Balancete_Oficial[[#Headers],[Janeiro]]='Balancete MLN_WebPosto'!$G$2,
SUMIFS('Balancete MLN_WebPosto'!$J:$J,'Balancete MLN_WebPosto'!$C:$C,$A202,'Balancete MLN_WebPosto'!$B:$B,$B$2),
  "0"
)</f>
        <v>0</v>
      </c>
      <c r="K202" s="4" t="str">
        <f>IF(Balancete_Oficial[[#Headers],[Fevereiro]]='Balancete MLN_WebPosto'!$G$2,
SUMIFS('Balancete MLN_WebPosto'!$J:$J,'Balancete MLN_WebPosto'!$C:$C,$A202,'Balancete MLN_WebPosto'!$B:$B,$B$2),
  "0"
)</f>
        <v>0</v>
      </c>
      <c r="L202" s="4" t="str">
        <f>IF(Balancete_Oficial[[#Headers],[Março]]='Balancete MLN_WebPosto'!$G$2,
SUMIFS('Balancete MLN_WebPosto'!$J:$J,'Balancete MLN_WebPosto'!$C:$C,$A202,'Balancete MLN_WebPosto'!$B:$B,$B$2),
  "0"
)</f>
        <v>0</v>
      </c>
      <c r="M202" s="4" t="str">
        <f>IF(Balancete_Oficial[[#Headers],[Abril]]='Balancete MLN_WebPosto'!$G$2,
SUMIFS('Balancete MLN_WebPosto'!$J:$J,'Balancete MLN_WebPosto'!$C:$C,$A202,'Balancete MLN_WebPosto'!$B:$B,$B$2),
  "0"
)</f>
        <v>0</v>
      </c>
      <c r="N202" s="4" t="str">
        <f>IF(Balancete_Oficial[[#Headers],[Maio]]='Balancete MLN_WebPosto'!$G$2,
SUMIFS('Balancete MLN_WebPosto'!$I:$I,'Balancete MLN_WebPosto'!$C:$C,$A202,'Balancete MLN_WebPosto'!$B:$B,$B$2),
  "0"
)</f>
        <v>0</v>
      </c>
      <c r="O202" s="4" t="str">
        <f>IF(Balancete_Oficial[[#Headers],[Junho]]='Balancete MLN_WebPosto'!$G$2,
SUMIFS('Balancete MLN_WebPosto'!$I:$I,'Balancete MLN_WebPosto'!$C:$C,$A202,'Balancete MLN_WebPosto'!$B:$B,$B$2),
  "0"
)</f>
        <v>0</v>
      </c>
      <c r="P202" s="4" t="str">
        <f>IF(Balancete_Oficial[[#Headers],[Julho]]='Balancete MLN_WebPosto'!$G$2,
SUMIFS('Balancete MLN_WebPosto'!$I:$I,'Balancete MLN_WebPosto'!$C:$C,$A202,'Balancete MLN_WebPosto'!$B:$B,$B$2),
  "0"
)</f>
        <v>0</v>
      </c>
      <c r="Q202" s="4" t="str">
        <f>IF(Balancete_Oficial[[#Headers],[Agosto]]='Balancete MLN_WebPosto'!$G$2,
SUMIFS('Balancete MLN_WebPosto'!$I:$I,'Balancete MLN_WebPosto'!$C:$C,$A202,'Balancete MLN_WebPosto'!$B:$B,$B$2),
  "0"
)</f>
        <v>0</v>
      </c>
      <c r="R202" s="4">
        <f>IF(Balancete_Oficial[[#Headers],[Setembro]]='Balancete MLN_WebPosto'!$G$2,
SUMIFS('Balancete MLN_WebPosto'!$I:$I,'Balancete MLN_WebPosto'!$C:$C,$A202,'Balancete MLN_WebPosto'!$B:$B,$B$2),
  "0"
)</f>
        <v>0</v>
      </c>
      <c r="S202" s="4" t="str">
        <f>IF(Balancete_Oficial[[#Headers],[Outubro]]='Balancete MLN_WebPosto'!$G$2,
SUMIFS('Balancete MLN_WebPosto'!$I:$I,'Balancete MLN_WebPosto'!$C:$C,$A202,'Balancete MLN_WebPosto'!$B:$B,$B$2),
  "0"
)</f>
        <v>0</v>
      </c>
      <c r="T202" s="4" t="str">
        <f>IF(Balancete_Oficial[[#Headers],[Novembro]]='Balancete MLN_WebPosto'!$G$2,
SUMIFS('Balancete MLN_WebPosto'!$I:$I,'Balancete MLN_WebPosto'!$C:$C,$A202,'Balancete MLN_WebPosto'!$B:$B,$B$2),
  "0"
)</f>
        <v>0</v>
      </c>
      <c r="U202" s="4" t="str">
        <f>IF(Balancete_Oficial[[#Headers],[Dezembro]]='Balancete MLN_WebPosto'!$G$2,
SUMIFS('Balancete MLN_WebPosto'!$I:$I,'Balancete MLN_WebPosto'!$C:$C,$A202,'Balancete MLN_WebPosto'!$B:$B,$B$2),
  "0"
)</f>
        <v>0</v>
      </c>
    </row>
    <row r="203" spans="1:21" x14ac:dyDescent="0.25">
      <c r="A203" s="2" t="str">
        <f>IF(Dados!H200="","",Dados!H200)</f>
        <v/>
      </c>
      <c r="B203" s="2" t="e">
        <f>VLOOKUP(Balancete_Oficial[[#This Row],[Conta]],'Balancete MLN_WebPosto'!C:E,3,0)</f>
        <v>#N/A</v>
      </c>
      <c r="C203" s="3" t="str">
        <f t="shared" si="12"/>
        <v>Sintética</v>
      </c>
      <c r="D203" s="6" t="str">
        <f t="shared" si="13"/>
        <v>R</v>
      </c>
      <c r="E203" s="6" t="str">
        <f t="shared" si="14"/>
        <v/>
      </c>
      <c r="F203" s="6"/>
      <c r="G203" s="6"/>
      <c r="H203" s="6"/>
      <c r="I203" s="6"/>
      <c r="J203" s="4" t="str">
        <f>IF(Balancete_Oficial[[#Headers],[Janeiro]]='Balancete MLN_WebPosto'!$G$2,
SUMIFS('Balancete MLN_WebPosto'!$J:$J,'Balancete MLN_WebPosto'!$C:$C,$A203,'Balancete MLN_WebPosto'!$B:$B,$B$2),
  "0"
)</f>
        <v>0</v>
      </c>
      <c r="K203" s="4" t="str">
        <f>IF(Balancete_Oficial[[#Headers],[Fevereiro]]='Balancete MLN_WebPosto'!$G$2,
SUMIFS('Balancete MLN_WebPosto'!$J:$J,'Balancete MLN_WebPosto'!$C:$C,$A203,'Balancete MLN_WebPosto'!$B:$B,$B$2),
  "0"
)</f>
        <v>0</v>
      </c>
      <c r="L203" s="4" t="str">
        <f>IF(Balancete_Oficial[[#Headers],[Março]]='Balancete MLN_WebPosto'!$G$2,
SUMIFS('Balancete MLN_WebPosto'!$J:$J,'Balancete MLN_WebPosto'!$C:$C,$A203,'Balancete MLN_WebPosto'!$B:$B,$B$2),
  "0"
)</f>
        <v>0</v>
      </c>
      <c r="M203" s="4" t="str">
        <f>IF(Balancete_Oficial[[#Headers],[Abril]]='Balancete MLN_WebPosto'!$G$2,
SUMIFS('Balancete MLN_WebPosto'!$J:$J,'Balancete MLN_WebPosto'!$C:$C,$A203,'Balancete MLN_WebPosto'!$B:$B,$B$2),
  "0"
)</f>
        <v>0</v>
      </c>
      <c r="N203" s="4" t="str">
        <f>IF(Balancete_Oficial[[#Headers],[Maio]]='Balancete MLN_WebPosto'!$G$2,
SUMIFS('Balancete MLN_WebPosto'!$I:$I,'Balancete MLN_WebPosto'!$C:$C,$A203,'Balancete MLN_WebPosto'!$B:$B,$B$2),
  "0"
)</f>
        <v>0</v>
      </c>
      <c r="O203" s="4" t="str">
        <f>IF(Balancete_Oficial[[#Headers],[Junho]]='Balancete MLN_WebPosto'!$G$2,
SUMIFS('Balancete MLN_WebPosto'!$I:$I,'Balancete MLN_WebPosto'!$C:$C,$A203,'Balancete MLN_WebPosto'!$B:$B,$B$2),
  "0"
)</f>
        <v>0</v>
      </c>
      <c r="P203" s="4" t="str">
        <f>IF(Balancete_Oficial[[#Headers],[Julho]]='Balancete MLN_WebPosto'!$G$2,
SUMIFS('Balancete MLN_WebPosto'!$I:$I,'Balancete MLN_WebPosto'!$C:$C,$A203,'Balancete MLN_WebPosto'!$B:$B,$B$2),
  "0"
)</f>
        <v>0</v>
      </c>
      <c r="Q203" s="4" t="str">
        <f>IF(Balancete_Oficial[[#Headers],[Agosto]]='Balancete MLN_WebPosto'!$G$2,
SUMIFS('Balancete MLN_WebPosto'!$I:$I,'Balancete MLN_WebPosto'!$C:$C,$A203,'Balancete MLN_WebPosto'!$B:$B,$B$2),
  "0"
)</f>
        <v>0</v>
      </c>
      <c r="R203" s="4">
        <f>IF(Balancete_Oficial[[#Headers],[Setembro]]='Balancete MLN_WebPosto'!$G$2,
SUMIFS('Balancete MLN_WebPosto'!$I:$I,'Balancete MLN_WebPosto'!$C:$C,$A203,'Balancete MLN_WebPosto'!$B:$B,$B$2),
  "0"
)</f>
        <v>0</v>
      </c>
      <c r="S203" s="4" t="str">
        <f>IF(Balancete_Oficial[[#Headers],[Outubro]]='Balancete MLN_WebPosto'!$G$2,
SUMIFS('Balancete MLN_WebPosto'!$I:$I,'Balancete MLN_WebPosto'!$C:$C,$A203,'Balancete MLN_WebPosto'!$B:$B,$B$2),
  "0"
)</f>
        <v>0</v>
      </c>
      <c r="T203" s="4" t="str">
        <f>IF(Balancete_Oficial[[#Headers],[Novembro]]='Balancete MLN_WebPosto'!$G$2,
SUMIFS('Balancete MLN_WebPosto'!$I:$I,'Balancete MLN_WebPosto'!$C:$C,$A203,'Balancete MLN_WebPosto'!$B:$B,$B$2),
  "0"
)</f>
        <v>0</v>
      </c>
      <c r="U203" s="4" t="str">
        <f>IF(Balancete_Oficial[[#Headers],[Dezembro]]='Balancete MLN_WebPosto'!$G$2,
SUMIFS('Balancete MLN_WebPosto'!$I:$I,'Balancete MLN_WebPosto'!$C:$C,$A203,'Balancete MLN_WebPosto'!$B:$B,$B$2),
  "0"
)</f>
        <v>0</v>
      </c>
    </row>
    <row r="204" spans="1:21" x14ac:dyDescent="0.25">
      <c r="A204" s="2" t="str">
        <f>IF(Dados!H201="","",Dados!H201)</f>
        <v/>
      </c>
      <c r="B204" s="2" t="e">
        <f>VLOOKUP(Balancete_Oficial[[#This Row],[Conta]],'Balancete MLN_WebPosto'!C:E,3,0)</f>
        <v>#N/A</v>
      </c>
      <c r="C204" s="3" t="str">
        <f t="shared" si="12"/>
        <v>Sintética</v>
      </c>
      <c r="D204" s="6" t="str">
        <f t="shared" si="13"/>
        <v>R</v>
      </c>
      <c r="E204" s="6" t="str">
        <f t="shared" si="14"/>
        <v/>
      </c>
      <c r="F204" s="6"/>
      <c r="G204" s="6"/>
      <c r="H204" s="6"/>
      <c r="I204" s="6"/>
      <c r="J204" s="4" t="str">
        <f>IF(Balancete_Oficial[[#Headers],[Janeiro]]='Balancete MLN_WebPosto'!$G$2,
SUMIFS('Balancete MLN_WebPosto'!$J:$J,'Balancete MLN_WebPosto'!$C:$C,$A204,'Balancete MLN_WebPosto'!$B:$B,$B$2),
  "0"
)</f>
        <v>0</v>
      </c>
      <c r="K204" s="4" t="str">
        <f>IF(Balancete_Oficial[[#Headers],[Fevereiro]]='Balancete MLN_WebPosto'!$G$2,
SUMIFS('Balancete MLN_WebPosto'!$J:$J,'Balancete MLN_WebPosto'!$C:$C,$A204,'Balancete MLN_WebPosto'!$B:$B,$B$2),
  "0"
)</f>
        <v>0</v>
      </c>
      <c r="L204" s="4" t="str">
        <f>IF(Balancete_Oficial[[#Headers],[Março]]='Balancete MLN_WebPosto'!$G$2,
SUMIFS('Balancete MLN_WebPosto'!$J:$J,'Balancete MLN_WebPosto'!$C:$C,$A204,'Balancete MLN_WebPosto'!$B:$B,$B$2),
  "0"
)</f>
        <v>0</v>
      </c>
      <c r="M204" s="4" t="str">
        <f>IF(Balancete_Oficial[[#Headers],[Abril]]='Balancete MLN_WebPosto'!$G$2,
SUMIFS('Balancete MLN_WebPosto'!$J:$J,'Balancete MLN_WebPosto'!$C:$C,$A204,'Balancete MLN_WebPosto'!$B:$B,$B$2),
  "0"
)</f>
        <v>0</v>
      </c>
      <c r="N204" s="4" t="str">
        <f>IF(Balancete_Oficial[[#Headers],[Maio]]='Balancete MLN_WebPosto'!$G$2,
SUMIFS('Balancete MLN_WebPosto'!$I:$I,'Balancete MLN_WebPosto'!$C:$C,$A204,'Balancete MLN_WebPosto'!$B:$B,$B$2),
  "0"
)</f>
        <v>0</v>
      </c>
      <c r="O204" s="4" t="str">
        <f>IF(Balancete_Oficial[[#Headers],[Junho]]='Balancete MLN_WebPosto'!$G$2,
SUMIFS('Balancete MLN_WebPosto'!$I:$I,'Balancete MLN_WebPosto'!$C:$C,$A204,'Balancete MLN_WebPosto'!$B:$B,$B$2),
  "0"
)</f>
        <v>0</v>
      </c>
      <c r="P204" s="4" t="str">
        <f>IF(Balancete_Oficial[[#Headers],[Julho]]='Balancete MLN_WebPosto'!$G$2,
SUMIFS('Balancete MLN_WebPosto'!$I:$I,'Balancete MLN_WebPosto'!$C:$C,$A204,'Balancete MLN_WebPosto'!$B:$B,$B$2),
  "0"
)</f>
        <v>0</v>
      </c>
      <c r="Q204" s="4" t="str">
        <f>IF(Balancete_Oficial[[#Headers],[Agosto]]='Balancete MLN_WebPosto'!$G$2,
SUMIFS('Balancete MLN_WebPosto'!$I:$I,'Balancete MLN_WebPosto'!$C:$C,$A204,'Balancete MLN_WebPosto'!$B:$B,$B$2),
  "0"
)</f>
        <v>0</v>
      </c>
      <c r="R204" s="4">
        <f>IF(Balancete_Oficial[[#Headers],[Setembro]]='Balancete MLN_WebPosto'!$G$2,
SUMIFS('Balancete MLN_WebPosto'!$I:$I,'Balancete MLN_WebPosto'!$C:$C,$A204,'Balancete MLN_WebPosto'!$B:$B,$B$2),
  "0"
)</f>
        <v>0</v>
      </c>
      <c r="S204" s="4" t="str">
        <f>IF(Balancete_Oficial[[#Headers],[Outubro]]='Balancete MLN_WebPosto'!$G$2,
SUMIFS('Balancete MLN_WebPosto'!$I:$I,'Balancete MLN_WebPosto'!$C:$C,$A204,'Balancete MLN_WebPosto'!$B:$B,$B$2),
  "0"
)</f>
        <v>0</v>
      </c>
      <c r="T204" s="4" t="str">
        <f>IF(Balancete_Oficial[[#Headers],[Novembro]]='Balancete MLN_WebPosto'!$G$2,
SUMIFS('Balancete MLN_WebPosto'!$I:$I,'Balancete MLN_WebPosto'!$C:$C,$A204,'Balancete MLN_WebPosto'!$B:$B,$B$2),
  "0"
)</f>
        <v>0</v>
      </c>
      <c r="U204" s="4" t="str">
        <f>IF(Balancete_Oficial[[#Headers],[Dezembro]]='Balancete MLN_WebPosto'!$G$2,
SUMIFS('Balancete MLN_WebPosto'!$I:$I,'Balancete MLN_WebPosto'!$C:$C,$A204,'Balancete MLN_WebPosto'!$B:$B,$B$2),
  "0"
)</f>
        <v>0</v>
      </c>
    </row>
    <row r="205" spans="1:21" x14ac:dyDescent="0.25">
      <c r="A205" s="2" t="str">
        <f>IF(Dados!H202="","",Dados!H202)</f>
        <v/>
      </c>
      <c r="B205" s="2" t="e">
        <f>VLOOKUP(Balancete_Oficial[[#This Row],[Conta]],'Balancete MLN_WebPosto'!C:E,3,0)</f>
        <v>#N/A</v>
      </c>
      <c r="C205" s="3" t="str">
        <f t="shared" si="12"/>
        <v>Sintética</v>
      </c>
      <c r="D205" s="6" t="str">
        <f t="shared" si="13"/>
        <v>R</v>
      </c>
      <c r="E205" s="6" t="str">
        <f t="shared" si="14"/>
        <v/>
      </c>
      <c r="F205" s="6"/>
      <c r="G205" s="6"/>
      <c r="H205" s="6"/>
      <c r="I205" s="6"/>
      <c r="J205" s="4" t="str">
        <f>IF(Balancete_Oficial[[#Headers],[Janeiro]]='Balancete MLN_WebPosto'!$G$2,
SUMIFS('Balancete MLN_WebPosto'!$J:$J,'Balancete MLN_WebPosto'!$C:$C,$A205,'Balancete MLN_WebPosto'!$B:$B,$B$2),
  "0"
)</f>
        <v>0</v>
      </c>
      <c r="K205" s="4" t="str">
        <f>IF(Balancete_Oficial[[#Headers],[Fevereiro]]='Balancete MLN_WebPosto'!$G$2,
SUMIFS('Balancete MLN_WebPosto'!$J:$J,'Balancete MLN_WebPosto'!$C:$C,$A205,'Balancete MLN_WebPosto'!$B:$B,$B$2),
  "0"
)</f>
        <v>0</v>
      </c>
      <c r="L205" s="4" t="str">
        <f>IF(Balancete_Oficial[[#Headers],[Março]]='Balancete MLN_WebPosto'!$G$2,
SUMIFS('Balancete MLN_WebPosto'!$J:$J,'Balancete MLN_WebPosto'!$C:$C,$A205,'Balancete MLN_WebPosto'!$B:$B,$B$2),
  "0"
)</f>
        <v>0</v>
      </c>
      <c r="M205" s="4" t="str">
        <f>IF(Balancete_Oficial[[#Headers],[Abril]]='Balancete MLN_WebPosto'!$G$2,
SUMIFS('Balancete MLN_WebPosto'!$J:$J,'Balancete MLN_WebPosto'!$C:$C,$A205,'Balancete MLN_WebPosto'!$B:$B,$B$2),
  "0"
)</f>
        <v>0</v>
      </c>
      <c r="N205" s="4" t="str">
        <f>IF(Balancete_Oficial[[#Headers],[Maio]]='Balancete MLN_WebPosto'!$G$2,
SUMIFS('Balancete MLN_WebPosto'!$I:$I,'Balancete MLN_WebPosto'!$C:$C,$A205,'Balancete MLN_WebPosto'!$B:$B,$B$2),
  "0"
)</f>
        <v>0</v>
      </c>
      <c r="O205" s="4" t="str">
        <f>IF(Balancete_Oficial[[#Headers],[Junho]]='Balancete MLN_WebPosto'!$G$2,
SUMIFS('Balancete MLN_WebPosto'!$I:$I,'Balancete MLN_WebPosto'!$C:$C,$A205,'Balancete MLN_WebPosto'!$B:$B,$B$2),
  "0"
)</f>
        <v>0</v>
      </c>
      <c r="P205" s="4" t="str">
        <f>IF(Balancete_Oficial[[#Headers],[Julho]]='Balancete MLN_WebPosto'!$G$2,
SUMIFS('Balancete MLN_WebPosto'!$I:$I,'Balancete MLN_WebPosto'!$C:$C,$A205,'Balancete MLN_WebPosto'!$B:$B,$B$2),
  "0"
)</f>
        <v>0</v>
      </c>
      <c r="Q205" s="4" t="str">
        <f>IF(Balancete_Oficial[[#Headers],[Agosto]]='Balancete MLN_WebPosto'!$G$2,
SUMIFS('Balancete MLN_WebPosto'!$I:$I,'Balancete MLN_WebPosto'!$C:$C,$A205,'Balancete MLN_WebPosto'!$B:$B,$B$2),
  "0"
)</f>
        <v>0</v>
      </c>
      <c r="R205" s="4">
        <f>IF(Balancete_Oficial[[#Headers],[Setembro]]='Balancete MLN_WebPosto'!$G$2,
SUMIFS('Balancete MLN_WebPosto'!$I:$I,'Balancete MLN_WebPosto'!$C:$C,$A205,'Balancete MLN_WebPosto'!$B:$B,$B$2),
  "0"
)</f>
        <v>0</v>
      </c>
      <c r="S205" s="4" t="str">
        <f>IF(Balancete_Oficial[[#Headers],[Outubro]]='Balancete MLN_WebPosto'!$G$2,
SUMIFS('Balancete MLN_WebPosto'!$I:$I,'Balancete MLN_WebPosto'!$C:$C,$A205,'Balancete MLN_WebPosto'!$B:$B,$B$2),
  "0"
)</f>
        <v>0</v>
      </c>
      <c r="T205" s="4" t="str">
        <f>IF(Balancete_Oficial[[#Headers],[Novembro]]='Balancete MLN_WebPosto'!$G$2,
SUMIFS('Balancete MLN_WebPosto'!$I:$I,'Balancete MLN_WebPosto'!$C:$C,$A205,'Balancete MLN_WebPosto'!$B:$B,$B$2),
  "0"
)</f>
        <v>0</v>
      </c>
      <c r="U205" s="4" t="str">
        <f>IF(Balancete_Oficial[[#Headers],[Dezembro]]='Balancete MLN_WebPosto'!$G$2,
SUMIFS('Balancete MLN_WebPosto'!$I:$I,'Balancete MLN_WebPosto'!$C:$C,$A205,'Balancete MLN_WebPosto'!$B:$B,$B$2),
  "0"
)</f>
        <v>0</v>
      </c>
    </row>
    <row r="206" spans="1:21" x14ac:dyDescent="0.25">
      <c r="A206" s="2" t="str">
        <f>IF(Dados!H203="","",Dados!H203)</f>
        <v/>
      </c>
      <c r="B206" s="2" t="e">
        <f>VLOOKUP(Balancete_Oficial[[#This Row],[Conta]],'Balancete MLN_WebPosto'!C:E,3,0)</f>
        <v>#N/A</v>
      </c>
      <c r="C206" s="3" t="str">
        <f t="shared" si="12"/>
        <v>Sintética</v>
      </c>
      <c r="D206" s="6" t="str">
        <f t="shared" si="13"/>
        <v>R</v>
      </c>
      <c r="E206" s="6" t="str">
        <f t="shared" si="14"/>
        <v/>
      </c>
      <c r="F206" s="6"/>
      <c r="G206" s="6"/>
      <c r="H206" s="6"/>
      <c r="I206" s="6"/>
      <c r="J206" s="4" t="str">
        <f>IF(Balancete_Oficial[[#Headers],[Janeiro]]='Balancete MLN_WebPosto'!$G$2,
SUMIFS('Balancete MLN_WebPosto'!$J:$J,'Balancete MLN_WebPosto'!$C:$C,$A206,'Balancete MLN_WebPosto'!$B:$B,$B$2),
  "0"
)</f>
        <v>0</v>
      </c>
      <c r="K206" s="4" t="str">
        <f>IF(Balancete_Oficial[[#Headers],[Fevereiro]]='Balancete MLN_WebPosto'!$G$2,
SUMIFS('Balancete MLN_WebPosto'!$J:$J,'Balancete MLN_WebPosto'!$C:$C,$A206,'Balancete MLN_WebPosto'!$B:$B,$B$2),
  "0"
)</f>
        <v>0</v>
      </c>
      <c r="L206" s="4" t="str">
        <f>IF(Balancete_Oficial[[#Headers],[Março]]='Balancete MLN_WebPosto'!$G$2,
SUMIFS('Balancete MLN_WebPosto'!$J:$J,'Balancete MLN_WebPosto'!$C:$C,$A206,'Balancete MLN_WebPosto'!$B:$B,$B$2),
  "0"
)</f>
        <v>0</v>
      </c>
      <c r="M206" s="4" t="str">
        <f>IF(Balancete_Oficial[[#Headers],[Abril]]='Balancete MLN_WebPosto'!$G$2,
SUMIFS('Balancete MLN_WebPosto'!$J:$J,'Balancete MLN_WebPosto'!$C:$C,$A206,'Balancete MLN_WebPosto'!$B:$B,$B$2),
  "0"
)</f>
        <v>0</v>
      </c>
      <c r="N206" s="4" t="str">
        <f>IF(Balancete_Oficial[[#Headers],[Maio]]='Balancete MLN_WebPosto'!$G$2,
SUMIFS('Balancete MLN_WebPosto'!$I:$I,'Balancete MLN_WebPosto'!$C:$C,$A206,'Balancete MLN_WebPosto'!$B:$B,$B$2),
  "0"
)</f>
        <v>0</v>
      </c>
      <c r="O206" s="4" t="str">
        <f>IF(Balancete_Oficial[[#Headers],[Junho]]='Balancete MLN_WebPosto'!$G$2,
SUMIFS('Balancete MLN_WebPosto'!$I:$I,'Balancete MLN_WebPosto'!$C:$C,$A206,'Balancete MLN_WebPosto'!$B:$B,$B$2),
  "0"
)</f>
        <v>0</v>
      </c>
      <c r="P206" s="4" t="str">
        <f>IF(Balancete_Oficial[[#Headers],[Julho]]='Balancete MLN_WebPosto'!$G$2,
SUMIFS('Balancete MLN_WebPosto'!$I:$I,'Balancete MLN_WebPosto'!$C:$C,$A206,'Balancete MLN_WebPosto'!$B:$B,$B$2),
  "0"
)</f>
        <v>0</v>
      </c>
      <c r="Q206" s="4" t="str">
        <f>IF(Balancete_Oficial[[#Headers],[Agosto]]='Balancete MLN_WebPosto'!$G$2,
SUMIFS('Balancete MLN_WebPosto'!$I:$I,'Balancete MLN_WebPosto'!$C:$C,$A206,'Balancete MLN_WebPosto'!$B:$B,$B$2),
  "0"
)</f>
        <v>0</v>
      </c>
      <c r="R206" s="4">
        <f>IF(Balancete_Oficial[[#Headers],[Setembro]]='Balancete MLN_WebPosto'!$G$2,
SUMIFS('Balancete MLN_WebPosto'!$I:$I,'Balancete MLN_WebPosto'!$C:$C,$A206,'Balancete MLN_WebPosto'!$B:$B,$B$2),
  "0"
)</f>
        <v>0</v>
      </c>
      <c r="S206" s="4" t="str">
        <f>IF(Balancete_Oficial[[#Headers],[Outubro]]='Balancete MLN_WebPosto'!$G$2,
SUMIFS('Balancete MLN_WebPosto'!$I:$I,'Balancete MLN_WebPosto'!$C:$C,$A206,'Balancete MLN_WebPosto'!$B:$B,$B$2),
  "0"
)</f>
        <v>0</v>
      </c>
      <c r="T206" s="4" t="str">
        <f>IF(Balancete_Oficial[[#Headers],[Novembro]]='Balancete MLN_WebPosto'!$G$2,
SUMIFS('Balancete MLN_WebPosto'!$I:$I,'Balancete MLN_WebPosto'!$C:$C,$A206,'Balancete MLN_WebPosto'!$B:$B,$B$2),
  "0"
)</f>
        <v>0</v>
      </c>
      <c r="U206" s="4" t="str">
        <f>IF(Balancete_Oficial[[#Headers],[Dezembro]]='Balancete MLN_WebPosto'!$G$2,
SUMIFS('Balancete MLN_WebPosto'!$I:$I,'Balancete MLN_WebPosto'!$C:$C,$A206,'Balancete MLN_WebPosto'!$B:$B,$B$2),
  "0"
)</f>
        <v>0</v>
      </c>
    </row>
    <row r="207" spans="1:21" x14ac:dyDescent="0.25">
      <c r="A207" s="2" t="str">
        <f>IF(Dados!H204="","",Dados!H204)</f>
        <v/>
      </c>
      <c r="B207" s="2" t="e">
        <f>VLOOKUP(Balancete_Oficial[[#This Row],[Conta]],'Balancete MLN_WebPosto'!C:E,3,0)</f>
        <v>#N/A</v>
      </c>
      <c r="C207" s="3" t="str">
        <f t="shared" si="12"/>
        <v>Sintética</v>
      </c>
      <c r="D207" s="6" t="str">
        <f t="shared" si="13"/>
        <v>R</v>
      </c>
      <c r="E207" s="6" t="str">
        <f t="shared" si="14"/>
        <v/>
      </c>
      <c r="F207" s="6"/>
      <c r="G207" s="6"/>
      <c r="H207" s="6"/>
      <c r="I207" s="6"/>
      <c r="J207" s="4" t="str">
        <f>IF(Balancete_Oficial[[#Headers],[Janeiro]]='Balancete MLN_WebPosto'!$G$2,
SUMIFS('Balancete MLN_WebPosto'!$J:$J,'Balancete MLN_WebPosto'!$C:$C,$A207,'Balancete MLN_WebPosto'!$B:$B,$B$2),
  "0"
)</f>
        <v>0</v>
      </c>
      <c r="K207" s="4" t="str">
        <f>IF(Balancete_Oficial[[#Headers],[Fevereiro]]='Balancete MLN_WebPosto'!$G$2,
SUMIFS('Balancete MLN_WebPosto'!$J:$J,'Balancete MLN_WebPosto'!$C:$C,$A207,'Balancete MLN_WebPosto'!$B:$B,$B$2),
  "0"
)</f>
        <v>0</v>
      </c>
      <c r="L207" s="4" t="str">
        <f>IF(Balancete_Oficial[[#Headers],[Março]]='Balancete MLN_WebPosto'!$G$2,
SUMIFS('Balancete MLN_WebPosto'!$J:$J,'Balancete MLN_WebPosto'!$C:$C,$A207,'Balancete MLN_WebPosto'!$B:$B,$B$2),
  "0"
)</f>
        <v>0</v>
      </c>
      <c r="M207" s="4" t="str">
        <f>IF(Balancete_Oficial[[#Headers],[Abril]]='Balancete MLN_WebPosto'!$G$2,
SUMIFS('Balancete MLN_WebPosto'!$J:$J,'Balancete MLN_WebPosto'!$C:$C,$A207,'Balancete MLN_WebPosto'!$B:$B,$B$2),
  "0"
)</f>
        <v>0</v>
      </c>
      <c r="N207" s="4" t="str">
        <f>IF(Balancete_Oficial[[#Headers],[Maio]]='Balancete MLN_WebPosto'!$G$2,
SUMIFS('Balancete MLN_WebPosto'!$I:$I,'Balancete MLN_WebPosto'!$C:$C,$A207,'Balancete MLN_WebPosto'!$B:$B,$B$2),
  "0"
)</f>
        <v>0</v>
      </c>
      <c r="O207" s="4" t="str">
        <f>IF(Balancete_Oficial[[#Headers],[Junho]]='Balancete MLN_WebPosto'!$G$2,
SUMIFS('Balancete MLN_WebPosto'!$I:$I,'Balancete MLN_WebPosto'!$C:$C,$A207,'Balancete MLN_WebPosto'!$B:$B,$B$2),
  "0"
)</f>
        <v>0</v>
      </c>
      <c r="P207" s="4" t="str">
        <f>IF(Balancete_Oficial[[#Headers],[Julho]]='Balancete MLN_WebPosto'!$G$2,
SUMIFS('Balancete MLN_WebPosto'!$I:$I,'Balancete MLN_WebPosto'!$C:$C,$A207,'Balancete MLN_WebPosto'!$B:$B,$B$2),
  "0"
)</f>
        <v>0</v>
      </c>
      <c r="Q207" s="4" t="str">
        <f>IF(Balancete_Oficial[[#Headers],[Agosto]]='Balancete MLN_WebPosto'!$G$2,
SUMIFS('Balancete MLN_WebPosto'!$I:$I,'Balancete MLN_WebPosto'!$C:$C,$A207,'Balancete MLN_WebPosto'!$B:$B,$B$2),
  "0"
)</f>
        <v>0</v>
      </c>
      <c r="R207" s="4">
        <f>IF(Balancete_Oficial[[#Headers],[Setembro]]='Balancete MLN_WebPosto'!$G$2,
SUMIFS('Balancete MLN_WebPosto'!$I:$I,'Balancete MLN_WebPosto'!$C:$C,$A207,'Balancete MLN_WebPosto'!$B:$B,$B$2),
  "0"
)</f>
        <v>0</v>
      </c>
      <c r="S207" s="4" t="str">
        <f>IF(Balancete_Oficial[[#Headers],[Outubro]]='Balancete MLN_WebPosto'!$G$2,
SUMIFS('Balancete MLN_WebPosto'!$I:$I,'Balancete MLN_WebPosto'!$C:$C,$A207,'Balancete MLN_WebPosto'!$B:$B,$B$2),
  "0"
)</f>
        <v>0</v>
      </c>
      <c r="T207" s="4" t="str">
        <f>IF(Balancete_Oficial[[#Headers],[Novembro]]='Balancete MLN_WebPosto'!$G$2,
SUMIFS('Balancete MLN_WebPosto'!$I:$I,'Balancete MLN_WebPosto'!$C:$C,$A207,'Balancete MLN_WebPosto'!$B:$B,$B$2),
  "0"
)</f>
        <v>0</v>
      </c>
      <c r="U207" s="4" t="str">
        <f>IF(Balancete_Oficial[[#Headers],[Dezembro]]='Balancete MLN_WebPosto'!$G$2,
SUMIFS('Balancete MLN_WebPosto'!$I:$I,'Balancete MLN_WebPosto'!$C:$C,$A207,'Balancete MLN_WebPosto'!$B:$B,$B$2),
  "0"
)</f>
        <v>0</v>
      </c>
    </row>
    <row r="208" spans="1:21" x14ac:dyDescent="0.25">
      <c r="A208" s="2" t="str">
        <f>IF(Dados!H205="","",Dados!H205)</f>
        <v/>
      </c>
      <c r="B208" s="2" t="e">
        <f>VLOOKUP(Balancete_Oficial[[#This Row],[Conta]],'Balancete MLN_WebPosto'!C:E,3,0)</f>
        <v>#N/A</v>
      </c>
      <c r="C208" s="3" t="str">
        <f t="shared" si="12"/>
        <v>Sintética</v>
      </c>
      <c r="D208" s="6" t="str">
        <f t="shared" si="13"/>
        <v>R</v>
      </c>
      <c r="E208" s="6" t="str">
        <f t="shared" si="14"/>
        <v/>
      </c>
      <c r="F208" s="6"/>
      <c r="G208" s="6"/>
      <c r="H208" s="6"/>
      <c r="I208" s="6"/>
      <c r="J208" s="4" t="str">
        <f>IF(Balancete_Oficial[[#Headers],[Janeiro]]='Balancete MLN_WebPosto'!$G$2,
SUMIFS('Balancete MLN_WebPosto'!$J:$J,'Balancete MLN_WebPosto'!$C:$C,$A208,'Balancete MLN_WebPosto'!$B:$B,$B$2),
  "0"
)</f>
        <v>0</v>
      </c>
      <c r="K208" s="4" t="str">
        <f>IF(Balancete_Oficial[[#Headers],[Fevereiro]]='Balancete MLN_WebPosto'!$G$2,
SUMIFS('Balancete MLN_WebPosto'!$J:$J,'Balancete MLN_WebPosto'!$C:$C,$A208,'Balancete MLN_WebPosto'!$B:$B,$B$2),
  "0"
)</f>
        <v>0</v>
      </c>
      <c r="L208" s="4" t="str">
        <f>IF(Balancete_Oficial[[#Headers],[Março]]='Balancete MLN_WebPosto'!$G$2,
SUMIFS('Balancete MLN_WebPosto'!$J:$J,'Balancete MLN_WebPosto'!$C:$C,$A208,'Balancete MLN_WebPosto'!$B:$B,$B$2),
  "0"
)</f>
        <v>0</v>
      </c>
      <c r="M208" s="4" t="str">
        <f>IF(Balancete_Oficial[[#Headers],[Abril]]='Balancete MLN_WebPosto'!$G$2,
SUMIFS('Balancete MLN_WebPosto'!$J:$J,'Balancete MLN_WebPosto'!$C:$C,$A208,'Balancete MLN_WebPosto'!$B:$B,$B$2),
  "0"
)</f>
        <v>0</v>
      </c>
      <c r="N208" s="4" t="str">
        <f>IF(Balancete_Oficial[[#Headers],[Maio]]='Balancete MLN_WebPosto'!$G$2,
SUMIFS('Balancete MLN_WebPosto'!$I:$I,'Balancete MLN_WebPosto'!$C:$C,$A208,'Balancete MLN_WebPosto'!$B:$B,$B$2),
  "0"
)</f>
        <v>0</v>
      </c>
      <c r="O208" s="4" t="str">
        <f>IF(Balancete_Oficial[[#Headers],[Junho]]='Balancete MLN_WebPosto'!$G$2,
SUMIFS('Balancete MLN_WebPosto'!$I:$I,'Balancete MLN_WebPosto'!$C:$C,$A208,'Balancete MLN_WebPosto'!$B:$B,$B$2),
  "0"
)</f>
        <v>0</v>
      </c>
      <c r="P208" s="4" t="str">
        <f>IF(Balancete_Oficial[[#Headers],[Julho]]='Balancete MLN_WebPosto'!$G$2,
SUMIFS('Balancete MLN_WebPosto'!$I:$I,'Balancete MLN_WebPosto'!$C:$C,$A208,'Balancete MLN_WebPosto'!$B:$B,$B$2),
  "0"
)</f>
        <v>0</v>
      </c>
      <c r="Q208" s="4" t="str">
        <f>IF(Balancete_Oficial[[#Headers],[Agosto]]='Balancete MLN_WebPosto'!$G$2,
SUMIFS('Balancete MLN_WebPosto'!$I:$I,'Balancete MLN_WebPosto'!$C:$C,$A208,'Balancete MLN_WebPosto'!$B:$B,$B$2),
  "0"
)</f>
        <v>0</v>
      </c>
      <c r="R208" s="4">
        <f>IF(Balancete_Oficial[[#Headers],[Setembro]]='Balancete MLN_WebPosto'!$G$2,
SUMIFS('Balancete MLN_WebPosto'!$I:$I,'Balancete MLN_WebPosto'!$C:$C,$A208,'Balancete MLN_WebPosto'!$B:$B,$B$2),
  "0"
)</f>
        <v>0</v>
      </c>
      <c r="S208" s="4" t="str">
        <f>IF(Balancete_Oficial[[#Headers],[Outubro]]='Balancete MLN_WebPosto'!$G$2,
SUMIFS('Balancete MLN_WebPosto'!$I:$I,'Balancete MLN_WebPosto'!$C:$C,$A208,'Balancete MLN_WebPosto'!$B:$B,$B$2),
  "0"
)</f>
        <v>0</v>
      </c>
      <c r="T208" s="4" t="str">
        <f>IF(Balancete_Oficial[[#Headers],[Novembro]]='Balancete MLN_WebPosto'!$G$2,
SUMIFS('Balancete MLN_WebPosto'!$I:$I,'Balancete MLN_WebPosto'!$C:$C,$A208,'Balancete MLN_WebPosto'!$B:$B,$B$2),
  "0"
)</f>
        <v>0</v>
      </c>
      <c r="U208" s="4" t="str">
        <f>IF(Balancete_Oficial[[#Headers],[Dezembro]]='Balancete MLN_WebPosto'!$G$2,
SUMIFS('Balancete MLN_WebPosto'!$I:$I,'Balancete MLN_WebPosto'!$C:$C,$A208,'Balancete MLN_WebPosto'!$B:$B,$B$2),
  "0"
)</f>
        <v>0</v>
      </c>
    </row>
    <row r="209" spans="1:21" x14ac:dyDescent="0.25">
      <c r="A209" s="2" t="str">
        <f>IF(Dados!H206="","",Dados!H206)</f>
        <v/>
      </c>
      <c r="B209" s="2" t="e">
        <f>VLOOKUP(Balancete_Oficial[[#This Row],[Conta]],'Balancete MLN_WebPosto'!C:E,3,0)</f>
        <v>#N/A</v>
      </c>
      <c r="C209" s="3" t="str">
        <f t="shared" si="12"/>
        <v>Sintética</v>
      </c>
      <c r="D209" s="6" t="str">
        <f t="shared" si="13"/>
        <v>R</v>
      </c>
      <c r="E209" s="6" t="str">
        <f t="shared" si="14"/>
        <v/>
      </c>
      <c r="F209" s="6"/>
      <c r="G209" s="6"/>
      <c r="H209" s="6"/>
      <c r="I209" s="6"/>
      <c r="J209" s="4" t="str">
        <f>IF(Balancete_Oficial[[#Headers],[Janeiro]]='Balancete MLN_WebPosto'!$G$2,
SUMIFS('Balancete MLN_WebPosto'!$J:$J,'Balancete MLN_WebPosto'!$C:$C,$A209,'Balancete MLN_WebPosto'!$B:$B,$B$2),
  "0"
)</f>
        <v>0</v>
      </c>
      <c r="K209" s="4" t="str">
        <f>IF(Balancete_Oficial[[#Headers],[Fevereiro]]='Balancete MLN_WebPosto'!$G$2,
SUMIFS('Balancete MLN_WebPosto'!$J:$J,'Balancete MLN_WebPosto'!$C:$C,$A209,'Balancete MLN_WebPosto'!$B:$B,$B$2),
  "0"
)</f>
        <v>0</v>
      </c>
      <c r="L209" s="4" t="str">
        <f>IF(Balancete_Oficial[[#Headers],[Março]]='Balancete MLN_WebPosto'!$G$2,
SUMIFS('Balancete MLN_WebPosto'!$J:$J,'Balancete MLN_WebPosto'!$C:$C,$A209,'Balancete MLN_WebPosto'!$B:$B,$B$2),
  "0"
)</f>
        <v>0</v>
      </c>
      <c r="M209" s="4" t="str">
        <f>IF(Balancete_Oficial[[#Headers],[Abril]]='Balancete MLN_WebPosto'!$G$2,
SUMIFS('Balancete MLN_WebPosto'!$J:$J,'Balancete MLN_WebPosto'!$C:$C,$A209,'Balancete MLN_WebPosto'!$B:$B,$B$2),
  "0"
)</f>
        <v>0</v>
      </c>
      <c r="N209" s="4" t="str">
        <f>IF(Balancete_Oficial[[#Headers],[Maio]]='Balancete MLN_WebPosto'!$G$2,
SUMIFS('Balancete MLN_WebPosto'!$I:$I,'Balancete MLN_WebPosto'!$C:$C,$A209,'Balancete MLN_WebPosto'!$B:$B,$B$2),
  "0"
)</f>
        <v>0</v>
      </c>
      <c r="O209" s="4" t="str">
        <f>IF(Balancete_Oficial[[#Headers],[Junho]]='Balancete MLN_WebPosto'!$G$2,
SUMIFS('Balancete MLN_WebPosto'!$I:$I,'Balancete MLN_WebPosto'!$C:$C,$A209,'Balancete MLN_WebPosto'!$B:$B,$B$2),
  "0"
)</f>
        <v>0</v>
      </c>
      <c r="P209" s="4" t="str">
        <f>IF(Balancete_Oficial[[#Headers],[Julho]]='Balancete MLN_WebPosto'!$G$2,
SUMIFS('Balancete MLN_WebPosto'!$I:$I,'Balancete MLN_WebPosto'!$C:$C,$A209,'Balancete MLN_WebPosto'!$B:$B,$B$2),
  "0"
)</f>
        <v>0</v>
      </c>
      <c r="Q209" s="4" t="str">
        <f>IF(Balancete_Oficial[[#Headers],[Agosto]]='Balancete MLN_WebPosto'!$G$2,
SUMIFS('Balancete MLN_WebPosto'!$I:$I,'Balancete MLN_WebPosto'!$C:$C,$A209,'Balancete MLN_WebPosto'!$B:$B,$B$2),
  "0"
)</f>
        <v>0</v>
      </c>
      <c r="R209" s="4">
        <f>IF(Balancete_Oficial[[#Headers],[Setembro]]='Balancete MLN_WebPosto'!$G$2,
SUMIFS('Balancete MLN_WebPosto'!$I:$I,'Balancete MLN_WebPosto'!$C:$C,$A209,'Balancete MLN_WebPosto'!$B:$B,$B$2),
  "0"
)</f>
        <v>0</v>
      </c>
      <c r="S209" s="4" t="str">
        <f>IF(Balancete_Oficial[[#Headers],[Outubro]]='Balancete MLN_WebPosto'!$G$2,
SUMIFS('Balancete MLN_WebPosto'!$I:$I,'Balancete MLN_WebPosto'!$C:$C,$A209,'Balancete MLN_WebPosto'!$B:$B,$B$2),
  "0"
)</f>
        <v>0</v>
      </c>
      <c r="T209" s="4" t="str">
        <f>IF(Balancete_Oficial[[#Headers],[Novembro]]='Balancete MLN_WebPosto'!$G$2,
SUMIFS('Balancete MLN_WebPosto'!$I:$I,'Balancete MLN_WebPosto'!$C:$C,$A209,'Balancete MLN_WebPosto'!$B:$B,$B$2),
  "0"
)</f>
        <v>0</v>
      </c>
      <c r="U209" s="4" t="str">
        <f>IF(Balancete_Oficial[[#Headers],[Dezembro]]='Balancete MLN_WebPosto'!$G$2,
SUMIFS('Balancete MLN_WebPosto'!$I:$I,'Balancete MLN_WebPosto'!$C:$C,$A209,'Balancete MLN_WebPosto'!$B:$B,$B$2),
  "0"
)</f>
        <v>0</v>
      </c>
    </row>
    <row r="210" spans="1:21" x14ac:dyDescent="0.25">
      <c r="A210" s="2" t="str">
        <f>IF(Dados!H207="","",Dados!H207)</f>
        <v/>
      </c>
      <c r="B210" s="2" t="e">
        <f>VLOOKUP(Balancete_Oficial[[#This Row],[Conta]],'Balancete MLN_WebPosto'!C:E,3,0)</f>
        <v>#N/A</v>
      </c>
      <c r="C210" s="3" t="str">
        <f t="shared" si="12"/>
        <v>Sintética</v>
      </c>
      <c r="D210" s="6" t="str">
        <f t="shared" si="13"/>
        <v>R</v>
      </c>
      <c r="E210" s="6" t="str">
        <f t="shared" si="14"/>
        <v/>
      </c>
      <c r="F210" s="6"/>
      <c r="G210" s="6"/>
      <c r="H210" s="6"/>
      <c r="I210" s="6"/>
      <c r="J210" s="4" t="str">
        <f>IF(Balancete_Oficial[[#Headers],[Janeiro]]='Balancete MLN_WebPosto'!$G$2,
SUMIFS('Balancete MLN_WebPosto'!$J:$J,'Balancete MLN_WebPosto'!$C:$C,$A210,'Balancete MLN_WebPosto'!$B:$B,$B$2),
  "0"
)</f>
        <v>0</v>
      </c>
      <c r="K210" s="4" t="str">
        <f>IF(Balancete_Oficial[[#Headers],[Fevereiro]]='Balancete MLN_WebPosto'!$G$2,
SUMIFS('Balancete MLN_WebPosto'!$J:$J,'Balancete MLN_WebPosto'!$C:$C,$A210,'Balancete MLN_WebPosto'!$B:$B,$B$2),
  "0"
)</f>
        <v>0</v>
      </c>
      <c r="L210" s="4" t="str">
        <f>IF(Balancete_Oficial[[#Headers],[Março]]='Balancete MLN_WebPosto'!$G$2,
SUMIFS('Balancete MLN_WebPosto'!$J:$J,'Balancete MLN_WebPosto'!$C:$C,$A210,'Balancete MLN_WebPosto'!$B:$B,$B$2),
  "0"
)</f>
        <v>0</v>
      </c>
      <c r="M210" s="4" t="str">
        <f>IF(Balancete_Oficial[[#Headers],[Abril]]='Balancete MLN_WebPosto'!$G$2,
SUMIFS('Balancete MLN_WebPosto'!$J:$J,'Balancete MLN_WebPosto'!$C:$C,$A210,'Balancete MLN_WebPosto'!$B:$B,$B$2),
  "0"
)</f>
        <v>0</v>
      </c>
      <c r="N210" s="4" t="str">
        <f>IF(Balancete_Oficial[[#Headers],[Maio]]='Balancete MLN_WebPosto'!$G$2,
SUMIFS('Balancete MLN_WebPosto'!$I:$I,'Balancete MLN_WebPosto'!$C:$C,$A210,'Balancete MLN_WebPosto'!$B:$B,$B$2),
  "0"
)</f>
        <v>0</v>
      </c>
      <c r="O210" s="4" t="str">
        <f>IF(Balancete_Oficial[[#Headers],[Junho]]='Balancete MLN_WebPosto'!$G$2,
SUMIFS('Balancete MLN_WebPosto'!$I:$I,'Balancete MLN_WebPosto'!$C:$C,$A210,'Balancete MLN_WebPosto'!$B:$B,$B$2),
  "0"
)</f>
        <v>0</v>
      </c>
      <c r="P210" s="4" t="str">
        <f>IF(Balancete_Oficial[[#Headers],[Julho]]='Balancete MLN_WebPosto'!$G$2,
SUMIFS('Balancete MLN_WebPosto'!$I:$I,'Balancete MLN_WebPosto'!$C:$C,$A210,'Balancete MLN_WebPosto'!$B:$B,$B$2),
  "0"
)</f>
        <v>0</v>
      </c>
      <c r="Q210" s="4" t="str">
        <f>IF(Balancete_Oficial[[#Headers],[Agosto]]='Balancete MLN_WebPosto'!$G$2,
SUMIFS('Balancete MLN_WebPosto'!$I:$I,'Balancete MLN_WebPosto'!$C:$C,$A210,'Balancete MLN_WebPosto'!$B:$B,$B$2),
  "0"
)</f>
        <v>0</v>
      </c>
      <c r="R210" s="4">
        <f>IF(Balancete_Oficial[[#Headers],[Setembro]]='Balancete MLN_WebPosto'!$G$2,
SUMIFS('Balancete MLN_WebPosto'!$I:$I,'Balancete MLN_WebPosto'!$C:$C,$A210,'Balancete MLN_WebPosto'!$B:$B,$B$2),
  "0"
)</f>
        <v>0</v>
      </c>
      <c r="S210" s="4" t="str">
        <f>IF(Balancete_Oficial[[#Headers],[Outubro]]='Balancete MLN_WebPosto'!$G$2,
SUMIFS('Balancete MLN_WebPosto'!$I:$I,'Balancete MLN_WebPosto'!$C:$C,$A210,'Balancete MLN_WebPosto'!$B:$B,$B$2),
  "0"
)</f>
        <v>0</v>
      </c>
      <c r="T210" s="4" t="str">
        <f>IF(Balancete_Oficial[[#Headers],[Novembro]]='Balancete MLN_WebPosto'!$G$2,
SUMIFS('Balancete MLN_WebPosto'!$I:$I,'Balancete MLN_WebPosto'!$C:$C,$A210,'Balancete MLN_WebPosto'!$B:$B,$B$2),
  "0"
)</f>
        <v>0</v>
      </c>
      <c r="U210" s="4" t="str">
        <f>IF(Balancete_Oficial[[#Headers],[Dezembro]]='Balancete MLN_WebPosto'!$G$2,
SUMIFS('Balancete MLN_WebPosto'!$I:$I,'Balancete MLN_WebPosto'!$C:$C,$A210,'Balancete MLN_WebPosto'!$B:$B,$B$2),
  "0"
)</f>
        <v>0</v>
      </c>
    </row>
    <row r="211" spans="1:21" x14ac:dyDescent="0.25">
      <c r="A211" s="2" t="str">
        <f>IF(Dados!H208="","",Dados!H208)</f>
        <v/>
      </c>
      <c r="B211" s="2" t="e">
        <f>VLOOKUP(Balancete_Oficial[[#This Row],[Conta]],'Balancete MLN_WebPosto'!C:E,3,0)</f>
        <v>#N/A</v>
      </c>
      <c r="C211" s="3" t="str">
        <f t="shared" si="12"/>
        <v>Sintética</v>
      </c>
      <c r="D211" s="6" t="str">
        <f t="shared" si="13"/>
        <v>R</v>
      </c>
      <c r="E211" s="6" t="str">
        <f t="shared" si="14"/>
        <v/>
      </c>
      <c r="F211" s="6"/>
      <c r="G211" s="6"/>
      <c r="H211" s="6"/>
      <c r="I211" s="6"/>
      <c r="J211" s="4" t="str">
        <f>IF(Balancete_Oficial[[#Headers],[Janeiro]]='Balancete MLN_WebPosto'!$G$2,
SUMIFS('Balancete MLN_WebPosto'!$J:$J,'Balancete MLN_WebPosto'!$C:$C,$A211,'Balancete MLN_WebPosto'!$B:$B,$B$2),
  "0"
)</f>
        <v>0</v>
      </c>
      <c r="K211" s="4" t="str">
        <f>IF(Balancete_Oficial[[#Headers],[Fevereiro]]='Balancete MLN_WebPosto'!$G$2,
SUMIFS('Balancete MLN_WebPosto'!$J:$J,'Balancete MLN_WebPosto'!$C:$C,$A211,'Balancete MLN_WebPosto'!$B:$B,$B$2),
  "0"
)</f>
        <v>0</v>
      </c>
      <c r="L211" s="4" t="str">
        <f>IF(Balancete_Oficial[[#Headers],[Março]]='Balancete MLN_WebPosto'!$G$2,
SUMIFS('Balancete MLN_WebPosto'!$J:$J,'Balancete MLN_WebPosto'!$C:$C,$A211,'Balancete MLN_WebPosto'!$B:$B,$B$2),
  "0"
)</f>
        <v>0</v>
      </c>
      <c r="M211" s="4" t="str">
        <f>IF(Balancete_Oficial[[#Headers],[Abril]]='Balancete MLN_WebPosto'!$G$2,
SUMIFS('Balancete MLN_WebPosto'!$J:$J,'Balancete MLN_WebPosto'!$C:$C,$A211,'Balancete MLN_WebPosto'!$B:$B,$B$2),
  "0"
)</f>
        <v>0</v>
      </c>
      <c r="N211" s="4" t="str">
        <f>IF(Balancete_Oficial[[#Headers],[Maio]]='Balancete MLN_WebPosto'!$G$2,
SUMIFS('Balancete MLN_WebPosto'!$I:$I,'Balancete MLN_WebPosto'!$C:$C,$A211,'Balancete MLN_WebPosto'!$B:$B,$B$2),
  "0"
)</f>
        <v>0</v>
      </c>
      <c r="O211" s="4" t="str">
        <f>IF(Balancete_Oficial[[#Headers],[Junho]]='Balancete MLN_WebPosto'!$G$2,
SUMIFS('Balancete MLN_WebPosto'!$I:$I,'Balancete MLN_WebPosto'!$C:$C,$A211,'Balancete MLN_WebPosto'!$B:$B,$B$2),
  "0"
)</f>
        <v>0</v>
      </c>
      <c r="P211" s="4" t="str">
        <f>IF(Balancete_Oficial[[#Headers],[Julho]]='Balancete MLN_WebPosto'!$G$2,
SUMIFS('Balancete MLN_WebPosto'!$I:$I,'Balancete MLN_WebPosto'!$C:$C,$A211,'Balancete MLN_WebPosto'!$B:$B,$B$2),
  "0"
)</f>
        <v>0</v>
      </c>
      <c r="Q211" s="4" t="str">
        <f>IF(Balancete_Oficial[[#Headers],[Agosto]]='Balancete MLN_WebPosto'!$G$2,
SUMIFS('Balancete MLN_WebPosto'!$I:$I,'Balancete MLN_WebPosto'!$C:$C,$A211,'Balancete MLN_WebPosto'!$B:$B,$B$2),
  "0"
)</f>
        <v>0</v>
      </c>
      <c r="R211" s="4">
        <f>IF(Balancete_Oficial[[#Headers],[Setembro]]='Balancete MLN_WebPosto'!$G$2,
SUMIFS('Balancete MLN_WebPosto'!$I:$I,'Balancete MLN_WebPosto'!$C:$C,$A211,'Balancete MLN_WebPosto'!$B:$B,$B$2),
  "0"
)</f>
        <v>0</v>
      </c>
      <c r="S211" s="4" t="str">
        <f>IF(Balancete_Oficial[[#Headers],[Outubro]]='Balancete MLN_WebPosto'!$G$2,
SUMIFS('Balancete MLN_WebPosto'!$I:$I,'Balancete MLN_WebPosto'!$C:$C,$A211,'Balancete MLN_WebPosto'!$B:$B,$B$2),
  "0"
)</f>
        <v>0</v>
      </c>
      <c r="T211" s="4" t="str">
        <f>IF(Balancete_Oficial[[#Headers],[Novembro]]='Balancete MLN_WebPosto'!$G$2,
SUMIFS('Balancete MLN_WebPosto'!$I:$I,'Balancete MLN_WebPosto'!$C:$C,$A211,'Balancete MLN_WebPosto'!$B:$B,$B$2),
  "0"
)</f>
        <v>0</v>
      </c>
      <c r="U211" s="4" t="str">
        <f>IF(Balancete_Oficial[[#Headers],[Dezembro]]='Balancete MLN_WebPosto'!$G$2,
SUMIFS('Balancete MLN_WebPosto'!$I:$I,'Balancete MLN_WebPosto'!$C:$C,$A211,'Balancete MLN_WebPosto'!$B:$B,$B$2),
  "0"
)</f>
        <v>0</v>
      </c>
    </row>
    <row r="212" spans="1:21" x14ac:dyDescent="0.25">
      <c r="A212" s="2" t="str">
        <f>IF(Dados!H209="","",Dados!H209)</f>
        <v/>
      </c>
      <c r="B212" s="2" t="e">
        <f>VLOOKUP(Balancete_Oficial[[#This Row],[Conta]],'Balancete MLN_WebPosto'!C:E,3,0)</f>
        <v>#N/A</v>
      </c>
      <c r="C212" s="3" t="str">
        <f t="shared" si="12"/>
        <v>Sintética</v>
      </c>
      <c r="D212" s="6" t="str">
        <f t="shared" si="13"/>
        <v>R</v>
      </c>
      <c r="E212" s="6" t="str">
        <f t="shared" si="14"/>
        <v/>
      </c>
      <c r="F212" s="6"/>
      <c r="G212" s="6"/>
      <c r="H212" s="6"/>
      <c r="I212" s="6"/>
      <c r="J212" s="4" t="str">
        <f>IF(Balancete_Oficial[[#Headers],[Janeiro]]='Balancete MLN_WebPosto'!$G$2,
SUMIFS('Balancete MLN_WebPosto'!$J:$J,'Balancete MLN_WebPosto'!$C:$C,$A212,'Balancete MLN_WebPosto'!$B:$B,$B$2),
  "0"
)</f>
        <v>0</v>
      </c>
      <c r="K212" s="4" t="str">
        <f>IF(Balancete_Oficial[[#Headers],[Fevereiro]]='Balancete MLN_WebPosto'!$G$2,
SUMIFS('Balancete MLN_WebPosto'!$J:$J,'Balancete MLN_WebPosto'!$C:$C,$A212,'Balancete MLN_WebPosto'!$B:$B,$B$2),
  "0"
)</f>
        <v>0</v>
      </c>
      <c r="L212" s="4" t="str">
        <f>IF(Balancete_Oficial[[#Headers],[Março]]='Balancete MLN_WebPosto'!$G$2,
SUMIFS('Balancete MLN_WebPosto'!$J:$J,'Balancete MLN_WebPosto'!$C:$C,$A212,'Balancete MLN_WebPosto'!$B:$B,$B$2),
  "0"
)</f>
        <v>0</v>
      </c>
      <c r="M212" s="4" t="str">
        <f>IF(Balancete_Oficial[[#Headers],[Abril]]='Balancete MLN_WebPosto'!$G$2,
SUMIFS('Balancete MLN_WebPosto'!$J:$J,'Balancete MLN_WebPosto'!$C:$C,$A212,'Balancete MLN_WebPosto'!$B:$B,$B$2),
  "0"
)</f>
        <v>0</v>
      </c>
      <c r="N212" s="4" t="str">
        <f>IF(Balancete_Oficial[[#Headers],[Maio]]='Balancete MLN_WebPosto'!$G$2,
SUMIFS('Balancete MLN_WebPosto'!$I:$I,'Balancete MLN_WebPosto'!$C:$C,$A212,'Balancete MLN_WebPosto'!$B:$B,$B$2),
  "0"
)</f>
        <v>0</v>
      </c>
      <c r="O212" s="4" t="str">
        <f>IF(Balancete_Oficial[[#Headers],[Junho]]='Balancete MLN_WebPosto'!$G$2,
SUMIFS('Balancete MLN_WebPosto'!$I:$I,'Balancete MLN_WebPosto'!$C:$C,$A212,'Balancete MLN_WebPosto'!$B:$B,$B$2),
  "0"
)</f>
        <v>0</v>
      </c>
      <c r="P212" s="4" t="str">
        <f>IF(Balancete_Oficial[[#Headers],[Julho]]='Balancete MLN_WebPosto'!$G$2,
SUMIFS('Balancete MLN_WebPosto'!$I:$I,'Balancete MLN_WebPosto'!$C:$C,$A212,'Balancete MLN_WebPosto'!$B:$B,$B$2),
  "0"
)</f>
        <v>0</v>
      </c>
      <c r="Q212" s="4" t="str">
        <f>IF(Balancete_Oficial[[#Headers],[Agosto]]='Balancete MLN_WebPosto'!$G$2,
SUMIFS('Balancete MLN_WebPosto'!$I:$I,'Balancete MLN_WebPosto'!$C:$C,$A212,'Balancete MLN_WebPosto'!$B:$B,$B$2),
  "0"
)</f>
        <v>0</v>
      </c>
      <c r="R212" s="4">
        <f>IF(Balancete_Oficial[[#Headers],[Setembro]]='Balancete MLN_WebPosto'!$G$2,
SUMIFS('Balancete MLN_WebPosto'!$I:$I,'Balancete MLN_WebPosto'!$C:$C,$A212,'Balancete MLN_WebPosto'!$B:$B,$B$2),
  "0"
)</f>
        <v>0</v>
      </c>
      <c r="S212" s="4" t="str">
        <f>IF(Balancete_Oficial[[#Headers],[Outubro]]='Balancete MLN_WebPosto'!$G$2,
SUMIFS('Balancete MLN_WebPosto'!$I:$I,'Balancete MLN_WebPosto'!$C:$C,$A212,'Balancete MLN_WebPosto'!$B:$B,$B$2),
  "0"
)</f>
        <v>0</v>
      </c>
      <c r="T212" s="4" t="str">
        <f>IF(Balancete_Oficial[[#Headers],[Novembro]]='Balancete MLN_WebPosto'!$G$2,
SUMIFS('Balancete MLN_WebPosto'!$I:$I,'Balancete MLN_WebPosto'!$C:$C,$A212,'Balancete MLN_WebPosto'!$B:$B,$B$2),
  "0"
)</f>
        <v>0</v>
      </c>
      <c r="U212" s="4" t="str">
        <f>IF(Balancete_Oficial[[#Headers],[Dezembro]]='Balancete MLN_WebPosto'!$G$2,
SUMIFS('Balancete MLN_WebPosto'!$I:$I,'Balancete MLN_WebPosto'!$C:$C,$A212,'Balancete MLN_WebPosto'!$B:$B,$B$2),
  "0"
)</f>
        <v>0</v>
      </c>
    </row>
    <row r="213" spans="1:21" x14ac:dyDescent="0.25">
      <c r="A213" s="2" t="str">
        <f>IF(Dados!H210="","",Dados!H210)</f>
        <v/>
      </c>
      <c r="B213" s="2" t="e">
        <f>VLOOKUP(Balancete_Oficial[[#This Row],[Conta]],'Balancete MLN_WebPosto'!C:E,3,0)</f>
        <v>#N/A</v>
      </c>
      <c r="C213" s="3" t="str">
        <f t="shared" si="12"/>
        <v>Sintética</v>
      </c>
      <c r="D213" s="6" t="str">
        <f t="shared" si="13"/>
        <v>R</v>
      </c>
      <c r="E213" s="6" t="str">
        <f t="shared" si="14"/>
        <v/>
      </c>
      <c r="F213" s="6"/>
      <c r="G213" s="6"/>
      <c r="H213" s="6"/>
      <c r="I213" s="6"/>
      <c r="J213" s="4" t="str">
        <f>IF(Balancete_Oficial[[#Headers],[Janeiro]]='Balancete MLN_WebPosto'!$G$2,
SUMIFS('Balancete MLN_WebPosto'!$J:$J,'Balancete MLN_WebPosto'!$C:$C,$A213,'Balancete MLN_WebPosto'!$B:$B,$B$2),
  "0"
)</f>
        <v>0</v>
      </c>
      <c r="K213" s="4" t="str">
        <f>IF(Balancete_Oficial[[#Headers],[Fevereiro]]='Balancete MLN_WebPosto'!$G$2,
SUMIFS('Balancete MLN_WebPosto'!$J:$J,'Balancete MLN_WebPosto'!$C:$C,$A213,'Balancete MLN_WebPosto'!$B:$B,$B$2),
  "0"
)</f>
        <v>0</v>
      </c>
      <c r="L213" s="4" t="str">
        <f>IF(Balancete_Oficial[[#Headers],[Março]]='Balancete MLN_WebPosto'!$G$2,
SUMIFS('Balancete MLN_WebPosto'!$J:$J,'Balancete MLN_WebPosto'!$C:$C,$A213,'Balancete MLN_WebPosto'!$B:$B,$B$2),
  "0"
)</f>
        <v>0</v>
      </c>
      <c r="M213" s="4" t="str">
        <f>IF(Balancete_Oficial[[#Headers],[Abril]]='Balancete MLN_WebPosto'!$G$2,
SUMIFS('Balancete MLN_WebPosto'!$J:$J,'Balancete MLN_WebPosto'!$C:$C,$A213,'Balancete MLN_WebPosto'!$B:$B,$B$2),
  "0"
)</f>
        <v>0</v>
      </c>
      <c r="N213" s="4" t="str">
        <f>IF(Balancete_Oficial[[#Headers],[Maio]]='Balancete MLN_WebPosto'!$G$2,
SUMIFS('Balancete MLN_WebPosto'!$I:$I,'Balancete MLN_WebPosto'!$C:$C,$A213,'Balancete MLN_WebPosto'!$B:$B,$B$2),
  "0"
)</f>
        <v>0</v>
      </c>
      <c r="O213" s="4" t="str">
        <f>IF(Balancete_Oficial[[#Headers],[Junho]]='Balancete MLN_WebPosto'!$G$2,
SUMIFS('Balancete MLN_WebPosto'!$I:$I,'Balancete MLN_WebPosto'!$C:$C,$A213,'Balancete MLN_WebPosto'!$B:$B,$B$2),
  "0"
)</f>
        <v>0</v>
      </c>
      <c r="P213" s="4" t="str">
        <f>IF(Balancete_Oficial[[#Headers],[Julho]]='Balancete MLN_WebPosto'!$G$2,
SUMIFS('Balancete MLN_WebPosto'!$I:$I,'Balancete MLN_WebPosto'!$C:$C,$A213,'Balancete MLN_WebPosto'!$B:$B,$B$2),
  "0"
)</f>
        <v>0</v>
      </c>
      <c r="Q213" s="4" t="str">
        <f>IF(Balancete_Oficial[[#Headers],[Agosto]]='Balancete MLN_WebPosto'!$G$2,
SUMIFS('Balancete MLN_WebPosto'!$I:$I,'Balancete MLN_WebPosto'!$C:$C,$A213,'Balancete MLN_WebPosto'!$B:$B,$B$2),
  "0"
)</f>
        <v>0</v>
      </c>
      <c r="R213" s="4">
        <f>IF(Balancete_Oficial[[#Headers],[Setembro]]='Balancete MLN_WebPosto'!$G$2,
SUMIFS('Balancete MLN_WebPosto'!$I:$I,'Balancete MLN_WebPosto'!$C:$C,$A213,'Balancete MLN_WebPosto'!$B:$B,$B$2),
  "0"
)</f>
        <v>0</v>
      </c>
      <c r="S213" s="4" t="str">
        <f>IF(Balancete_Oficial[[#Headers],[Outubro]]='Balancete MLN_WebPosto'!$G$2,
SUMIFS('Balancete MLN_WebPosto'!$I:$I,'Balancete MLN_WebPosto'!$C:$C,$A213,'Balancete MLN_WebPosto'!$B:$B,$B$2),
  "0"
)</f>
        <v>0</v>
      </c>
      <c r="T213" s="4" t="str">
        <f>IF(Balancete_Oficial[[#Headers],[Novembro]]='Balancete MLN_WebPosto'!$G$2,
SUMIFS('Balancete MLN_WebPosto'!$I:$I,'Balancete MLN_WebPosto'!$C:$C,$A213,'Balancete MLN_WebPosto'!$B:$B,$B$2),
  "0"
)</f>
        <v>0</v>
      </c>
      <c r="U213" s="4" t="str">
        <f>IF(Balancete_Oficial[[#Headers],[Dezembro]]='Balancete MLN_WebPosto'!$G$2,
SUMIFS('Balancete MLN_WebPosto'!$I:$I,'Balancete MLN_WebPosto'!$C:$C,$A213,'Balancete MLN_WebPosto'!$B:$B,$B$2),
  "0"
)</f>
        <v>0</v>
      </c>
    </row>
    <row r="214" spans="1:21" x14ac:dyDescent="0.25">
      <c r="A214" s="2" t="str">
        <f>IF(Dados!H211="","",Dados!H211)</f>
        <v/>
      </c>
      <c r="B214" s="2" t="e">
        <f>VLOOKUP(Balancete_Oficial[[#This Row],[Conta]],'Balancete MLN_WebPosto'!C:E,3,0)</f>
        <v>#N/A</v>
      </c>
      <c r="C214" s="3" t="str">
        <f t="shared" si="12"/>
        <v>Sintética</v>
      </c>
      <c r="D214" s="6" t="str">
        <f t="shared" si="13"/>
        <v>R</v>
      </c>
      <c r="E214" s="6" t="str">
        <f t="shared" si="14"/>
        <v/>
      </c>
      <c r="F214" s="6"/>
      <c r="G214" s="6"/>
      <c r="H214" s="6"/>
      <c r="I214" s="6"/>
      <c r="J214" s="4" t="str">
        <f>IF(Balancete_Oficial[[#Headers],[Janeiro]]='Balancete MLN_WebPosto'!$G$2,
SUMIFS('Balancete MLN_WebPosto'!$J:$J,'Balancete MLN_WebPosto'!$C:$C,$A214,'Balancete MLN_WebPosto'!$B:$B,$B$2),
  "0"
)</f>
        <v>0</v>
      </c>
      <c r="K214" s="4" t="str">
        <f>IF(Balancete_Oficial[[#Headers],[Fevereiro]]='Balancete MLN_WebPosto'!$G$2,
SUMIFS('Balancete MLN_WebPosto'!$J:$J,'Balancete MLN_WebPosto'!$C:$C,$A214,'Balancete MLN_WebPosto'!$B:$B,$B$2),
  "0"
)</f>
        <v>0</v>
      </c>
      <c r="L214" s="4" t="str">
        <f>IF(Balancete_Oficial[[#Headers],[Março]]='Balancete MLN_WebPosto'!$G$2,
SUMIFS('Balancete MLN_WebPosto'!$J:$J,'Balancete MLN_WebPosto'!$C:$C,$A214,'Balancete MLN_WebPosto'!$B:$B,$B$2),
  "0"
)</f>
        <v>0</v>
      </c>
      <c r="M214" s="4" t="str">
        <f>IF(Balancete_Oficial[[#Headers],[Abril]]='Balancete MLN_WebPosto'!$G$2,
SUMIFS('Balancete MLN_WebPosto'!$J:$J,'Balancete MLN_WebPosto'!$C:$C,$A214,'Balancete MLN_WebPosto'!$B:$B,$B$2),
  "0"
)</f>
        <v>0</v>
      </c>
      <c r="N214" s="4" t="str">
        <f>IF(Balancete_Oficial[[#Headers],[Maio]]='Balancete MLN_WebPosto'!$G$2,
SUMIFS('Balancete MLN_WebPosto'!$I:$I,'Balancete MLN_WebPosto'!$C:$C,$A214,'Balancete MLN_WebPosto'!$B:$B,$B$2),
  "0"
)</f>
        <v>0</v>
      </c>
      <c r="O214" s="4" t="str">
        <f>IF(Balancete_Oficial[[#Headers],[Junho]]='Balancete MLN_WebPosto'!$G$2,
SUMIFS('Balancete MLN_WebPosto'!$I:$I,'Balancete MLN_WebPosto'!$C:$C,$A214,'Balancete MLN_WebPosto'!$B:$B,$B$2),
  "0"
)</f>
        <v>0</v>
      </c>
      <c r="P214" s="4" t="str">
        <f>IF(Balancete_Oficial[[#Headers],[Julho]]='Balancete MLN_WebPosto'!$G$2,
SUMIFS('Balancete MLN_WebPosto'!$I:$I,'Balancete MLN_WebPosto'!$C:$C,$A214,'Balancete MLN_WebPosto'!$B:$B,$B$2),
  "0"
)</f>
        <v>0</v>
      </c>
      <c r="Q214" s="4" t="str">
        <f>IF(Balancete_Oficial[[#Headers],[Agosto]]='Balancete MLN_WebPosto'!$G$2,
SUMIFS('Balancete MLN_WebPosto'!$I:$I,'Balancete MLN_WebPosto'!$C:$C,$A214,'Balancete MLN_WebPosto'!$B:$B,$B$2),
  "0"
)</f>
        <v>0</v>
      </c>
      <c r="R214" s="4">
        <f>IF(Balancete_Oficial[[#Headers],[Setembro]]='Balancete MLN_WebPosto'!$G$2,
SUMIFS('Balancete MLN_WebPosto'!$I:$I,'Balancete MLN_WebPosto'!$C:$C,$A214,'Balancete MLN_WebPosto'!$B:$B,$B$2),
  "0"
)</f>
        <v>0</v>
      </c>
      <c r="S214" s="4" t="str">
        <f>IF(Balancete_Oficial[[#Headers],[Outubro]]='Balancete MLN_WebPosto'!$G$2,
SUMIFS('Balancete MLN_WebPosto'!$I:$I,'Balancete MLN_WebPosto'!$C:$C,$A214,'Balancete MLN_WebPosto'!$B:$B,$B$2),
  "0"
)</f>
        <v>0</v>
      </c>
      <c r="T214" s="4" t="str">
        <f>IF(Balancete_Oficial[[#Headers],[Novembro]]='Balancete MLN_WebPosto'!$G$2,
SUMIFS('Balancete MLN_WebPosto'!$I:$I,'Balancete MLN_WebPosto'!$C:$C,$A214,'Balancete MLN_WebPosto'!$B:$B,$B$2),
  "0"
)</f>
        <v>0</v>
      </c>
      <c r="U214" s="4" t="str">
        <f>IF(Balancete_Oficial[[#Headers],[Dezembro]]='Balancete MLN_WebPosto'!$G$2,
SUMIFS('Balancete MLN_WebPosto'!$I:$I,'Balancete MLN_WebPosto'!$C:$C,$A214,'Balancete MLN_WebPosto'!$B:$B,$B$2),
  "0"
)</f>
        <v>0</v>
      </c>
    </row>
    <row r="215" spans="1:21" x14ac:dyDescent="0.25">
      <c r="A215" s="2" t="str">
        <f>IF(Dados!H212="","",Dados!H212)</f>
        <v/>
      </c>
      <c r="B215" s="2" t="e">
        <f>VLOOKUP(Balancete_Oficial[[#This Row],[Conta]],'Balancete MLN_WebPosto'!C:E,3,0)</f>
        <v>#N/A</v>
      </c>
      <c r="C215" s="3" t="str">
        <f t="shared" si="12"/>
        <v>Sintética</v>
      </c>
      <c r="D215" s="6" t="str">
        <f t="shared" si="13"/>
        <v>R</v>
      </c>
      <c r="E215" s="6" t="str">
        <f t="shared" si="14"/>
        <v/>
      </c>
      <c r="F215" s="6"/>
      <c r="G215" s="6"/>
      <c r="H215" s="6"/>
      <c r="I215" s="6"/>
      <c r="J215" s="4" t="str">
        <f>IF(Balancete_Oficial[[#Headers],[Janeiro]]='Balancete MLN_WebPosto'!$G$2,
SUMIFS('Balancete MLN_WebPosto'!$J:$J,'Balancete MLN_WebPosto'!$C:$C,$A215,'Balancete MLN_WebPosto'!$B:$B,$B$2),
  "0"
)</f>
        <v>0</v>
      </c>
      <c r="K215" s="4" t="str">
        <f>IF(Balancete_Oficial[[#Headers],[Fevereiro]]='Balancete MLN_WebPosto'!$G$2,
SUMIFS('Balancete MLN_WebPosto'!$J:$J,'Balancete MLN_WebPosto'!$C:$C,$A215,'Balancete MLN_WebPosto'!$B:$B,$B$2),
  "0"
)</f>
        <v>0</v>
      </c>
      <c r="L215" s="4" t="str">
        <f>IF(Balancete_Oficial[[#Headers],[Março]]='Balancete MLN_WebPosto'!$G$2,
SUMIFS('Balancete MLN_WebPosto'!$J:$J,'Balancete MLN_WebPosto'!$C:$C,$A215,'Balancete MLN_WebPosto'!$B:$B,$B$2),
  "0"
)</f>
        <v>0</v>
      </c>
      <c r="M215" s="4" t="str">
        <f>IF(Balancete_Oficial[[#Headers],[Abril]]='Balancete MLN_WebPosto'!$G$2,
SUMIFS('Balancete MLN_WebPosto'!$J:$J,'Balancete MLN_WebPosto'!$C:$C,$A215,'Balancete MLN_WebPosto'!$B:$B,$B$2),
  "0"
)</f>
        <v>0</v>
      </c>
      <c r="N215" s="4" t="str">
        <f>IF(Balancete_Oficial[[#Headers],[Maio]]='Balancete MLN_WebPosto'!$G$2,
SUMIFS('Balancete MLN_WebPosto'!$I:$I,'Balancete MLN_WebPosto'!$C:$C,$A215,'Balancete MLN_WebPosto'!$B:$B,$B$2),
  "0"
)</f>
        <v>0</v>
      </c>
      <c r="O215" s="4" t="str">
        <f>IF(Balancete_Oficial[[#Headers],[Junho]]='Balancete MLN_WebPosto'!$G$2,
SUMIFS('Balancete MLN_WebPosto'!$I:$I,'Balancete MLN_WebPosto'!$C:$C,$A215,'Balancete MLN_WebPosto'!$B:$B,$B$2),
  "0"
)</f>
        <v>0</v>
      </c>
      <c r="P215" s="4" t="str">
        <f>IF(Balancete_Oficial[[#Headers],[Julho]]='Balancete MLN_WebPosto'!$G$2,
SUMIFS('Balancete MLN_WebPosto'!$I:$I,'Balancete MLN_WebPosto'!$C:$C,$A215,'Balancete MLN_WebPosto'!$B:$B,$B$2),
  "0"
)</f>
        <v>0</v>
      </c>
      <c r="Q215" s="4" t="str">
        <f>IF(Balancete_Oficial[[#Headers],[Agosto]]='Balancete MLN_WebPosto'!$G$2,
SUMIFS('Balancete MLN_WebPosto'!$I:$I,'Balancete MLN_WebPosto'!$C:$C,$A215,'Balancete MLN_WebPosto'!$B:$B,$B$2),
  "0"
)</f>
        <v>0</v>
      </c>
      <c r="R215" s="4">
        <f>IF(Balancete_Oficial[[#Headers],[Setembro]]='Balancete MLN_WebPosto'!$G$2,
SUMIFS('Balancete MLN_WebPosto'!$I:$I,'Balancete MLN_WebPosto'!$C:$C,$A215,'Balancete MLN_WebPosto'!$B:$B,$B$2),
  "0"
)</f>
        <v>0</v>
      </c>
      <c r="S215" s="4" t="str">
        <f>IF(Balancete_Oficial[[#Headers],[Outubro]]='Balancete MLN_WebPosto'!$G$2,
SUMIFS('Balancete MLN_WebPosto'!$I:$I,'Balancete MLN_WebPosto'!$C:$C,$A215,'Balancete MLN_WebPosto'!$B:$B,$B$2),
  "0"
)</f>
        <v>0</v>
      </c>
      <c r="T215" s="4" t="str">
        <f>IF(Balancete_Oficial[[#Headers],[Novembro]]='Balancete MLN_WebPosto'!$G$2,
SUMIFS('Balancete MLN_WebPosto'!$I:$I,'Balancete MLN_WebPosto'!$C:$C,$A215,'Balancete MLN_WebPosto'!$B:$B,$B$2),
  "0"
)</f>
        <v>0</v>
      </c>
      <c r="U215" s="4" t="str">
        <f>IF(Balancete_Oficial[[#Headers],[Dezembro]]='Balancete MLN_WebPosto'!$G$2,
SUMIFS('Balancete MLN_WebPosto'!$I:$I,'Balancete MLN_WebPosto'!$C:$C,$A215,'Balancete MLN_WebPosto'!$B:$B,$B$2),
  "0"
)</f>
        <v>0</v>
      </c>
    </row>
    <row r="216" spans="1:21" x14ac:dyDescent="0.25">
      <c r="A216" s="2" t="str">
        <f>IF(Dados!H213="","",Dados!H213)</f>
        <v/>
      </c>
      <c r="B216" s="2" t="e">
        <f>VLOOKUP(Balancete_Oficial[[#This Row],[Conta]],'Balancete MLN_WebPosto'!C:E,3,0)</f>
        <v>#N/A</v>
      </c>
      <c r="C216" s="3" t="str">
        <f t="shared" si="12"/>
        <v>Sintética</v>
      </c>
      <c r="D216" s="6" t="str">
        <f t="shared" si="13"/>
        <v>R</v>
      </c>
      <c r="E216" s="6" t="str">
        <f t="shared" si="14"/>
        <v/>
      </c>
      <c r="F216" s="6"/>
      <c r="G216" s="6"/>
      <c r="H216" s="6"/>
      <c r="I216" s="6"/>
      <c r="J216" s="4" t="str">
        <f>IF(Balancete_Oficial[[#Headers],[Janeiro]]='Balancete MLN_WebPosto'!$G$2,
SUMIFS('Balancete MLN_WebPosto'!$J:$J,'Balancete MLN_WebPosto'!$C:$C,$A216,'Balancete MLN_WebPosto'!$B:$B,$B$2),
  "0"
)</f>
        <v>0</v>
      </c>
      <c r="K216" s="4" t="str">
        <f>IF(Balancete_Oficial[[#Headers],[Fevereiro]]='Balancete MLN_WebPosto'!$G$2,
SUMIFS('Balancete MLN_WebPosto'!$J:$J,'Balancete MLN_WebPosto'!$C:$C,$A216,'Balancete MLN_WebPosto'!$B:$B,$B$2),
  "0"
)</f>
        <v>0</v>
      </c>
      <c r="L216" s="4" t="str">
        <f>IF(Balancete_Oficial[[#Headers],[Março]]='Balancete MLN_WebPosto'!$G$2,
SUMIFS('Balancete MLN_WebPosto'!$J:$J,'Balancete MLN_WebPosto'!$C:$C,$A216,'Balancete MLN_WebPosto'!$B:$B,$B$2),
  "0"
)</f>
        <v>0</v>
      </c>
      <c r="M216" s="4" t="str">
        <f>IF(Balancete_Oficial[[#Headers],[Abril]]='Balancete MLN_WebPosto'!$G$2,
SUMIFS('Balancete MLN_WebPosto'!$J:$J,'Balancete MLN_WebPosto'!$C:$C,$A216,'Balancete MLN_WebPosto'!$B:$B,$B$2),
  "0"
)</f>
        <v>0</v>
      </c>
      <c r="N216" s="4" t="str">
        <f>IF(Balancete_Oficial[[#Headers],[Maio]]='Balancete MLN_WebPosto'!$G$2,
SUMIFS('Balancete MLN_WebPosto'!$I:$I,'Balancete MLN_WebPosto'!$C:$C,$A216,'Balancete MLN_WebPosto'!$B:$B,$B$2),
  "0"
)</f>
        <v>0</v>
      </c>
      <c r="O216" s="4" t="str">
        <f>IF(Balancete_Oficial[[#Headers],[Junho]]='Balancete MLN_WebPosto'!$G$2,
SUMIFS('Balancete MLN_WebPosto'!$I:$I,'Balancete MLN_WebPosto'!$C:$C,$A216,'Balancete MLN_WebPosto'!$B:$B,$B$2),
  "0"
)</f>
        <v>0</v>
      </c>
      <c r="P216" s="4" t="str">
        <f>IF(Balancete_Oficial[[#Headers],[Julho]]='Balancete MLN_WebPosto'!$G$2,
SUMIFS('Balancete MLN_WebPosto'!$I:$I,'Balancete MLN_WebPosto'!$C:$C,$A216,'Balancete MLN_WebPosto'!$B:$B,$B$2),
  "0"
)</f>
        <v>0</v>
      </c>
      <c r="Q216" s="4" t="str">
        <f>IF(Balancete_Oficial[[#Headers],[Agosto]]='Balancete MLN_WebPosto'!$G$2,
SUMIFS('Balancete MLN_WebPosto'!$I:$I,'Balancete MLN_WebPosto'!$C:$C,$A216,'Balancete MLN_WebPosto'!$B:$B,$B$2),
  "0"
)</f>
        <v>0</v>
      </c>
      <c r="R216" s="4">
        <f>IF(Balancete_Oficial[[#Headers],[Setembro]]='Balancete MLN_WebPosto'!$G$2,
SUMIFS('Balancete MLN_WebPosto'!$I:$I,'Balancete MLN_WebPosto'!$C:$C,$A216,'Balancete MLN_WebPosto'!$B:$B,$B$2),
  "0"
)</f>
        <v>0</v>
      </c>
      <c r="S216" s="4" t="str">
        <f>IF(Balancete_Oficial[[#Headers],[Outubro]]='Balancete MLN_WebPosto'!$G$2,
SUMIFS('Balancete MLN_WebPosto'!$I:$I,'Balancete MLN_WebPosto'!$C:$C,$A216,'Balancete MLN_WebPosto'!$B:$B,$B$2),
  "0"
)</f>
        <v>0</v>
      </c>
      <c r="T216" s="4" t="str">
        <f>IF(Balancete_Oficial[[#Headers],[Novembro]]='Balancete MLN_WebPosto'!$G$2,
SUMIFS('Balancete MLN_WebPosto'!$I:$I,'Balancete MLN_WebPosto'!$C:$C,$A216,'Balancete MLN_WebPosto'!$B:$B,$B$2),
  "0"
)</f>
        <v>0</v>
      </c>
      <c r="U216" s="4" t="str">
        <f>IF(Balancete_Oficial[[#Headers],[Dezembro]]='Balancete MLN_WebPosto'!$G$2,
SUMIFS('Balancete MLN_WebPosto'!$I:$I,'Balancete MLN_WebPosto'!$C:$C,$A216,'Balancete MLN_WebPosto'!$B:$B,$B$2),
  "0"
)</f>
        <v>0</v>
      </c>
    </row>
    <row r="217" spans="1:21" x14ac:dyDescent="0.25">
      <c r="A217" s="2" t="str">
        <f>IF(Dados!H214="","",Dados!H214)</f>
        <v/>
      </c>
      <c r="B217" s="2" t="e">
        <f>VLOOKUP(Balancete_Oficial[[#This Row],[Conta]],'Balancete MLN_WebPosto'!C:E,3,0)</f>
        <v>#N/A</v>
      </c>
      <c r="C217" s="3" t="str">
        <f t="shared" si="12"/>
        <v>Sintética</v>
      </c>
      <c r="D217" s="6" t="str">
        <f t="shared" si="13"/>
        <v>R</v>
      </c>
      <c r="E217" s="6" t="str">
        <f t="shared" si="14"/>
        <v/>
      </c>
      <c r="F217" s="6"/>
      <c r="G217" s="6"/>
      <c r="H217" s="6"/>
      <c r="I217" s="6"/>
      <c r="J217" s="4" t="str">
        <f>IF(Balancete_Oficial[[#Headers],[Janeiro]]='Balancete MLN_WebPosto'!$G$2,
SUMIFS('Balancete MLN_WebPosto'!$J:$J,'Balancete MLN_WebPosto'!$C:$C,$A217,'Balancete MLN_WebPosto'!$B:$B,$B$2),
  "0"
)</f>
        <v>0</v>
      </c>
      <c r="K217" s="4" t="str">
        <f>IF(Balancete_Oficial[[#Headers],[Fevereiro]]='Balancete MLN_WebPosto'!$G$2,
SUMIFS('Balancete MLN_WebPosto'!$J:$J,'Balancete MLN_WebPosto'!$C:$C,$A217,'Balancete MLN_WebPosto'!$B:$B,$B$2),
  "0"
)</f>
        <v>0</v>
      </c>
      <c r="L217" s="4" t="str">
        <f>IF(Balancete_Oficial[[#Headers],[Março]]='Balancete MLN_WebPosto'!$G$2,
SUMIFS('Balancete MLN_WebPosto'!$J:$J,'Balancete MLN_WebPosto'!$C:$C,$A217,'Balancete MLN_WebPosto'!$B:$B,$B$2),
  "0"
)</f>
        <v>0</v>
      </c>
      <c r="M217" s="4" t="str">
        <f>IF(Balancete_Oficial[[#Headers],[Abril]]='Balancete MLN_WebPosto'!$G$2,
SUMIFS('Balancete MLN_WebPosto'!$J:$J,'Balancete MLN_WebPosto'!$C:$C,$A217,'Balancete MLN_WebPosto'!$B:$B,$B$2),
  "0"
)</f>
        <v>0</v>
      </c>
      <c r="N217" s="4" t="str">
        <f>IF(Balancete_Oficial[[#Headers],[Maio]]='Balancete MLN_WebPosto'!$G$2,
SUMIFS('Balancete MLN_WebPosto'!$I:$I,'Balancete MLN_WebPosto'!$C:$C,$A217,'Balancete MLN_WebPosto'!$B:$B,$B$2),
  "0"
)</f>
        <v>0</v>
      </c>
      <c r="O217" s="4" t="str">
        <f>IF(Balancete_Oficial[[#Headers],[Junho]]='Balancete MLN_WebPosto'!$G$2,
SUMIFS('Balancete MLN_WebPosto'!$I:$I,'Balancete MLN_WebPosto'!$C:$C,$A217,'Balancete MLN_WebPosto'!$B:$B,$B$2),
  "0"
)</f>
        <v>0</v>
      </c>
      <c r="P217" s="4" t="str">
        <f>IF(Balancete_Oficial[[#Headers],[Julho]]='Balancete MLN_WebPosto'!$G$2,
SUMIFS('Balancete MLN_WebPosto'!$I:$I,'Balancete MLN_WebPosto'!$C:$C,$A217,'Balancete MLN_WebPosto'!$B:$B,$B$2),
  "0"
)</f>
        <v>0</v>
      </c>
      <c r="Q217" s="4" t="str">
        <f>IF(Balancete_Oficial[[#Headers],[Agosto]]='Balancete MLN_WebPosto'!$G$2,
SUMIFS('Balancete MLN_WebPosto'!$I:$I,'Balancete MLN_WebPosto'!$C:$C,$A217,'Balancete MLN_WebPosto'!$B:$B,$B$2),
  "0"
)</f>
        <v>0</v>
      </c>
      <c r="R217" s="4">
        <f>IF(Balancete_Oficial[[#Headers],[Setembro]]='Balancete MLN_WebPosto'!$G$2,
SUMIFS('Balancete MLN_WebPosto'!$I:$I,'Balancete MLN_WebPosto'!$C:$C,$A217,'Balancete MLN_WebPosto'!$B:$B,$B$2),
  "0"
)</f>
        <v>0</v>
      </c>
      <c r="S217" s="4" t="str">
        <f>IF(Balancete_Oficial[[#Headers],[Outubro]]='Balancete MLN_WebPosto'!$G$2,
SUMIFS('Balancete MLN_WebPosto'!$I:$I,'Balancete MLN_WebPosto'!$C:$C,$A217,'Balancete MLN_WebPosto'!$B:$B,$B$2),
  "0"
)</f>
        <v>0</v>
      </c>
      <c r="T217" s="4" t="str">
        <f>IF(Balancete_Oficial[[#Headers],[Novembro]]='Balancete MLN_WebPosto'!$G$2,
SUMIFS('Balancete MLN_WebPosto'!$I:$I,'Balancete MLN_WebPosto'!$C:$C,$A217,'Balancete MLN_WebPosto'!$B:$B,$B$2),
  "0"
)</f>
        <v>0</v>
      </c>
      <c r="U217" s="4" t="str">
        <f>IF(Balancete_Oficial[[#Headers],[Dezembro]]='Balancete MLN_WebPosto'!$G$2,
SUMIFS('Balancete MLN_WebPosto'!$I:$I,'Balancete MLN_WebPosto'!$C:$C,$A217,'Balancete MLN_WebPosto'!$B:$B,$B$2),
  "0"
)</f>
        <v>0</v>
      </c>
    </row>
    <row r="218" spans="1:21" x14ac:dyDescent="0.25">
      <c r="A218" s="2" t="str">
        <f>IF(Dados!H215="","",Dados!H215)</f>
        <v/>
      </c>
      <c r="B218" s="2" t="e">
        <f>VLOOKUP(Balancete_Oficial[[#This Row],[Conta]],'Balancete MLN_WebPosto'!C:E,3,0)</f>
        <v>#N/A</v>
      </c>
      <c r="C218" s="3" t="str">
        <f t="shared" si="12"/>
        <v>Sintética</v>
      </c>
      <c r="D218" s="6" t="str">
        <f t="shared" si="13"/>
        <v>R</v>
      </c>
      <c r="E218" s="6" t="str">
        <f t="shared" si="14"/>
        <v/>
      </c>
      <c r="F218" s="6"/>
      <c r="G218" s="6"/>
      <c r="H218" s="6"/>
      <c r="I218" s="6"/>
      <c r="J218" s="4" t="str">
        <f>IF(Balancete_Oficial[[#Headers],[Janeiro]]='Balancete MLN_WebPosto'!$G$2,
SUMIFS('Balancete MLN_WebPosto'!$J:$J,'Balancete MLN_WebPosto'!$C:$C,$A218,'Balancete MLN_WebPosto'!$B:$B,$B$2),
  "0"
)</f>
        <v>0</v>
      </c>
      <c r="K218" s="4" t="str">
        <f>IF(Balancete_Oficial[[#Headers],[Fevereiro]]='Balancete MLN_WebPosto'!$G$2,
SUMIFS('Balancete MLN_WebPosto'!$J:$J,'Balancete MLN_WebPosto'!$C:$C,$A218,'Balancete MLN_WebPosto'!$B:$B,$B$2),
  "0"
)</f>
        <v>0</v>
      </c>
      <c r="L218" s="4" t="str">
        <f>IF(Balancete_Oficial[[#Headers],[Março]]='Balancete MLN_WebPosto'!$G$2,
SUMIFS('Balancete MLN_WebPosto'!$J:$J,'Balancete MLN_WebPosto'!$C:$C,$A218,'Balancete MLN_WebPosto'!$B:$B,$B$2),
  "0"
)</f>
        <v>0</v>
      </c>
      <c r="M218" s="4" t="str">
        <f>IF(Balancete_Oficial[[#Headers],[Abril]]='Balancete MLN_WebPosto'!$G$2,
SUMIFS('Balancete MLN_WebPosto'!$J:$J,'Balancete MLN_WebPosto'!$C:$C,$A218,'Balancete MLN_WebPosto'!$B:$B,$B$2),
  "0"
)</f>
        <v>0</v>
      </c>
      <c r="N218" s="4" t="str">
        <f>IF(Balancete_Oficial[[#Headers],[Maio]]='Balancete MLN_WebPosto'!$G$2,
SUMIFS('Balancete MLN_WebPosto'!$I:$I,'Balancete MLN_WebPosto'!$C:$C,$A218,'Balancete MLN_WebPosto'!$B:$B,$B$2),
  "0"
)</f>
        <v>0</v>
      </c>
      <c r="O218" s="4" t="str">
        <f>IF(Balancete_Oficial[[#Headers],[Junho]]='Balancete MLN_WebPosto'!$G$2,
SUMIFS('Balancete MLN_WebPosto'!$I:$I,'Balancete MLN_WebPosto'!$C:$C,$A218,'Balancete MLN_WebPosto'!$B:$B,$B$2),
  "0"
)</f>
        <v>0</v>
      </c>
      <c r="P218" s="4" t="str">
        <f>IF(Balancete_Oficial[[#Headers],[Julho]]='Balancete MLN_WebPosto'!$G$2,
SUMIFS('Balancete MLN_WebPosto'!$I:$I,'Balancete MLN_WebPosto'!$C:$C,$A218,'Balancete MLN_WebPosto'!$B:$B,$B$2),
  "0"
)</f>
        <v>0</v>
      </c>
      <c r="Q218" s="4" t="str">
        <f>IF(Balancete_Oficial[[#Headers],[Agosto]]='Balancete MLN_WebPosto'!$G$2,
SUMIFS('Balancete MLN_WebPosto'!$I:$I,'Balancete MLN_WebPosto'!$C:$C,$A218,'Balancete MLN_WebPosto'!$B:$B,$B$2),
  "0"
)</f>
        <v>0</v>
      </c>
      <c r="R218" s="4">
        <f>IF(Balancete_Oficial[[#Headers],[Setembro]]='Balancete MLN_WebPosto'!$G$2,
SUMIFS('Balancete MLN_WebPosto'!$I:$I,'Balancete MLN_WebPosto'!$C:$C,$A218,'Balancete MLN_WebPosto'!$B:$B,$B$2),
  "0"
)</f>
        <v>0</v>
      </c>
      <c r="S218" s="4" t="str">
        <f>IF(Balancete_Oficial[[#Headers],[Outubro]]='Balancete MLN_WebPosto'!$G$2,
SUMIFS('Balancete MLN_WebPosto'!$I:$I,'Balancete MLN_WebPosto'!$C:$C,$A218,'Balancete MLN_WebPosto'!$B:$B,$B$2),
  "0"
)</f>
        <v>0</v>
      </c>
      <c r="T218" s="4" t="str">
        <f>IF(Balancete_Oficial[[#Headers],[Novembro]]='Balancete MLN_WebPosto'!$G$2,
SUMIFS('Balancete MLN_WebPosto'!$I:$I,'Balancete MLN_WebPosto'!$C:$C,$A218,'Balancete MLN_WebPosto'!$B:$B,$B$2),
  "0"
)</f>
        <v>0</v>
      </c>
      <c r="U218" s="4" t="str">
        <f>IF(Balancete_Oficial[[#Headers],[Dezembro]]='Balancete MLN_WebPosto'!$G$2,
SUMIFS('Balancete MLN_WebPosto'!$I:$I,'Balancete MLN_WebPosto'!$C:$C,$A218,'Balancete MLN_WebPosto'!$B:$B,$B$2),
  "0"
)</f>
        <v>0</v>
      </c>
    </row>
    <row r="219" spans="1:21" x14ac:dyDescent="0.25">
      <c r="A219" s="2" t="str">
        <f>IF(Dados!H216="","",Dados!H216)</f>
        <v/>
      </c>
      <c r="B219" s="2" t="e">
        <f>VLOOKUP(Balancete_Oficial[[#This Row],[Conta]],'Balancete MLN_WebPosto'!C:E,3,0)</f>
        <v>#N/A</v>
      </c>
      <c r="C219" s="3" t="str">
        <f t="shared" si="12"/>
        <v>Sintética</v>
      </c>
      <c r="D219" s="6" t="str">
        <f t="shared" si="13"/>
        <v>R</v>
      </c>
      <c r="E219" s="6" t="str">
        <f t="shared" si="14"/>
        <v/>
      </c>
      <c r="F219" s="6"/>
      <c r="G219" s="6"/>
      <c r="H219" s="6"/>
      <c r="I219" s="6"/>
      <c r="J219" s="4" t="str">
        <f>IF(Balancete_Oficial[[#Headers],[Janeiro]]='Balancete MLN_WebPosto'!$G$2,
SUMIFS('Balancete MLN_WebPosto'!$J:$J,'Balancete MLN_WebPosto'!$C:$C,$A219,'Balancete MLN_WebPosto'!$B:$B,$B$2),
  "0"
)</f>
        <v>0</v>
      </c>
      <c r="K219" s="4" t="str">
        <f>IF(Balancete_Oficial[[#Headers],[Fevereiro]]='Balancete MLN_WebPosto'!$G$2,
SUMIFS('Balancete MLN_WebPosto'!$J:$J,'Balancete MLN_WebPosto'!$C:$C,$A219,'Balancete MLN_WebPosto'!$B:$B,$B$2),
  "0"
)</f>
        <v>0</v>
      </c>
      <c r="L219" s="4" t="str">
        <f>IF(Balancete_Oficial[[#Headers],[Março]]='Balancete MLN_WebPosto'!$G$2,
SUMIFS('Balancete MLN_WebPosto'!$J:$J,'Balancete MLN_WebPosto'!$C:$C,$A219,'Balancete MLN_WebPosto'!$B:$B,$B$2),
  "0"
)</f>
        <v>0</v>
      </c>
      <c r="M219" s="4" t="str">
        <f>IF(Balancete_Oficial[[#Headers],[Abril]]='Balancete MLN_WebPosto'!$G$2,
SUMIFS('Balancete MLN_WebPosto'!$J:$J,'Balancete MLN_WebPosto'!$C:$C,$A219,'Balancete MLN_WebPosto'!$B:$B,$B$2),
  "0"
)</f>
        <v>0</v>
      </c>
      <c r="N219" s="4" t="str">
        <f>IF(Balancete_Oficial[[#Headers],[Maio]]='Balancete MLN_WebPosto'!$G$2,
SUMIFS('Balancete MLN_WebPosto'!$I:$I,'Balancete MLN_WebPosto'!$C:$C,$A219,'Balancete MLN_WebPosto'!$B:$B,$B$2),
  "0"
)</f>
        <v>0</v>
      </c>
      <c r="O219" s="4" t="str">
        <f>IF(Balancete_Oficial[[#Headers],[Junho]]='Balancete MLN_WebPosto'!$G$2,
SUMIFS('Balancete MLN_WebPosto'!$I:$I,'Balancete MLN_WebPosto'!$C:$C,$A219,'Balancete MLN_WebPosto'!$B:$B,$B$2),
  "0"
)</f>
        <v>0</v>
      </c>
      <c r="P219" s="4" t="str">
        <f>IF(Balancete_Oficial[[#Headers],[Julho]]='Balancete MLN_WebPosto'!$G$2,
SUMIFS('Balancete MLN_WebPosto'!$I:$I,'Balancete MLN_WebPosto'!$C:$C,$A219,'Balancete MLN_WebPosto'!$B:$B,$B$2),
  "0"
)</f>
        <v>0</v>
      </c>
      <c r="Q219" s="4" t="str">
        <f>IF(Balancete_Oficial[[#Headers],[Agosto]]='Balancete MLN_WebPosto'!$G$2,
SUMIFS('Balancete MLN_WebPosto'!$I:$I,'Balancete MLN_WebPosto'!$C:$C,$A219,'Balancete MLN_WebPosto'!$B:$B,$B$2),
  "0"
)</f>
        <v>0</v>
      </c>
      <c r="R219" s="4">
        <f>IF(Balancete_Oficial[[#Headers],[Setembro]]='Balancete MLN_WebPosto'!$G$2,
SUMIFS('Balancete MLN_WebPosto'!$I:$I,'Balancete MLN_WebPosto'!$C:$C,$A219,'Balancete MLN_WebPosto'!$B:$B,$B$2),
  "0"
)</f>
        <v>0</v>
      </c>
      <c r="S219" s="4" t="str">
        <f>IF(Balancete_Oficial[[#Headers],[Outubro]]='Balancete MLN_WebPosto'!$G$2,
SUMIFS('Balancete MLN_WebPosto'!$I:$I,'Balancete MLN_WebPosto'!$C:$C,$A219,'Balancete MLN_WebPosto'!$B:$B,$B$2),
  "0"
)</f>
        <v>0</v>
      </c>
      <c r="T219" s="4" t="str">
        <f>IF(Balancete_Oficial[[#Headers],[Novembro]]='Balancete MLN_WebPosto'!$G$2,
SUMIFS('Balancete MLN_WebPosto'!$I:$I,'Balancete MLN_WebPosto'!$C:$C,$A219,'Balancete MLN_WebPosto'!$B:$B,$B$2),
  "0"
)</f>
        <v>0</v>
      </c>
      <c r="U219" s="4" t="str">
        <f>IF(Balancete_Oficial[[#Headers],[Dezembro]]='Balancete MLN_WebPosto'!$G$2,
SUMIFS('Balancete MLN_WebPosto'!$I:$I,'Balancete MLN_WebPosto'!$C:$C,$A219,'Balancete MLN_WebPosto'!$B:$B,$B$2),
  "0"
)</f>
        <v>0</v>
      </c>
    </row>
    <row r="220" spans="1:21" x14ac:dyDescent="0.25">
      <c r="A220" s="2" t="str">
        <f>IF(Dados!H217="","",Dados!H217)</f>
        <v/>
      </c>
      <c r="B220" s="2" t="e">
        <f>VLOOKUP(Balancete_Oficial[[#This Row],[Conta]],'Balancete MLN_WebPosto'!C:E,3,0)</f>
        <v>#N/A</v>
      </c>
      <c r="C220" s="3" t="str">
        <f t="shared" si="12"/>
        <v>Sintética</v>
      </c>
      <c r="D220" s="6" t="str">
        <f t="shared" si="13"/>
        <v>R</v>
      </c>
      <c r="E220" s="6" t="str">
        <f t="shared" si="14"/>
        <v/>
      </c>
      <c r="F220" s="6"/>
      <c r="G220" s="6"/>
      <c r="H220" s="6"/>
      <c r="I220" s="6"/>
      <c r="J220" s="4" t="str">
        <f>IF(Balancete_Oficial[[#Headers],[Janeiro]]='Balancete MLN_WebPosto'!$G$2,
SUMIFS('Balancete MLN_WebPosto'!$J:$J,'Balancete MLN_WebPosto'!$C:$C,$A220,'Balancete MLN_WebPosto'!$B:$B,$B$2),
  "0"
)</f>
        <v>0</v>
      </c>
      <c r="K220" s="4" t="str">
        <f>IF(Balancete_Oficial[[#Headers],[Fevereiro]]='Balancete MLN_WebPosto'!$G$2,
SUMIFS('Balancete MLN_WebPosto'!$J:$J,'Balancete MLN_WebPosto'!$C:$C,$A220,'Balancete MLN_WebPosto'!$B:$B,$B$2),
  "0"
)</f>
        <v>0</v>
      </c>
      <c r="L220" s="4" t="str">
        <f>IF(Balancete_Oficial[[#Headers],[Março]]='Balancete MLN_WebPosto'!$G$2,
SUMIFS('Balancete MLN_WebPosto'!$J:$J,'Balancete MLN_WebPosto'!$C:$C,$A220,'Balancete MLN_WebPosto'!$B:$B,$B$2),
  "0"
)</f>
        <v>0</v>
      </c>
      <c r="M220" s="4" t="str">
        <f>IF(Balancete_Oficial[[#Headers],[Abril]]='Balancete MLN_WebPosto'!$G$2,
SUMIFS('Balancete MLN_WebPosto'!$J:$J,'Balancete MLN_WebPosto'!$C:$C,$A220,'Balancete MLN_WebPosto'!$B:$B,$B$2),
  "0"
)</f>
        <v>0</v>
      </c>
      <c r="N220" s="4" t="str">
        <f>IF(Balancete_Oficial[[#Headers],[Maio]]='Balancete MLN_WebPosto'!$G$2,
SUMIFS('Balancete MLN_WebPosto'!$I:$I,'Balancete MLN_WebPosto'!$C:$C,$A220,'Balancete MLN_WebPosto'!$B:$B,$B$2),
  "0"
)</f>
        <v>0</v>
      </c>
      <c r="O220" s="4" t="str">
        <f>IF(Balancete_Oficial[[#Headers],[Junho]]='Balancete MLN_WebPosto'!$G$2,
SUMIFS('Balancete MLN_WebPosto'!$I:$I,'Balancete MLN_WebPosto'!$C:$C,$A220,'Balancete MLN_WebPosto'!$B:$B,$B$2),
  "0"
)</f>
        <v>0</v>
      </c>
      <c r="P220" s="4" t="str">
        <f>IF(Balancete_Oficial[[#Headers],[Julho]]='Balancete MLN_WebPosto'!$G$2,
SUMIFS('Balancete MLN_WebPosto'!$I:$I,'Balancete MLN_WebPosto'!$C:$C,$A220,'Balancete MLN_WebPosto'!$B:$B,$B$2),
  "0"
)</f>
        <v>0</v>
      </c>
      <c r="Q220" s="4" t="str">
        <f>IF(Balancete_Oficial[[#Headers],[Agosto]]='Balancete MLN_WebPosto'!$G$2,
SUMIFS('Balancete MLN_WebPosto'!$I:$I,'Balancete MLN_WebPosto'!$C:$C,$A220,'Balancete MLN_WebPosto'!$B:$B,$B$2),
  "0"
)</f>
        <v>0</v>
      </c>
      <c r="R220" s="4">
        <f>IF(Balancete_Oficial[[#Headers],[Setembro]]='Balancete MLN_WebPosto'!$G$2,
SUMIFS('Balancete MLN_WebPosto'!$I:$I,'Balancete MLN_WebPosto'!$C:$C,$A220,'Balancete MLN_WebPosto'!$B:$B,$B$2),
  "0"
)</f>
        <v>0</v>
      </c>
      <c r="S220" s="4" t="str">
        <f>IF(Balancete_Oficial[[#Headers],[Outubro]]='Balancete MLN_WebPosto'!$G$2,
SUMIFS('Balancete MLN_WebPosto'!$I:$I,'Balancete MLN_WebPosto'!$C:$C,$A220,'Balancete MLN_WebPosto'!$B:$B,$B$2),
  "0"
)</f>
        <v>0</v>
      </c>
      <c r="T220" s="4" t="str">
        <f>IF(Balancete_Oficial[[#Headers],[Novembro]]='Balancete MLN_WebPosto'!$G$2,
SUMIFS('Balancete MLN_WebPosto'!$I:$I,'Balancete MLN_WebPosto'!$C:$C,$A220,'Balancete MLN_WebPosto'!$B:$B,$B$2),
  "0"
)</f>
        <v>0</v>
      </c>
      <c r="U220" s="4" t="str">
        <f>IF(Balancete_Oficial[[#Headers],[Dezembro]]='Balancete MLN_WebPosto'!$G$2,
SUMIFS('Balancete MLN_WebPosto'!$I:$I,'Balancete MLN_WebPosto'!$C:$C,$A220,'Balancete MLN_WebPosto'!$B:$B,$B$2),
  "0"
)</f>
        <v>0</v>
      </c>
    </row>
    <row r="221" spans="1:21" x14ac:dyDescent="0.25">
      <c r="A221" s="2" t="str">
        <f>IF(Dados!H218="","",Dados!H218)</f>
        <v/>
      </c>
      <c r="B221" s="2" t="e">
        <f>VLOOKUP(Balancete_Oficial[[#This Row],[Conta]],'Balancete MLN_WebPosto'!C:E,3,0)</f>
        <v>#N/A</v>
      </c>
      <c r="C221" s="3" t="str">
        <f t="shared" si="12"/>
        <v>Sintética</v>
      </c>
      <c r="D221" s="6" t="str">
        <f t="shared" si="13"/>
        <v>R</v>
      </c>
      <c r="E221" s="6" t="str">
        <f t="shared" si="14"/>
        <v/>
      </c>
      <c r="F221" s="6"/>
      <c r="G221" s="6"/>
      <c r="H221" s="6"/>
      <c r="I221" s="6"/>
      <c r="J221" s="4" t="str">
        <f>IF(Balancete_Oficial[[#Headers],[Janeiro]]='Balancete MLN_WebPosto'!$G$2,
SUMIFS('Balancete MLN_WebPosto'!$J:$J,'Balancete MLN_WebPosto'!$C:$C,$A221,'Balancete MLN_WebPosto'!$B:$B,$B$2),
  "0"
)</f>
        <v>0</v>
      </c>
      <c r="K221" s="4" t="str">
        <f>IF(Balancete_Oficial[[#Headers],[Fevereiro]]='Balancete MLN_WebPosto'!$G$2,
SUMIFS('Balancete MLN_WebPosto'!$J:$J,'Balancete MLN_WebPosto'!$C:$C,$A221,'Balancete MLN_WebPosto'!$B:$B,$B$2),
  "0"
)</f>
        <v>0</v>
      </c>
      <c r="L221" s="4" t="str">
        <f>IF(Balancete_Oficial[[#Headers],[Março]]='Balancete MLN_WebPosto'!$G$2,
SUMIFS('Balancete MLN_WebPosto'!$J:$J,'Balancete MLN_WebPosto'!$C:$C,$A221,'Balancete MLN_WebPosto'!$B:$B,$B$2),
  "0"
)</f>
        <v>0</v>
      </c>
      <c r="M221" s="4" t="str">
        <f>IF(Balancete_Oficial[[#Headers],[Abril]]='Balancete MLN_WebPosto'!$G$2,
SUMIFS('Balancete MLN_WebPosto'!$J:$J,'Balancete MLN_WebPosto'!$C:$C,$A221,'Balancete MLN_WebPosto'!$B:$B,$B$2),
  "0"
)</f>
        <v>0</v>
      </c>
      <c r="N221" s="4" t="str">
        <f>IF(Balancete_Oficial[[#Headers],[Maio]]='Balancete MLN_WebPosto'!$G$2,
SUMIFS('Balancete MLN_WebPosto'!$I:$I,'Balancete MLN_WebPosto'!$C:$C,$A221,'Balancete MLN_WebPosto'!$B:$B,$B$2),
  "0"
)</f>
        <v>0</v>
      </c>
      <c r="O221" s="4" t="str">
        <f>IF(Balancete_Oficial[[#Headers],[Junho]]='Balancete MLN_WebPosto'!$G$2,
SUMIFS('Balancete MLN_WebPosto'!$I:$I,'Balancete MLN_WebPosto'!$C:$C,$A221,'Balancete MLN_WebPosto'!$B:$B,$B$2),
  "0"
)</f>
        <v>0</v>
      </c>
      <c r="P221" s="4" t="str">
        <f>IF(Balancete_Oficial[[#Headers],[Julho]]='Balancete MLN_WebPosto'!$G$2,
SUMIFS('Balancete MLN_WebPosto'!$I:$I,'Balancete MLN_WebPosto'!$C:$C,$A221,'Balancete MLN_WebPosto'!$B:$B,$B$2),
  "0"
)</f>
        <v>0</v>
      </c>
      <c r="Q221" s="4" t="str">
        <f>IF(Balancete_Oficial[[#Headers],[Agosto]]='Balancete MLN_WebPosto'!$G$2,
SUMIFS('Balancete MLN_WebPosto'!$I:$I,'Balancete MLN_WebPosto'!$C:$C,$A221,'Balancete MLN_WebPosto'!$B:$B,$B$2),
  "0"
)</f>
        <v>0</v>
      </c>
      <c r="R221" s="4">
        <f>IF(Balancete_Oficial[[#Headers],[Setembro]]='Balancete MLN_WebPosto'!$G$2,
SUMIFS('Balancete MLN_WebPosto'!$I:$I,'Balancete MLN_WebPosto'!$C:$C,$A221,'Balancete MLN_WebPosto'!$B:$B,$B$2),
  "0"
)</f>
        <v>0</v>
      </c>
      <c r="S221" s="4" t="str">
        <f>IF(Balancete_Oficial[[#Headers],[Outubro]]='Balancete MLN_WebPosto'!$G$2,
SUMIFS('Balancete MLN_WebPosto'!$I:$I,'Balancete MLN_WebPosto'!$C:$C,$A221,'Balancete MLN_WebPosto'!$B:$B,$B$2),
  "0"
)</f>
        <v>0</v>
      </c>
      <c r="T221" s="4" t="str">
        <f>IF(Balancete_Oficial[[#Headers],[Novembro]]='Balancete MLN_WebPosto'!$G$2,
SUMIFS('Balancete MLN_WebPosto'!$I:$I,'Balancete MLN_WebPosto'!$C:$C,$A221,'Balancete MLN_WebPosto'!$B:$B,$B$2),
  "0"
)</f>
        <v>0</v>
      </c>
      <c r="U221" s="4" t="str">
        <f>IF(Balancete_Oficial[[#Headers],[Dezembro]]='Balancete MLN_WebPosto'!$G$2,
SUMIFS('Balancete MLN_WebPosto'!$I:$I,'Balancete MLN_WebPosto'!$C:$C,$A221,'Balancete MLN_WebPosto'!$B:$B,$B$2),
  "0"
)</f>
        <v>0</v>
      </c>
    </row>
    <row r="222" spans="1:21" x14ac:dyDescent="0.25">
      <c r="A222" s="2" t="str">
        <f>IF(Dados!H219="","",Dados!H219)</f>
        <v/>
      </c>
      <c r="B222" s="2" t="e">
        <f>VLOOKUP(Balancete_Oficial[[#This Row],[Conta]],'Balancete MLN_WebPosto'!C:E,3,0)</f>
        <v>#N/A</v>
      </c>
      <c r="C222" s="3" t="str">
        <f t="shared" si="12"/>
        <v>Sintética</v>
      </c>
      <c r="D222" s="6" t="str">
        <f t="shared" si="13"/>
        <v>R</v>
      </c>
      <c r="E222" s="6" t="str">
        <f t="shared" si="14"/>
        <v/>
      </c>
      <c r="F222" s="6"/>
      <c r="G222" s="6"/>
      <c r="H222" s="6"/>
      <c r="I222" s="6"/>
      <c r="J222" s="4" t="str">
        <f>IF(Balancete_Oficial[[#Headers],[Janeiro]]='Balancete MLN_WebPosto'!$G$2,
SUMIFS('Balancete MLN_WebPosto'!$J:$J,'Balancete MLN_WebPosto'!$C:$C,$A222,'Balancete MLN_WebPosto'!$B:$B,$B$2),
  "0"
)</f>
        <v>0</v>
      </c>
      <c r="K222" s="4" t="str">
        <f>IF(Balancete_Oficial[[#Headers],[Fevereiro]]='Balancete MLN_WebPosto'!$G$2,
SUMIFS('Balancete MLN_WebPosto'!$J:$J,'Balancete MLN_WebPosto'!$C:$C,$A222,'Balancete MLN_WebPosto'!$B:$B,$B$2),
  "0"
)</f>
        <v>0</v>
      </c>
      <c r="L222" s="4" t="str">
        <f>IF(Balancete_Oficial[[#Headers],[Março]]='Balancete MLN_WebPosto'!$G$2,
SUMIFS('Balancete MLN_WebPosto'!$J:$J,'Balancete MLN_WebPosto'!$C:$C,$A222,'Balancete MLN_WebPosto'!$B:$B,$B$2),
  "0"
)</f>
        <v>0</v>
      </c>
      <c r="M222" s="4" t="str">
        <f>IF(Balancete_Oficial[[#Headers],[Abril]]='Balancete MLN_WebPosto'!$G$2,
SUMIFS('Balancete MLN_WebPosto'!$J:$J,'Balancete MLN_WebPosto'!$C:$C,$A222,'Balancete MLN_WebPosto'!$B:$B,$B$2),
  "0"
)</f>
        <v>0</v>
      </c>
      <c r="N222" s="4" t="str">
        <f>IF(Balancete_Oficial[[#Headers],[Maio]]='Balancete MLN_WebPosto'!$G$2,
SUMIFS('Balancete MLN_WebPosto'!$I:$I,'Balancete MLN_WebPosto'!$C:$C,$A222,'Balancete MLN_WebPosto'!$B:$B,$B$2),
  "0"
)</f>
        <v>0</v>
      </c>
      <c r="O222" s="4" t="str">
        <f>IF(Balancete_Oficial[[#Headers],[Junho]]='Balancete MLN_WebPosto'!$G$2,
SUMIFS('Balancete MLN_WebPosto'!$I:$I,'Balancete MLN_WebPosto'!$C:$C,$A222,'Balancete MLN_WebPosto'!$B:$B,$B$2),
  "0"
)</f>
        <v>0</v>
      </c>
      <c r="P222" s="4" t="str">
        <f>IF(Balancete_Oficial[[#Headers],[Julho]]='Balancete MLN_WebPosto'!$G$2,
SUMIFS('Balancete MLN_WebPosto'!$I:$I,'Balancete MLN_WebPosto'!$C:$C,$A222,'Balancete MLN_WebPosto'!$B:$B,$B$2),
  "0"
)</f>
        <v>0</v>
      </c>
      <c r="Q222" s="4" t="str">
        <f>IF(Balancete_Oficial[[#Headers],[Agosto]]='Balancete MLN_WebPosto'!$G$2,
SUMIFS('Balancete MLN_WebPosto'!$I:$I,'Balancete MLN_WebPosto'!$C:$C,$A222,'Balancete MLN_WebPosto'!$B:$B,$B$2),
  "0"
)</f>
        <v>0</v>
      </c>
      <c r="R222" s="4">
        <f>IF(Balancete_Oficial[[#Headers],[Setembro]]='Balancete MLN_WebPosto'!$G$2,
SUMIFS('Balancete MLN_WebPosto'!$I:$I,'Balancete MLN_WebPosto'!$C:$C,$A222,'Balancete MLN_WebPosto'!$B:$B,$B$2),
  "0"
)</f>
        <v>0</v>
      </c>
      <c r="S222" s="4" t="str">
        <f>IF(Balancete_Oficial[[#Headers],[Outubro]]='Balancete MLN_WebPosto'!$G$2,
SUMIFS('Balancete MLN_WebPosto'!$I:$I,'Balancete MLN_WebPosto'!$C:$C,$A222,'Balancete MLN_WebPosto'!$B:$B,$B$2),
  "0"
)</f>
        <v>0</v>
      </c>
      <c r="T222" s="4" t="str">
        <f>IF(Balancete_Oficial[[#Headers],[Novembro]]='Balancete MLN_WebPosto'!$G$2,
SUMIFS('Balancete MLN_WebPosto'!$I:$I,'Balancete MLN_WebPosto'!$C:$C,$A222,'Balancete MLN_WebPosto'!$B:$B,$B$2),
  "0"
)</f>
        <v>0</v>
      </c>
      <c r="U222" s="4" t="str">
        <f>IF(Balancete_Oficial[[#Headers],[Dezembro]]='Balancete MLN_WebPosto'!$G$2,
SUMIFS('Balancete MLN_WebPosto'!$I:$I,'Balancete MLN_WebPosto'!$C:$C,$A222,'Balancete MLN_WebPosto'!$B:$B,$B$2),
  "0"
)</f>
        <v>0</v>
      </c>
    </row>
    <row r="223" spans="1:21" x14ac:dyDescent="0.25">
      <c r="A223" s="2" t="str">
        <f>IF(Dados!H220="","",Dados!H220)</f>
        <v/>
      </c>
      <c r="B223" s="2" t="e">
        <f>VLOOKUP(Balancete_Oficial[[#This Row],[Conta]],'Balancete MLN_WebPosto'!C:E,3,0)</f>
        <v>#N/A</v>
      </c>
      <c r="C223" s="3" t="str">
        <f t="shared" si="12"/>
        <v>Sintética</v>
      </c>
      <c r="D223" s="6" t="str">
        <f t="shared" si="13"/>
        <v>R</v>
      </c>
      <c r="E223" s="6" t="str">
        <f t="shared" si="14"/>
        <v/>
      </c>
      <c r="F223" s="6"/>
      <c r="G223" s="6"/>
      <c r="H223" s="6"/>
      <c r="I223" s="6"/>
      <c r="J223" s="4" t="str">
        <f>IF(Balancete_Oficial[[#Headers],[Janeiro]]='Balancete MLN_WebPosto'!$G$2,
SUMIFS('Balancete MLN_WebPosto'!$J:$J,'Balancete MLN_WebPosto'!$C:$C,$A223,'Balancete MLN_WebPosto'!$B:$B,$B$2),
  "0"
)</f>
        <v>0</v>
      </c>
      <c r="K223" s="4" t="str">
        <f>IF(Balancete_Oficial[[#Headers],[Fevereiro]]='Balancete MLN_WebPosto'!$G$2,
SUMIFS('Balancete MLN_WebPosto'!$J:$J,'Balancete MLN_WebPosto'!$C:$C,$A223,'Balancete MLN_WebPosto'!$B:$B,$B$2),
  "0"
)</f>
        <v>0</v>
      </c>
      <c r="L223" s="4" t="str">
        <f>IF(Balancete_Oficial[[#Headers],[Março]]='Balancete MLN_WebPosto'!$G$2,
SUMIFS('Balancete MLN_WebPosto'!$J:$J,'Balancete MLN_WebPosto'!$C:$C,$A223,'Balancete MLN_WebPosto'!$B:$B,$B$2),
  "0"
)</f>
        <v>0</v>
      </c>
      <c r="M223" s="4" t="str">
        <f>IF(Balancete_Oficial[[#Headers],[Abril]]='Balancete MLN_WebPosto'!$G$2,
SUMIFS('Balancete MLN_WebPosto'!$J:$J,'Balancete MLN_WebPosto'!$C:$C,$A223,'Balancete MLN_WebPosto'!$B:$B,$B$2),
  "0"
)</f>
        <v>0</v>
      </c>
      <c r="N223" s="4" t="str">
        <f>IF(Balancete_Oficial[[#Headers],[Maio]]='Balancete MLN_WebPosto'!$G$2,
SUMIFS('Balancete MLN_WebPosto'!$I:$I,'Balancete MLN_WebPosto'!$C:$C,$A223,'Balancete MLN_WebPosto'!$B:$B,$B$2),
  "0"
)</f>
        <v>0</v>
      </c>
      <c r="O223" s="4" t="str">
        <f>IF(Balancete_Oficial[[#Headers],[Junho]]='Balancete MLN_WebPosto'!$G$2,
SUMIFS('Balancete MLN_WebPosto'!$I:$I,'Balancete MLN_WebPosto'!$C:$C,$A223,'Balancete MLN_WebPosto'!$B:$B,$B$2),
  "0"
)</f>
        <v>0</v>
      </c>
      <c r="P223" s="4" t="str">
        <f>IF(Balancete_Oficial[[#Headers],[Julho]]='Balancete MLN_WebPosto'!$G$2,
SUMIFS('Balancete MLN_WebPosto'!$I:$I,'Balancete MLN_WebPosto'!$C:$C,$A223,'Balancete MLN_WebPosto'!$B:$B,$B$2),
  "0"
)</f>
        <v>0</v>
      </c>
      <c r="Q223" s="4" t="str">
        <f>IF(Balancete_Oficial[[#Headers],[Agosto]]='Balancete MLN_WebPosto'!$G$2,
SUMIFS('Balancete MLN_WebPosto'!$I:$I,'Balancete MLN_WebPosto'!$C:$C,$A223,'Balancete MLN_WebPosto'!$B:$B,$B$2),
  "0"
)</f>
        <v>0</v>
      </c>
      <c r="R223" s="4">
        <f>IF(Balancete_Oficial[[#Headers],[Setembro]]='Balancete MLN_WebPosto'!$G$2,
SUMIFS('Balancete MLN_WebPosto'!$I:$I,'Balancete MLN_WebPosto'!$C:$C,$A223,'Balancete MLN_WebPosto'!$B:$B,$B$2),
  "0"
)</f>
        <v>0</v>
      </c>
      <c r="S223" s="4" t="str">
        <f>IF(Balancete_Oficial[[#Headers],[Outubro]]='Balancete MLN_WebPosto'!$G$2,
SUMIFS('Balancete MLN_WebPosto'!$I:$I,'Balancete MLN_WebPosto'!$C:$C,$A223,'Balancete MLN_WebPosto'!$B:$B,$B$2),
  "0"
)</f>
        <v>0</v>
      </c>
      <c r="T223" s="4" t="str">
        <f>IF(Balancete_Oficial[[#Headers],[Novembro]]='Balancete MLN_WebPosto'!$G$2,
SUMIFS('Balancete MLN_WebPosto'!$I:$I,'Balancete MLN_WebPosto'!$C:$C,$A223,'Balancete MLN_WebPosto'!$B:$B,$B$2),
  "0"
)</f>
        <v>0</v>
      </c>
      <c r="U223" s="4" t="str">
        <f>IF(Balancete_Oficial[[#Headers],[Dezembro]]='Balancete MLN_WebPosto'!$G$2,
SUMIFS('Balancete MLN_WebPosto'!$I:$I,'Balancete MLN_WebPosto'!$C:$C,$A223,'Balancete MLN_WebPosto'!$B:$B,$B$2),
  "0"
)</f>
        <v>0</v>
      </c>
    </row>
    <row r="224" spans="1:21" x14ac:dyDescent="0.25">
      <c r="A224" s="2" t="str">
        <f>IF(Dados!H221="","",Dados!H221)</f>
        <v/>
      </c>
      <c r="B224" s="2" t="e">
        <f>VLOOKUP(Balancete_Oficial[[#This Row],[Conta]],'Balancete MLN_WebPosto'!C:E,3,0)</f>
        <v>#N/A</v>
      </c>
      <c r="C224" s="3" t="str">
        <f t="shared" si="12"/>
        <v>Sintética</v>
      </c>
      <c r="D224" s="6" t="str">
        <f t="shared" si="13"/>
        <v>R</v>
      </c>
      <c r="E224" s="6" t="str">
        <f t="shared" si="14"/>
        <v/>
      </c>
      <c r="F224" s="6"/>
      <c r="G224" s="6"/>
      <c r="H224" s="6"/>
      <c r="I224" s="6"/>
      <c r="J224" s="4" t="str">
        <f>IF(Balancete_Oficial[[#Headers],[Janeiro]]='Balancete MLN_WebPosto'!$G$2,
SUMIFS('Balancete MLN_WebPosto'!$J:$J,'Balancete MLN_WebPosto'!$C:$C,$A224,'Balancete MLN_WebPosto'!$B:$B,$B$2),
  "0"
)</f>
        <v>0</v>
      </c>
      <c r="K224" s="4" t="str">
        <f>IF(Balancete_Oficial[[#Headers],[Fevereiro]]='Balancete MLN_WebPosto'!$G$2,
SUMIFS('Balancete MLN_WebPosto'!$J:$J,'Balancete MLN_WebPosto'!$C:$C,$A224,'Balancete MLN_WebPosto'!$B:$B,$B$2),
  "0"
)</f>
        <v>0</v>
      </c>
      <c r="L224" s="4" t="str">
        <f>IF(Balancete_Oficial[[#Headers],[Março]]='Balancete MLN_WebPosto'!$G$2,
SUMIFS('Balancete MLN_WebPosto'!$J:$J,'Balancete MLN_WebPosto'!$C:$C,$A224,'Balancete MLN_WebPosto'!$B:$B,$B$2),
  "0"
)</f>
        <v>0</v>
      </c>
      <c r="M224" s="4" t="str">
        <f>IF(Balancete_Oficial[[#Headers],[Abril]]='Balancete MLN_WebPosto'!$G$2,
SUMIFS('Balancete MLN_WebPosto'!$J:$J,'Balancete MLN_WebPosto'!$C:$C,$A224,'Balancete MLN_WebPosto'!$B:$B,$B$2),
  "0"
)</f>
        <v>0</v>
      </c>
      <c r="N224" s="4" t="str">
        <f>IF(Balancete_Oficial[[#Headers],[Maio]]='Balancete MLN_WebPosto'!$G$2,
SUMIFS('Balancete MLN_WebPosto'!$I:$I,'Balancete MLN_WebPosto'!$C:$C,$A224,'Balancete MLN_WebPosto'!$B:$B,$B$2),
  "0"
)</f>
        <v>0</v>
      </c>
      <c r="O224" s="4" t="str">
        <f>IF(Balancete_Oficial[[#Headers],[Junho]]='Balancete MLN_WebPosto'!$G$2,
SUMIFS('Balancete MLN_WebPosto'!$I:$I,'Balancete MLN_WebPosto'!$C:$C,$A224,'Balancete MLN_WebPosto'!$B:$B,$B$2),
  "0"
)</f>
        <v>0</v>
      </c>
      <c r="P224" s="4" t="str">
        <f>IF(Balancete_Oficial[[#Headers],[Julho]]='Balancete MLN_WebPosto'!$G$2,
SUMIFS('Balancete MLN_WebPosto'!$I:$I,'Balancete MLN_WebPosto'!$C:$C,$A224,'Balancete MLN_WebPosto'!$B:$B,$B$2),
  "0"
)</f>
        <v>0</v>
      </c>
      <c r="Q224" s="4" t="str">
        <f>IF(Balancete_Oficial[[#Headers],[Agosto]]='Balancete MLN_WebPosto'!$G$2,
SUMIFS('Balancete MLN_WebPosto'!$I:$I,'Balancete MLN_WebPosto'!$C:$C,$A224,'Balancete MLN_WebPosto'!$B:$B,$B$2),
  "0"
)</f>
        <v>0</v>
      </c>
      <c r="R224" s="4">
        <f>IF(Balancete_Oficial[[#Headers],[Setembro]]='Balancete MLN_WebPosto'!$G$2,
SUMIFS('Balancete MLN_WebPosto'!$I:$I,'Balancete MLN_WebPosto'!$C:$C,$A224,'Balancete MLN_WebPosto'!$B:$B,$B$2),
  "0"
)</f>
        <v>0</v>
      </c>
      <c r="S224" s="4" t="str">
        <f>IF(Balancete_Oficial[[#Headers],[Outubro]]='Balancete MLN_WebPosto'!$G$2,
SUMIFS('Balancete MLN_WebPosto'!$I:$I,'Balancete MLN_WebPosto'!$C:$C,$A224,'Balancete MLN_WebPosto'!$B:$B,$B$2),
  "0"
)</f>
        <v>0</v>
      </c>
      <c r="T224" s="4" t="str">
        <f>IF(Balancete_Oficial[[#Headers],[Novembro]]='Balancete MLN_WebPosto'!$G$2,
SUMIFS('Balancete MLN_WebPosto'!$I:$I,'Balancete MLN_WebPosto'!$C:$C,$A224,'Balancete MLN_WebPosto'!$B:$B,$B$2),
  "0"
)</f>
        <v>0</v>
      </c>
      <c r="U224" s="4" t="str">
        <f>IF(Balancete_Oficial[[#Headers],[Dezembro]]='Balancete MLN_WebPosto'!$G$2,
SUMIFS('Balancete MLN_WebPosto'!$I:$I,'Balancete MLN_WebPosto'!$C:$C,$A224,'Balancete MLN_WebPosto'!$B:$B,$B$2),
  "0"
)</f>
        <v>0</v>
      </c>
    </row>
    <row r="225" spans="1:21" x14ac:dyDescent="0.25">
      <c r="A225" s="2" t="str">
        <f>IF(Dados!H222="","",Dados!H222)</f>
        <v/>
      </c>
      <c r="B225" s="2" t="e">
        <f>VLOOKUP(Balancete_Oficial[[#This Row],[Conta]],'Balancete MLN_WebPosto'!C:E,3,0)</f>
        <v>#N/A</v>
      </c>
      <c r="C225" s="3" t="str">
        <f t="shared" si="12"/>
        <v>Sintética</v>
      </c>
      <c r="D225" s="6" t="str">
        <f t="shared" si="13"/>
        <v>R</v>
      </c>
      <c r="E225" s="6" t="str">
        <f t="shared" si="14"/>
        <v/>
      </c>
      <c r="F225" s="6"/>
      <c r="G225" s="6"/>
      <c r="H225" s="6"/>
      <c r="I225" s="6"/>
      <c r="J225" s="4" t="str">
        <f>IF(Balancete_Oficial[[#Headers],[Janeiro]]='Balancete MLN_WebPosto'!$G$2,
SUMIFS('Balancete MLN_WebPosto'!$J:$J,'Balancete MLN_WebPosto'!$C:$C,$A225,'Balancete MLN_WebPosto'!$B:$B,$B$2),
  "0"
)</f>
        <v>0</v>
      </c>
      <c r="K225" s="4" t="str">
        <f>IF(Balancete_Oficial[[#Headers],[Fevereiro]]='Balancete MLN_WebPosto'!$G$2,
SUMIFS('Balancete MLN_WebPosto'!$J:$J,'Balancete MLN_WebPosto'!$C:$C,$A225,'Balancete MLN_WebPosto'!$B:$B,$B$2),
  "0"
)</f>
        <v>0</v>
      </c>
      <c r="L225" s="4" t="str">
        <f>IF(Balancete_Oficial[[#Headers],[Março]]='Balancete MLN_WebPosto'!$G$2,
SUMIFS('Balancete MLN_WebPosto'!$J:$J,'Balancete MLN_WebPosto'!$C:$C,$A225,'Balancete MLN_WebPosto'!$B:$B,$B$2),
  "0"
)</f>
        <v>0</v>
      </c>
      <c r="M225" s="4" t="str">
        <f>IF(Balancete_Oficial[[#Headers],[Abril]]='Balancete MLN_WebPosto'!$G$2,
SUMIFS('Balancete MLN_WebPosto'!$J:$J,'Balancete MLN_WebPosto'!$C:$C,$A225,'Balancete MLN_WebPosto'!$B:$B,$B$2),
  "0"
)</f>
        <v>0</v>
      </c>
      <c r="N225" s="4" t="str">
        <f>IF(Balancete_Oficial[[#Headers],[Maio]]='Balancete MLN_WebPosto'!$G$2,
SUMIFS('Balancete MLN_WebPosto'!$I:$I,'Balancete MLN_WebPosto'!$C:$C,$A225,'Balancete MLN_WebPosto'!$B:$B,$B$2),
  "0"
)</f>
        <v>0</v>
      </c>
      <c r="O225" s="4" t="str">
        <f>IF(Balancete_Oficial[[#Headers],[Junho]]='Balancete MLN_WebPosto'!$G$2,
SUMIFS('Balancete MLN_WebPosto'!$I:$I,'Balancete MLN_WebPosto'!$C:$C,$A225,'Balancete MLN_WebPosto'!$B:$B,$B$2),
  "0"
)</f>
        <v>0</v>
      </c>
      <c r="P225" s="4" t="str">
        <f>IF(Balancete_Oficial[[#Headers],[Julho]]='Balancete MLN_WebPosto'!$G$2,
SUMIFS('Balancete MLN_WebPosto'!$I:$I,'Balancete MLN_WebPosto'!$C:$C,$A225,'Balancete MLN_WebPosto'!$B:$B,$B$2),
  "0"
)</f>
        <v>0</v>
      </c>
      <c r="Q225" s="4" t="str">
        <f>IF(Balancete_Oficial[[#Headers],[Agosto]]='Balancete MLN_WebPosto'!$G$2,
SUMIFS('Balancete MLN_WebPosto'!$I:$I,'Balancete MLN_WebPosto'!$C:$C,$A225,'Balancete MLN_WebPosto'!$B:$B,$B$2),
  "0"
)</f>
        <v>0</v>
      </c>
      <c r="R225" s="4">
        <f>IF(Balancete_Oficial[[#Headers],[Setembro]]='Balancete MLN_WebPosto'!$G$2,
SUMIFS('Balancete MLN_WebPosto'!$I:$I,'Balancete MLN_WebPosto'!$C:$C,$A225,'Balancete MLN_WebPosto'!$B:$B,$B$2),
  "0"
)</f>
        <v>0</v>
      </c>
      <c r="S225" s="4" t="str">
        <f>IF(Balancete_Oficial[[#Headers],[Outubro]]='Balancete MLN_WebPosto'!$G$2,
SUMIFS('Balancete MLN_WebPosto'!$I:$I,'Balancete MLN_WebPosto'!$C:$C,$A225,'Balancete MLN_WebPosto'!$B:$B,$B$2),
  "0"
)</f>
        <v>0</v>
      </c>
      <c r="T225" s="4" t="str">
        <f>IF(Balancete_Oficial[[#Headers],[Novembro]]='Balancete MLN_WebPosto'!$G$2,
SUMIFS('Balancete MLN_WebPosto'!$I:$I,'Balancete MLN_WebPosto'!$C:$C,$A225,'Balancete MLN_WebPosto'!$B:$B,$B$2),
  "0"
)</f>
        <v>0</v>
      </c>
      <c r="U225" s="4" t="str">
        <f>IF(Balancete_Oficial[[#Headers],[Dezembro]]='Balancete MLN_WebPosto'!$G$2,
SUMIFS('Balancete MLN_WebPosto'!$I:$I,'Balancete MLN_WebPosto'!$C:$C,$A225,'Balancete MLN_WebPosto'!$B:$B,$B$2),
  "0"
)</f>
        <v>0</v>
      </c>
    </row>
    <row r="226" spans="1:21" x14ac:dyDescent="0.25">
      <c r="A226" s="2" t="str">
        <f>IF(Dados!H223="","",Dados!H223)</f>
        <v/>
      </c>
      <c r="B226" s="2" t="e">
        <f>VLOOKUP(Balancete_Oficial[[#This Row],[Conta]],'Balancete MLN_WebPosto'!C:E,3,0)</f>
        <v>#N/A</v>
      </c>
      <c r="C226" s="3" t="str">
        <f t="shared" si="12"/>
        <v>Sintética</v>
      </c>
      <c r="D226" s="6" t="str">
        <f t="shared" si="13"/>
        <v>R</v>
      </c>
      <c r="E226" s="6" t="str">
        <f t="shared" si="14"/>
        <v/>
      </c>
      <c r="F226" s="6"/>
      <c r="G226" s="6"/>
      <c r="H226" s="6"/>
      <c r="I226" s="6"/>
      <c r="J226" s="4" t="str">
        <f>IF(Balancete_Oficial[[#Headers],[Janeiro]]='Balancete MLN_WebPosto'!$G$2,
SUMIFS('Balancete MLN_WebPosto'!$J:$J,'Balancete MLN_WebPosto'!$C:$C,$A226,'Balancete MLN_WebPosto'!$B:$B,$B$2),
  "0"
)</f>
        <v>0</v>
      </c>
      <c r="K226" s="4" t="str">
        <f>IF(Balancete_Oficial[[#Headers],[Fevereiro]]='Balancete MLN_WebPosto'!$G$2,
SUMIFS('Balancete MLN_WebPosto'!$J:$J,'Balancete MLN_WebPosto'!$C:$C,$A226,'Balancete MLN_WebPosto'!$B:$B,$B$2),
  "0"
)</f>
        <v>0</v>
      </c>
      <c r="L226" s="4" t="str">
        <f>IF(Balancete_Oficial[[#Headers],[Março]]='Balancete MLN_WebPosto'!$G$2,
SUMIFS('Balancete MLN_WebPosto'!$J:$J,'Balancete MLN_WebPosto'!$C:$C,$A226,'Balancete MLN_WebPosto'!$B:$B,$B$2),
  "0"
)</f>
        <v>0</v>
      </c>
      <c r="M226" s="4" t="str">
        <f>IF(Balancete_Oficial[[#Headers],[Abril]]='Balancete MLN_WebPosto'!$G$2,
SUMIFS('Balancete MLN_WebPosto'!$J:$J,'Balancete MLN_WebPosto'!$C:$C,$A226,'Balancete MLN_WebPosto'!$B:$B,$B$2),
  "0"
)</f>
        <v>0</v>
      </c>
      <c r="N226" s="4" t="str">
        <f>IF(Balancete_Oficial[[#Headers],[Maio]]='Balancete MLN_WebPosto'!$G$2,
SUMIFS('Balancete MLN_WebPosto'!$I:$I,'Balancete MLN_WebPosto'!$C:$C,$A226,'Balancete MLN_WebPosto'!$B:$B,$B$2),
  "0"
)</f>
        <v>0</v>
      </c>
      <c r="O226" s="4" t="str">
        <f>IF(Balancete_Oficial[[#Headers],[Junho]]='Balancete MLN_WebPosto'!$G$2,
SUMIFS('Balancete MLN_WebPosto'!$I:$I,'Balancete MLN_WebPosto'!$C:$C,$A226,'Balancete MLN_WebPosto'!$B:$B,$B$2),
  "0"
)</f>
        <v>0</v>
      </c>
      <c r="P226" s="4" t="str">
        <f>IF(Balancete_Oficial[[#Headers],[Julho]]='Balancete MLN_WebPosto'!$G$2,
SUMIFS('Balancete MLN_WebPosto'!$I:$I,'Balancete MLN_WebPosto'!$C:$C,$A226,'Balancete MLN_WebPosto'!$B:$B,$B$2),
  "0"
)</f>
        <v>0</v>
      </c>
      <c r="Q226" s="4" t="str">
        <f>IF(Balancete_Oficial[[#Headers],[Agosto]]='Balancete MLN_WebPosto'!$G$2,
SUMIFS('Balancete MLN_WebPosto'!$I:$I,'Balancete MLN_WebPosto'!$C:$C,$A226,'Balancete MLN_WebPosto'!$B:$B,$B$2),
  "0"
)</f>
        <v>0</v>
      </c>
      <c r="R226" s="4">
        <f>IF(Balancete_Oficial[[#Headers],[Setembro]]='Balancete MLN_WebPosto'!$G$2,
SUMIFS('Balancete MLN_WebPosto'!$I:$I,'Balancete MLN_WebPosto'!$C:$C,$A226,'Balancete MLN_WebPosto'!$B:$B,$B$2),
  "0"
)</f>
        <v>0</v>
      </c>
      <c r="S226" s="4" t="str">
        <f>IF(Balancete_Oficial[[#Headers],[Outubro]]='Balancete MLN_WebPosto'!$G$2,
SUMIFS('Balancete MLN_WebPosto'!$I:$I,'Balancete MLN_WebPosto'!$C:$C,$A226,'Balancete MLN_WebPosto'!$B:$B,$B$2),
  "0"
)</f>
        <v>0</v>
      </c>
      <c r="T226" s="4" t="str">
        <f>IF(Balancete_Oficial[[#Headers],[Novembro]]='Balancete MLN_WebPosto'!$G$2,
SUMIFS('Balancete MLN_WebPosto'!$I:$I,'Balancete MLN_WebPosto'!$C:$C,$A226,'Balancete MLN_WebPosto'!$B:$B,$B$2),
  "0"
)</f>
        <v>0</v>
      </c>
      <c r="U226" s="4" t="str">
        <f>IF(Balancete_Oficial[[#Headers],[Dezembro]]='Balancete MLN_WebPosto'!$G$2,
SUMIFS('Balancete MLN_WebPosto'!$I:$I,'Balancete MLN_WebPosto'!$C:$C,$A226,'Balancete MLN_WebPosto'!$B:$B,$B$2),
  "0"
)</f>
        <v>0</v>
      </c>
    </row>
    <row r="227" spans="1:21" x14ac:dyDescent="0.25">
      <c r="A227" s="2" t="str">
        <f>IF(Dados!H224="","",Dados!H224)</f>
        <v/>
      </c>
      <c r="B227" s="2" t="e">
        <f>VLOOKUP(Balancete_Oficial[[#This Row],[Conta]],'Balancete MLN_WebPosto'!C:E,3,0)</f>
        <v>#N/A</v>
      </c>
      <c r="C227" s="3" t="str">
        <f t="shared" si="12"/>
        <v>Sintética</v>
      </c>
      <c r="D227" s="6" t="str">
        <f t="shared" si="13"/>
        <v>R</v>
      </c>
      <c r="E227" s="6" t="str">
        <f t="shared" si="14"/>
        <v/>
      </c>
      <c r="F227" s="6"/>
      <c r="G227" s="6"/>
      <c r="H227" s="6"/>
      <c r="I227" s="6"/>
      <c r="J227" s="4" t="str">
        <f>IF(Balancete_Oficial[[#Headers],[Janeiro]]='Balancete MLN_WebPosto'!$G$2,
SUMIFS('Balancete MLN_WebPosto'!$J:$J,'Balancete MLN_WebPosto'!$C:$C,$A227,'Balancete MLN_WebPosto'!$B:$B,$B$2),
  "0"
)</f>
        <v>0</v>
      </c>
      <c r="K227" s="4" t="str">
        <f>IF(Balancete_Oficial[[#Headers],[Fevereiro]]='Balancete MLN_WebPosto'!$G$2,
SUMIFS('Balancete MLN_WebPosto'!$J:$J,'Balancete MLN_WebPosto'!$C:$C,$A227,'Balancete MLN_WebPosto'!$B:$B,$B$2),
  "0"
)</f>
        <v>0</v>
      </c>
      <c r="L227" s="4" t="str">
        <f>IF(Balancete_Oficial[[#Headers],[Março]]='Balancete MLN_WebPosto'!$G$2,
SUMIFS('Balancete MLN_WebPosto'!$J:$J,'Balancete MLN_WebPosto'!$C:$C,$A227,'Balancete MLN_WebPosto'!$B:$B,$B$2),
  "0"
)</f>
        <v>0</v>
      </c>
      <c r="M227" s="4" t="str">
        <f>IF(Balancete_Oficial[[#Headers],[Abril]]='Balancete MLN_WebPosto'!$G$2,
SUMIFS('Balancete MLN_WebPosto'!$J:$J,'Balancete MLN_WebPosto'!$C:$C,$A227,'Balancete MLN_WebPosto'!$B:$B,$B$2),
  "0"
)</f>
        <v>0</v>
      </c>
      <c r="N227" s="4" t="str">
        <f>IF(Balancete_Oficial[[#Headers],[Maio]]='Balancete MLN_WebPosto'!$G$2,
SUMIFS('Balancete MLN_WebPosto'!$I:$I,'Balancete MLN_WebPosto'!$C:$C,$A227,'Balancete MLN_WebPosto'!$B:$B,$B$2),
  "0"
)</f>
        <v>0</v>
      </c>
      <c r="O227" s="4" t="str">
        <f>IF(Balancete_Oficial[[#Headers],[Junho]]='Balancete MLN_WebPosto'!$G$2,
SUMIFS('Balancete MLN_WebPosto'!$I:$I,'Balancete MLN_WebPosto'!$C:$C,$A227,'Balancete MLN_WebPosto'!$B:$B,$B$2),
  "0"
)</f>
        <v>0</v>
      </c>
      <c r="P227" s="4" t="str">
        <f>IF(Balancete_Oficial[[#Headers],[Julho]]='Balancete MLN_WebPosto'!$G$2,
SUMIFS('Balancete MLN_WebPosto'!$I:$I,'Balancete MLN_WebPosto'!$C:$C,$A227,'Balancete MLN_WebPosto'!$B:$B,$B$2),
  "0"
)</f>
        <v>0</v>
      </c>
      <c r="Q227" s="4" t="str">
        <f>IF(Balancete_Oficial[[#Headers],[Agosto]]='Balancete MLN_WebPosto'!$G$2,
SUMIFS('Balancete MLN_WebPosto'!$I:$I,'Balancete MLN_WebPosto'!$C:$C,$A227,'Balancete MLN_WebPosto'!$B:$B,$B$2),
  "0"
)</f>
        <v>0</v>
      </c>
      <c r="R227" s="4">
        <f>IF(Balancete_Oficial[[#Headers],[Setembro]]='Balancete MLN_WebPosto'!$G$2,
SUMIFS('Balancete MLN_WebPosto'!$I:$I,'Balancete MLN_WebPosto'!$C:$C,$A227,'Balancete MLN_WebPosto'!$B:$B,$B$2),
  "0"
)</f>
        <v>0</v>
      </c>
      <c r="S227" s="4" t="str">
        <f>IF(Balancete_Oficial[[#Headers],[Outubro]]='Balancete MLN_WebPosto'!$G$2,
SUMIFS('Balancete MLN_WebPosto'!$I:$I,'Balancete MLN_WebPosto'!$C:$C,$A227,'Balancete MLN_WebPosto'!$B:$B,$B$2),
  "0"
)</f>
        <v>0</v>
      </c>
      <c r="T227" s="4" t="str">
        <f>IF(Balancete_Oficial[[#Headers],[Novembro]]='Balancete MLN_WebPosto'!$G$2,
SUMIFS('Balancete MLN_WebPosto'!$I:$I,'Balancete MLN_WebPosto'!$C:$C,$A227,'Balancete MLN_WebPosto'!$B:$B,$B$2),
  "0"
)</f>
        <v>0</v>
      </c>
      <c r="U227" s="4" t="str">
        <f>IF(Balancete_Oficial[[#Headers],[Dezembro]]='Balancete MLN_WebPosto'!$G$2,
SUMIFS('Balancete MLN_WebPosto'!$I:$I,'Balancete MLN_WebPosto'!$C:$C,$A227,'Balancete MLN_WebPosto'!$B:$B,$B$2),
  "0"
)</f>
        <v>0</v>
      </c>
    </row>
    <row r="228" spans="1:21" x14ac:dyDescent="0.25">
      <c r="A228" s="2" t="str">
        <f>IF(Dados!H225="","",Dados!H225)</f>
        <v/>
      </c>
      <c r="B228" s="2" t="e">
        <f>VLOOKUP(Balancete_Oficial[[#This Row],[Conta]],'Balancete MLN_WebPosto'!C:E,3,0)</f>
        <v>#N/A</v>
      </c>
      <c r="C228" s="3" t="str">
        <f t="shared" si="12"/>
        <v>Sintética</v>
      </c>
      <c r="D228" s="6" t="str">
        <f t="shared" si="13"/>
        <v>R</v>
      </c>
      <c r="E228" s="6" t="str">
        <f t="shared" si="14"/>
        <v/>
      </c>
      <c r="F228" s="6"/>
      <c r="G228" s="6"/>
      <c r="H228" s="6"/>
      <c r="I228" s="6"/>
      <c r="J228" s="4" t="str">
        <f>IF(Balancete_Oficial[[#Headers],[Janeiro]]='Balancete MLN_WebPosto'!$G$2,
SUMIFS('Balancete MLN_WebPosto'!$J:$J,'Balancete MLN_WebPosto'!$C:$C,$A228,'Balancete MLN_WebPosto'!$B:$B,$B$2),
  "0"
)</f>
        <v>0</v>
      </c>
      <c r="K228" s="4" t="str">
        <f>IF(Balancete_Oficial[[#Headers],[Fevereiro]]='Balancete MLN_WebPosto'!$G$2,
SUMIFS('Balancete MLN_WebPosto'!$J:$J,'Balancete MLN_WebPosto'!$C:$C,$A228,'Balancete MLN_WebPosto'!$B:$B,$B$2),
  "0"
)</f>
        <v>0</v>
      </c>
      <c r="L228" s="4" t="str">
        <f>IF(Balancete_Oficial[[#Headers],[Março]]='Balancete MLN_WebPosto'!$G$2,
SUMIFS('Balancete MLN_WebPosto'!$J:$J,'Balancete MLN_WebPosto'!$C:$C,$A228,'Balancete MLN_WebPosto'!$B:$B,$B$2),
  "0"
)</f>
        <v>0</v>
      </c>
      <c r="M228" s="4" t="str">
        <f>IF(Balancete_Oficial[[#Headers],[Abril]]='Balancete MLN_WebPosto'!$G$2,
SUMIFS('Balancete MLN_WebPosto'!$J:$J,'Balancete MLN_WebPosto'!$C:$C,$A228,'Balancete MLN_WebPosto'!$B:$B,$B$2),
  "0"
)</f>
        <v>0</v>
      </c>
      <c r="N228" s="4" t="str">
        <f>IF(Balancete_Oficial[[#Headers],[Maio]]='Balancete MLN_WebPosto'!$G$2,
SUMIFS('Balancete MLN_WebPosto'!$I:$I,'Balancete MLN_WebPosto'!$C:$C,$A228,'Balancete MLN_WebPosto'!$B:$B,$B$2),
  "0"
)</f>
        <v>0</v>
      </c>
      <c r="O228" s="4" t="str">
        <f>IF(Balancete_Oficial[[#Headers],[Junho]]='Balancete MLN_WebPosto'!$G$2,
SUMIFS('Balancete MLN_WebPosto'!$I:$I,'Balancete MLN_WebPosto'!$C:$C,$A228,'Balancete MLN_WebPosto'!$B:$B,$B$2),
  "0"
)</f>
        <v>0</v>
      </c>
      <c r="P228" s="4" t="str">
        <f>IF(Balancete_Oficial[[#Headers],[Julho]]='Balancete MLN_WebPosto'!$G$2,
SUMIFS('Balancete MLN_WebPosto'!$I:$I,'Balancete MLN_WebPosto'!$C:$C,$A228,'Balancete MLN_WebPosto'!$B:$B,$B$2),
  "0"
)</f>
        <v>0</v>
      </c>
      <c r="Q228" s="4" t="str">
        <f>IF(Balancete_Oficial[[#Headers],[Agosto]]='Balancete MLN_WebPosto'!$G$2,
SUMIFS('Balancete MLN_WebPosto'!$I:$I,'Balancete MLN_WebPosto'!$C:$C,$A228,'Balancete MLN_WebPosto'!$B:$B,$B$2),
  "0"
)</f>
        <v>0</v>
      </c>
      <c r="R228" s="4">
        <f>IF(Balancete_Oficial[[#Headers],[Setembro]]='Balancete MLN_WebPosto'!$G$2,
SUMIFS('Balancete MLN_WebPosto'!$I:$I,'Balancete MLN_WebPosto'!$C:$C,$A228,'Balancete MLN_WebPosto'!$B:$B,$B$2),
  "0"
)</f>
        <v>0</v>
      </c>
      <c r="S228" s="4" t="str">
        <f>IF(Balancete_Oficial[[#Headers],[Outubro]]='Balancete MLN_WebPosto'!$G$2,
SUMIFS('Balancete MLN_WebPosto'!$I:$I,'Balancete MLN_WebPosto'!$C:$C,$A228,'Balancete MLN_WebPosto'!$B:$B,$B$2),
  "0"
)</f>
        <v>0</v>
      </c>
      <c r="T228" s="4" t="str">
        <f>IF(Balancete_Oficial[[#Headers],[Novembro]]='Balancete MLN_WebPosto'!$G$2,
SUMIFS('Balancete MLN_WebPosto'!$I:$I,'Balancete MLN_WebPosto'!$C:$C,$A228,'Balancete MLN_WebPosto'!$B:$B,$B$2),
  "0"
)</f>
        <v>0</v>
      </c>
      <c r="U228" s="4" t="str">
        <f>IF(Balancete_Oficial[[#Headers],[Dezembro]]='Balancete MLN_WebPosto'!$G$2,
SUMIFS('Balancete MLN_WebPosto'!$I:$I,'Balancete MLN_WebPosto'!$C:$C,$A228,'Balancete MLN_WebPosto'!$B:$B,$B$2),
  "0"
)</f>
        <v>0</v>
      </c>
    </row>
    <row r="229" spans="1:21" x14ac:dyDescent="0.25">
      <c r="A229" s="2" t="str">
        <f>IF(Dados!H226="","",Dados!H226)</f>
        <v/>
      </c>
      <c r="B229" s="2" t="e">
        <f>VLOOKUP(Balancete_Oficial[[#This Row],[Conta]],'Balancete MLN_WebPosto'!C:E,3,0)</f>
        <v>#N/A</v>
      </c>
      <c r="C229" s="3" t="str">
        <f t="shared" si="12"/>
        <v>Sintética</v>
      </c>
      <c r="D229" s="6" t="str">
        <f t="shared" si="13"/>
        <v>R</v>
      </c>
      <c r="E229" s="6" t="str">
        <f t="shared" si="14"/>
        <v/>
      </c>
      <c r="F229" s="6"/>
      <c r="G229" s="6"/>
      <c r="H229" s="6"/>
      <c r="I229" s="6"/>
      <c r="J229" s="4" t="str">
        <f>IF(Balancete_Oficial[[#Headers],[Janeiro]]='Balancete MLN_WebPosto'!$G$2,
SUMIFS('Balancete MLN_WebPosto'!$J:$J,'Balancete MLN_WebPosto'!$C:$C,$A229,'Balancete MLN_WebPosto'!$B:$B,$B$2),
  "0"
)</f>
        <v>0</v>
      </c>
      <c r="K229" s="4" t="str">
        <f>IF(Balancete_Oficial[[#Headers],[Fevereiro]]='Balancete MLN_WebPosto'!$G$2,
SUMIFS('Balancete MLN_WebPosto'!$J:$J,'Balancete MLN_WebPosto'!$C:$C,$A229,'Balancete MLN_WebPosto'!$B:$B,$B$2),
  "0"
)</f>
        <v>0</v>
      </c>
      <c r="L229" s="4" t="str">
        <f>IF(Balancete_Oficial[[#Headers],[Março]]='Balancete MLN_WebPosto'!$G$2,
SUMIFS('Balancete MLN_WebPosto'!$J:$J,'Balancete MLN_WebPosto'!$C:$C,$A229,'Balancete MLN_WebPosto'!$B:$B,$B$2),
  "0"
)</f>
        <v>0</v>
      </c>
      <c r="M229" s="4" t="str">
        <f>IF(Balancete_Oficial[[#Headers],[Abril]]='Balancete MLN_WebPosto'!$G$2,
SUMIFS('Balancete MLN_WebPosto'!$J:$J,'Balancete MLN_WebPosto'!$C:$C,$A229,'Balancete MLN_WebPosto'!$B:$B,$B$2),
  "0"
)</f>
        <v>0</v>
      </c>
      <c r="N229" s="4" t="str">
        <f>IF(Balancete_Oficial[[#Headers],[Maio]]='Balancete MLN_WebPosto'!$G$2,
SUMIFS('Balancete MLN_WebPosto'!$I:$I,'Balancete MLN_WebPosto'!$C:$C,$A229,'Balancete MLN_WebPosto'!$B:$B,$B$2),
  "0"
)</f>
        <v>0</v>
      </c>
      <c r="O229" s="4" t="str">
        <f>IF(Balancete_Oficial[[#Headers],[Junho]]='Balancete MLN_WebPosto'!$G$2,
SUMIFS('Balancete MLN_WebPosto'!$I:$I,'Balancete MLN_WebPosto'!$C:$C,$A229,'Balancete MLN_WebPosto'!$B:$B,$B$2),
  "0"
)</f>
        <v>0</v>
      </c>
      <c r="P229" s="4" t="str">
        <f>IF(Balancete_Oficial[[#Headers],[Julho]]='Balancete MLN_WebPosto'!$G$2,
SUMIFS('Balancete MLN_WebPosto'!$I:$I,'Balancete MLN_WebPosto'!$C:$C,$A229,'Balancete MLN_WebPosto'!$B:$B,$B$2),
  "0"
)</f>
        <v>0</v>
      </c>
      <c r="Q229" s="4" t="str">
        <f>IF(Balancete_Oficial[[#Headers],[Agosto]]='Balancete MLN_WebPosto'!$G$2,
SUMIFS('Balancete MLN_WebPosto'!$I:$I,'Balancete MLN_WebPosto'!$C:$C,$A229,'Balancete MLN_WebPosto'!$B:$B,$B$2),
  "0"
)</f>
        <v>0</v>
      </c>
      <c r="R229" s="4">
        <f>IF(Balancete_Oficial[[#Headers],[Setembro]]='Balancete MLN_WebPosto'!$G$2,
SUMIFS('Balancete MLN_WebPosto'!$I:$I,'Balancete MLN_WebPosto'!$C:$C,$A229,'Balancete MLN_WebPosto'!$B:$B,$B$2),
  "0"
)</f>
        <v>0</v>
      </c>
      <c r="S229" s="4" t="str">
        <f>IF(Balancete_Oficial[[#Headers],[Outubro]]='Balancete MLN_WebPosto'!$G$2,
SUMIFS('Balancete MLN_WebPosto'!$I:$I,'Balancete MLN_WebPosto'!$C:$C,$A229,'Balancete MLN_WebPosto'!$B:$B,$B$2),
  "0"
)</f>
        <v>0</v>
      </c>
      <c r="T229" s="4" t="str">
        <f>IF(Balancete_Oficial[[#Headers],[Novembro]]='Balancete MLN_WebPosto'!$G$2,
SUMIFS('Balancete MLN_WebPosto'!$I:$I,'Balancete MLN_WebPosto'!$C:$C,$A229,'Balancete MLN_WebPosto'!$B:$B,$B$2),
  "0"
)</f>
        <v>0</v>
      </c>
      <c r="U229" s="4" t="str">
        <f>IF(Balancete_Oficial[[#Headers],[Dezembro]]='Balancete MLN_WebPosto'!$G$2,
SUMIFS('Balancete MLN_WebPosto'!$I:$I,'Balancete MLN_WebPosto'!$C:$C,$A229,'Balancete MLN_WebPosto'!$B:$B,$B$2),
  "0"
)</f>
        <v>0</v>
      </c>
    </row>
    <row r="230" spans="1:21" x14ac:dyDescent="0.25">
      <c r="A230" s="2" t="str">
        <f>IF(Dados!H227="","",Dados!H227)</f>
        <v/>
      </c>
      <c r="B230" s="2" t="e">
        <f>VLOOKUP(Balancete_Oficial[[#This Row],[Conta]],'Balancete MLN_WebPosto'!C:E,3,0)</f>
        <v>#N/A</v>
      </c>
      <c r="C230" s="3" t="str">
        <f t="shared" si="12"/>
        <v>Sintética</v>
      </c>
      <c r="D230" s="6" t="str">
        <f t="shared" si="13"/>
        <v>R</v>
      </c>
      <c r="E230" s="6" t="str">
        <f t="shared" si="14"/>
        <v/>
      </c>
      <c r="F230" s="6"/>
      <c r="G230" s="6"/>
      <c r="H230" s="6"/>
      <c r="I230" s="6"/>
      <c r="J230" s="4" t="str">
        <f>IF(Balancete_Oficial[[#Headers],[Janeiro]]='Balancete MLN_WebPosto'!$G$2,
SUMIFS('Balancete MLN_WebPosto'!$J:$J,'Balancete MLN_WebPosto'!$C:$C,$A230,'Balancete MLN_WebPosto'!$B:$B,$B$2),
  "0"
)</f>
        <v>0</v>
      </c>
      <c r="K230" s="4" t="str">
        <f>IF(Balancete_Oficial[[#Headers],[Fevereiro]]='Balancete MLN_WebPosto'!$G$2,
SUMIFS('Balancete MLN_WebPosto'!$J:$J,'Balancete MLN_WebPosto'!$C:$C,$A230,'Balancete MLN_WebPosto'!$B:$B,$B$2),
  "0"
)</f>
        <v>0</v>
      </c>
      <c r="L230" s="4" t="str">
        <f>IF(Balancete_Oficial[[#Headers],[Março]]='Balancete MLN_WebPosto'!$G$2,
SUMIFS('Balancete MLN_WebPosto'!$J:$J,'Balancete MLN_WebPosto'!$C:$C,$A230,'Balancete MLN_WebPosto'!$B:$B,$B$2),
  "0"
)</f>
        <v>0</v>
      </c>
      <c r="M230" s="4" t="str">
        <f>IF(Balancete_Oficial[[#Headers],[Abril]]='Balancete MLN_WebPosto'!$G$2,
SUMIFS('Balancete MLN_WebPosto'!$J:$J,'Balancete MLN_WebPosto'!$C:$C,$A230,'Balancete MLN_WebPosto'!$B:$B,$B$2),
  "0"
)</f>
        <v>0</v>
      </c>
      <c r="N230" s="4" t="str">
        <f>IF(Balancete_Oficial[[#Headers],[Maio]]='Balancete MLN_WebPosto'!$G$2,
SUMIFS('Balancete MLN_WebPosto'!$I:$I,'Balancete MLN_WebPosto'!$C:$C,$A230,'Balancete MLN_WebPosto'!$B:$B,$B$2),
  "0"
)</f>
        <v>0</v>
      </c>
      <c r="O230" s="4" t="str">
        <f>IF(Balancete_Oficial[[#Headers],[Junho]]='Balancete MLN_WebPosto'!$G$2,
SUMIFS('Balancete MLN_WebPosto'!$I:$I,'Balancete MLN_WebPosto'!$C:$C,$A230,'Balancete MLN_WebPosto'!$B:$B,$B$2),
  "0"
)</f>
        <v>0</v>
      </c>
      <c r="P230" s="4" t="str">
        <f>IF(Balancete_Oficial[[#Headers],[Julho]]='Balancete MLN_WebPosto'!$G$2,
SUMIFS('Balancete MLN_WebPosto'!$I:$I,'Balancete MLN_WebPosto'!$C:$C,$A230,'Balancete MLN_WebPosto'!$B:$B,$B$2),
  "0"
)</f>
        <v>0</v>
      </c>
      <c r="Q230" s="4" t="str">
        <f>IF(Balancete_Oficial[[#Headers],[Agosto]]='Balancete MLN_WebPosto'!$G$2,
SUMIFS('Balancete MLN_WebPosto'!$I:$I,'Balancete MLN_WebPosto'!$C:$C,$A230,'Balancete MLN_WebPosto'!$B:$B,$B$2),
  "0"
)</f>
        <v>0</v>
      </c>
      <c r="R230" s="4">
        <f>IF(Balancete_Oficial[[#Headers],[Setembro]]='Balancete MLN_WebPosto'!$G$2,
SUMIFS('Balancete MLN_WebPosto'!$I:$I,'Balancete MLN_WebPosto'!$C:$C,$A230,'Balancete MLN_WebPosto'!$B:$B,$B$2),
  "0"
)</f>
        <v>0</v>
      </c>
      <c r="S230" s="4" t="str">
        <f>IF(Balancete_Oficial[[#Headers],[Outubro]]='Balancete MLN_WebPosto'!$G$2,
SUMIFS('Balancete MLN_WebPosto'!$I:$I,'Balancete MLN_WebPosto'!$C:$C,$A230,'Balancete MLN_WebPosto'!$B:$B,$B$2),
  "0"
)</f>
        <v>0</v>
      </c>
      <c r="T230" s="4" t="str">
        <f>IF(Balancete_Oficial[[#Headers],[Novembro]]='Balancete MLN_WebPosto'!$G$2,
SUMIFS('Balancete MLN_WebPosto'!$I:$I,'Balancete MLN_WebPosto'!$C:$C,$A230,'Balancete MLN_WebPosto'!$B:$B,$B$2),
  "0"
)</f>
        <v>0</v>
      </c>
      <c r="U230" s="4" t="str">
        <f>IF(Balancete_Oficial[[#Headers],[Dezembro]]='Balancete MLN_WebPosto'!$G$2,
SUMIFS('Balancete MLN_WebPosto'!$I:$I,'Balancete MLN_WebPosto'!$C:$C,$A230,'Balancete MLN_WebPosto'!$B:$B,$B$2),
  "0"
)</f>
        <v>0</v>
      </c>
    </row>
    <row r="231" spans="1:21" x14ac:dyDescent="0.25">
      <c r="A231" s="2" t="str">
        <f>IF(Dados!H228="","",Dados!H228)</f>
        <v/>
      </c>
      <c r="B231" s="2" t="e">
        <f>VLOOKUP(Balancete_Oficial[[#This Row],[Conta]],'Balancete MLN_WebPosto'!C:E,3,0)</f>
        <v>#N/A</v>
      </c>
      <c r="C231" s="3" t="str">
        <f t="shared" si="12"/>
        <v>Sintética</v>
      </c>
      <c r="D231" s="6" t="str">
        <f t="shared" si="13"/>
        <v>R</v>
      </c>
      <c r="E231" s="6" t="str">
        <f t="shared" si="14"/>
        <v/>
      </c>
      <c r="F231" s="6"/>
      <c r="G231" s="6"/>
      <c r="H231" s="6"/>
      <c r="I231" s="6"/>
      <c r="J231" s="4" t="str">
        <f>IF(Balancete_Oficial[[#Headers],[Janeiro]]='Balancete MLN_WebPosto'!$G$2,
SUMIFS('Balancete MLN_WebPosto'!$J:$J,'Balancete MLN_WebPosto'!$C:$C,$A231,'Balancete MLN_WebPosto'!$B:$B,$B$2),
  "0"
)</f>
        <v>0</v>
      </c>
      <c r="K231" s="4" t="str">
        <f>IF(Balancete_Oficial[[#Headers],[Fevereiro]]='Balancete MLN_WebPosto'!$G$2,
SUMIFS('Balancete MLN_WebPosto'!$J:$J,'Balancete MLN_WebPosto'!$C:$C,$A231,'Balancete MLN_WebPosto'!$B:$B,$B$2),
  "0"
)</f>
        <v>0</v>
      </c>
      <c r="L231" s="4" t="str">
        <f>IF(Balancete_Oficial[[#Headers],[Março]]='Balancete MLN_WebPosto'!$G$2,
SUMIFS('Balancete MLN_WebPosto'!$J:$J,'Balancete MLN_WebPosto'!$C:$C,$A231,'Balancete MLN_WebPosto'!$B:$B,$B$2),
  "0"
)</f>
        <v>0</v>
      </c>
      <c r="M231" s="4" t="str">
        <f>IF(Balancete_Oficial[[#Headers],[Abril]]='Balancete MLN_WebPosto'!$G$2,
SUMIFS('Balancete MLN_WebPosto'!$J:$J,'Balancete MLN_WebPosto'!$C:$C,$A231,'Balancete MLN_WebPosto'!$B:$B,$B$2),
  "0"
)</f>
        <v>0</v>
      </c>
      <c r="N231" s="4" t="str">
        <f>IF(Balancete_Oficial[[#Headers],[Maio]]='Balancete MLN_WebPosto'!$G$2,
SUMIFS('Balancete MLN_WebPosto'!$I:$I,'Balancete MLN_WebPosto'!$C:$C,$A231,'Balancete MLN_WebPosto'!$B:$B,$B$2),
  "0"
)</f>
        <v>0</v>
      </c>
      <c r="O231" s="4" t="str">
        <f>IF(Balancete_Oficial[[#Headers],[Junho]]='Balancete MLN_WebPosto'!$G$2,
SUMIFS('Balancete MLN_WebPosto'!$I:$I,'Balancete MLN_WebPosto'!$C:$C,$A231,'Balancete MLN_WebPosto'!$B:$B,$B$2),
  "0"
)</f>
        <v>0</v>
      </c>
      <c r="P231" s="4" t="str">
        <f>IF(Balancete_Oficial[[#Headers],[Julho]]='Balancete MLN_WebPosto'!$G$2,
SUMIFS('Balancete MLN_WebPosto'!$I:$I,'Balancete MLN_WebPosto'!$C:$C,$A231,'Balancete MLN_WebPosto'!$B:$B,$B$2),
  "0"
)</f>
        <v>0</v>
      </c>
      <c r="Q231" s="4" t="str">
        <f>IF(Balancete_Oficial[[#Headers],[Agosto]]='Balancete MLN_WebPosto'!$G$2,
SUMIFS('Balancete MLN_WebPosto'!$I:$I,'Balancete MLN_WebPosto'!$C:$C,$A231,'Balancete MLN_WebPosto'!$B:$B,$B$2),
  "0"
)</f>
        <v>0</v>
      </c>
      <c r="R231" s="4">
        <f>IF(Balancete_Oficial[[#Headers],[Setembro]]='Balancete MLN_WebPosto'!$G$2,
SUMIFS('Balancete MLN_WebPosto'!$I:$I,'Balancete MLN_WebPosto'!$C:$C,$A231,'Balancete MLN_WebPosto'!$B:$B,$B$2),
  "0"
)</f>
        <v>0</v>
      </c>
      <c r="S231" s="4" t="str">
        <f>IF(Balancete_Oficial[[#Headers],[Outubro]]='Balancete MLN_WebPosto'!$G$2,
SUMIFS('Balancete MLN_WebPosto'!$I:$I,'Balancete MLN_WebPosto'!$C:$C,$A231,'Balancete MLN_WebPosto'!$B:$B,$B$2),
  "0"
)</f>
        <v>0</v>
      </c>
      <c r="T231" s="4" t="str">
        <f>IF(Balancete_Oficial[[#Headers],[Novembro]]='Balancete MLN_WebPosto'!$G$2,
SUMIFS('Balancete MLN_WebPosto'!$I:$I,'Balancete MLN_WebPosto'!$C:$C,$A231,'Balancete MLN_WebPosto'!$B:$B,$B$2),
  "0"
)</f>
        <v>0</v>
      </c>
      <c r="U231" s="4" t="str">
        <f>IF(Balancete_Oficial[[#Headers],[Dezembro]]='Balancete MLN_WebPosto'!$G$2,
SUMIFS('Balancete MLN_WebPosto'!$I:$I,'Balancete MLN_WebPosto'!$C:$C,$A231,'Balancete MLN_WebPosto'!$B:$B,$B$2),
  "0"
)</f>
        <v>0</v>
      </c>
    </row>
    <row r="232" spans="1:21" x14ac:dyDescent="0.25">
      <c r="A232" s="2" t="str">
        <f>IF(Dados!H229="","",Dados!H229)</f>
        <v/>
      </c>
      <c r="B232" s="2" t="e">
        <f>VLOOKUP(Balancete_Oficial[[#This Row],[Conta]],'Balancete MLN_WebPosto'!C:E,3,0)</f>
        <v>#N/A</v>
      </c>
      <c r="C232" s="3" t="str">
        <f t="shared" si="12"/>
        <v>Sintética</v>
      </c>
      <c r="D232" s="6" t="str">
        <f t="shared" si="13"/>
        <v>R</v>
      </c>
      <c r="E232" s="6" t="str">
        <f t="shared" si="14"/>
        <v/>
      </c>
      <c r="F232" s="6"/>
      <c r="G232" s="6"/>
      <c r="H232" s="6"/>
      <c r="I232" s="6"/>
      <c r="J232" s="4" t="str">
        <f>IF(Balancete_Oficial[[#Headers],[Janeiro]]='Balancete MLN_WebPosto'!$G$2,
SUMIFS('Balancete MLN_WebPosto'!$J:$J,'Balancete MLN_WebPosto'!$C:$C,$A232,'Balancete MLN_WebPosto'!$B:$B,$B$2),
  "0"
)</f>
        <v>0</v>
      </c>
      <c r="K232" s="4" t="str">
        <f>IF(Balancete_Oficial[[#Headers],[Fevereiro]]='Balancete MLN_WebPosto'!$G$2,
SUMIFS('Balancete MLN_WebPosto'!$J:$J,'Balancete MLN_WebPosto'!$C:$C,$A232,'Balancete MLN_WebPosto'!$B:$B,$B$2),
  "0"
)</f>
        <v>0</v>
      </c>
      <c r="L232" s="4" t="str">
        <f>IF(Balancete_Oficial[[#Headers],[Março]]='Balancete MLN_WebPosto'!$G$2,
SUMIFS('Balancete MLN_WebPosto'!$J:$J,'Balancete MLN_WebPosto'!$C:$C,$A232,'Balancete MLN_WebPosto'!$B:$B,$B$2),
  "0"
)</f>
        <v>0</v>
      </c>
      <c r="M232" s="4" t="str">
        <f>IF(Balancete_Oficial[[#Headers],[Abril]]='Balancete MLN_WebPosto'!$G$2,
SUMIFS('Balancete MLN_WebPosto'!$J:$J,'Balancete MLN_WebPosto'!$C:$C,$A232,'Balancete MLN_WebPosto'!$B:$B,$B$2),
  "0"
)</f>
        <v>0</v>
      </c>
      <c r="N232" s="4" t="str">
        <f>IF(Balancete_Oficial[[#Headers],[Maio]]='Balancete MLN_WebPosto'!$G$2,
SUMIFS('Balancete MLN_WebPosto'!$I:$I,'Balancete MLN_WebPosto'!$C:$C,$A232,'Balancete MLN_WebPosto'!$B:$B,$B$2),
  "0"
)</f>
        <v>0</v>
      </c>
      <c r="O232" s="4" t="str">
        <f>IF(Balancete_Oficial[[#Headers],[Junho]]='Balancete MLN_WebPosto'!$G$2,
SUMIFS('Balancete MLN_WebPosto'!$I:$I,'Balancete MLN_WebPosto'!$C:$C,$A232,'Balancete MLN_WebPosto'!$B:$B,$B$2),
  "0"
)</f>
        <v>0</v>
      </c>
      <c r="P232" s="4" t="str">
        <f>IF(Balancete_Oficial[[#Headers],[Julho]]='Balancete MLN_WebPosto'!$G$2,
SUMIFS('Balancete MLN_WebPosto'!$I:$I,'Balancete MLN_WebPosto'!$C:$C,$A232,'Balancete MLN_WebPosto'!$B:$B,$B$2),
  "0"
)</f>
        <v>0</v>
      </c>
      <c r="Q232" s="4" t="str">
        <f>IF(Balancete_Oficial[[#Headers],[Agosto]]='Balancete MLN_WebPosto'!$G$2,
SUMIFS('Balancete MLN_WebPosto'!$I:$I,'Balancete MLN_WebPosto'!$C:$C,$A232,'Balancete MLN_WebPosto'!$B:$B,$B$2),
  "0"
)</f>
        <v>0</v>
      </c>
      <c r="R232" s="4">
        <f>IF(Balancete_Oficial[[#Headers],[Setembro]]='Balancete MLN_WebPosto'!$G$2,
SUMIFS('Balancete MLN_WebPosto'!$I:$I,'Balancete MLN_WebPosto'!$C:$C,$A232,'Balancete MLN_WebPosto'!$B:$B,$B$2),
  "0"
)</f>
        <v>0</v>
      </c>
      <c r="S232" s="4" t="str">
        <f>IF(Balancete_Oficial[[#Headers],[Outubro]]='Balancete MLN_WebPosto'!$G$2,
SUMIFS('Balancete MLN_WebPosto'!$I:$I,'Balancete MLN_WebPosto'!$C:$C,$A232,'Balancete MLN_WebPosto'!$B:$B,$B$2),
  "0"
)</f>
        <v>0</v>
      </c>
      <c r="T232" s="4" t="str">
        <f>IF(Balancete_Oficial[[#Headers],[Novembro]]='Balancete MLN_WebPosto'!$G$2,
SUMIFS('Balancete MLN_WebPosto'!$I:$I,'Balancete MLN_WebPosto'!$C:$C,$A232,'Balancete MLN_WebPosto'!$B:$B,$B$2),
  "0"
)</f>
        <v>0</v>
      </c>
      <c r="U232" s="4" t="str">
        <f>IF(Balancete_Oficial[[#Headers],[Dezembro]]='Balancete MLN_WebPosto'!$G$2,
SUMIFS('Balancete MLN_WebPosto'!$I:$I,'Balancete MLN_WebPosto'!$C:$C,$A232,'Balancete MLN_WebPosto'!$B:$B,$B$2),
  "0"
)</f>
        <v>0</v>
      </c>
    </row>
    <row r="233" spans="1:21" x14ac:dyDescent="0.25">
      <c r="A233" s="2" t="str">
        <f>IF(Dados!H230="","",Dados!H230)</f>
        <v/>
      </c>
      <c r="B233" s="2" t="e">
        <f>VLOOKUP(Balancete_Oficial[[#This Row],[Conta]],'Balancete MLN_WebPosto'!C:E,3,0)</f>
        <v>#N/A</v>
      </c>
      <c r="C233" s="3" t="str">
        <f t="shared" si="12"/>
        <v>Sintética</v>
      </c>
      <c r="D233" s="6" t="str">
        <f t="shared" si="13"/>
        <v>R</v>
      </c>
      <c r="E233" s="6" t="str">
        <f t="shared" si="14"/>
        <v/>
      </c>
      <c r="F233" s="6"/>
      <c r="G233" s="6"/>
      <c r="H233" s="6"/>
      <c r="I233" s="6"/>
      <c r="J233" s="4" t="str">
        <f>IF(Balancete_Oficial[[#Headers],[Janeiro]]='Balancete MLN_WebPosto'!$G$2,
SUMIFS('Balancete MLN_WebPosto'!$J:$J,'Balancete MLN_WebPosto'!$C:$C,$A233,'Balancete MLN_WebPosto'!$B:$B,$B$2),
  "0"
)</f>
        <v>0</v>
      </c>
      <c r="K233" s="4" t="str">
        <f>IF(Balancete_Oficial[[#Headers],[Fevereiro]]='Balancete MLN_WebPosto'!$G$2,
SUMIFS('Balancete MLN_WebPosto'!$J:$J,'Balancete MLN_WebPosto'!$C:$C,$A233,'Balancete MLN_WebPosto'!$B:$B,$B$2),
  "0"
)</f>
        <v>0</v>
      </c>
      <c r="L233" s="4" t="str">
        <f>IF(Balancete_Oficial[[#Headers],[Março]]='Balancete MLN_WebPosto'!$G$2,
SUMIFS('Balancete MLN_WebPosto'!$J:$J,'Balancete MLN_WebPosto'!$C:$C,$A233,'Balancete MLN_WebPosto'!$B:$B,$B$2),
  "0"
)</f>
        <v>0</v>
      </c>
      <c r="M233" s="4" t="str">
        <f>IF(Balancete_Oficial[[#Headers],[Abril]]='Balancete MLN_WebPosto'!$G$2,
SUMIFS('Balancete MLN_WebPosto'!$J:$J,'Balancete MLN_WebPosto'!$C:$C,$A233,'Balancete MLN_WebPosto'!$B:$B,$B$2),
  "0"
)</f>
        <v>0</v>
      </c>
      <c r="N233" s="4" t="str">
        <f>IF(Balancete_Oficial[[#Headers],[Maio]]='Balancete MLN_WebPosto'!$G$2,
SUMIFS('Balancete MLN_WebPosto'!$I:$I,'Balancete MLN_WebPosto'!$C:$C,$A233,'Balancete MLN_WebPosto'!$B:$B,$B$2),
  "0"
)</f>
        <v>0</v>
      </c>
      <c r="O233" s="4" t="str">
        <f>IF(Balancete_Oficial[[#Headers],[Junho]]='Balancete MLN_WebPosto'!$G$2,
SUMIFS('Balancete MLN_WebPosto'!$I:$I,'Balancete MLN_WebPosto'!$C:$C,$A233,'Balancete MLN_WebPosto'!$B:$B,$B$2),
  "0"
)</f>
        <v>0</v>
      </c>
      <c r="P233" s="4" t="str">
        <f>IF(Balancete_Oficial[[#Headers],[Julho]]='Balancete MLN_WebPosto'!$G$2,
SUMIFS('Balancete MLN_WebPosto'!$I:$I,'Balancete MLN_WebPosto'!$C:$C,$A233,'Balancete MLN_WebPosto'!$B:$B,$B$2),
  "0"
)</f>
        <v>0</v>
      </c>
      <c r="Q233" s="4" t="str">
        <f>IF(Balancete_Oficial[[#Headers],[Agosto]]='Balancete MLN_WebPosto'!$G$2,
SUMIFS('Balancete MLN_WebPosto'!$I:$I,'Balancete MLN_WebPosto'!$C:$C,$A233,'Balancete MLN_WebPosto'!$B:$B,$B$2),
  "0"
)</f>
        <v>0</v>
      </c>
      <c r="R233" s="4">
        <f>IF(Balancete_Oficial[[#Headers],[Setembro]]='Balancete MLN_WebPosto'!$G$2,
SUMIFS('Balancete MLN_WebPosto'!$I:$I,'Balancete MLN_WebPosto'!$C:$C,$A233,'Balancete MLN_WebPosto'!$B:$B,$B$2),
  "0"
)</f>
        <v>0</v>
      </c>
      <c r="S233" s="4" t="str">
        <f>IF(Balancete_Oficial[[#Headers],[Outubro]]='Balancete MLN_WebPosto'!$G$2,
SUMIFS('Balancete MLN_WebPosto'!$I:$I,'Balancete MLN_WebPosto'!$C:$C,$A233,'Balancete MLN_WebPosto'!$B:$B,$B$2),
  "0"
)</f>
        <v>0</v>
      </c>
      <c r="T233" s="4" t="str">
        <f>IF(Balancete_Oficial[[#Headers],[Novembro]]='Balancete MLN_WebPosto'!$G$2,
SUMIFS('Balancete MLN_WebPosto'!$I:$I,'Balancete MLN_WebPosto'!$C:$C,$A233,'Balancete MLN_WebPosto'!$B:$B,$B$2),
  "0"
)</f>
        <v>0</v>
      </c>
      <c r="U233" s="4" t="str">
        <f>IF(Balancete_Oficial[[#Headers],[Dezembro]]='Balancete MLN_WebPosto'!$G$2,
SUMIFS('Balancete MLN_WebPosto'!$I:$I,'Balancete MLN_WebPosto'!$C:$C,$A233,'Balancete MLN_WebPosto'!$B:$B,$B$2),
  "0"
)</f>
        <v>0</v>
      </c>
    </row>
    <row r="234" spans="1:21" x14ac:dyDescent="0.25">
      <c r="A234" s="2" t="str">
        <f>IF(Dados!H231="","",Dados!H231)</f>
        <v/>
      </c>
      <c r="B234" s="2" t="e">
        <f>VLOOKUP(Balancete_Oficial[[#This Row],[Conta]],'Balancete MLN_WebPosto'!C:E,3,0)</f>
        <v>#N/A</v>
      </c>
      <c r="C234" s="3" t="str">
        <f t="shared" si="12"/>
        <v>Sintética</v>
      </c>
      <c r="D234" s="6" t="str">
        <f t="shared" si="13"/>
        <v>R</v>
      </c>
      <c r="E234" s="6" t="str">
        <f t="shared" si="14"/>
        <v/>
      </c>
      <c r="F234" s="6"/>
      <c r="G234" s="6"/>
      <c r="H234" s="6"/>
      <c r="I234" s="6"/>
      <c r="J234" s="4" t="str">
        <f>IF(Balancete_Oficial[[#Headers],[Janeiro]]='Balancete MLN_WebPosto'!$G$2,
SUMIFS('Balancete MLN_WebPosto'!$J:$J,'Balancete MLN_WebPosto'!$C:$C,$A234,'Balancete MLN_WebPosto'!$B:$B,$B$2),
  "0"
)</f>
        <v>0</v>
      </c>
      <c r="K234" s="4" t="str">
        <f>IF(Balancete_Oficial[[#Headers],[Fevereiro]]='Balancete MLN_WebPosto'!$G$2,
SUMIFS('Balancete MLN_WebPosto'!$J:$J,'Balancete MLN_WebPosto'!$C:$C,$A234,'Balancete MLN_WebPosto'!$B:$B,$B$2),
  "0"
)</f>
        <v>0</v>
      </c>
      <c r="L234" s="4" t="str">
        <f>IF(Balancete_Oficial[[#Headers],[Março]]='Balancete MLN_WebPosto'!$G$2,
SUMIFS('Balancete MLN_WebPosto'!$J:$J,'Balancete MLN_WebPosto'!$C:$C,$A234,'Balancete MLN_WebPosto'!$B:$B,$B$2),
  "0"
)</f>
        <v>0</v>
      </c>
      <c r="M234" s="4" t="str">
        <f>IF(Balancete_Oficial[[#Headers],[Abril]]='Balancete MLN_WebPosto'!$G$2,
SUMIFS('Balancete MLN_WebPosto'!$J:$J,'Balancete MLN_WebPosto'!$C:$C,$A234,'Balancete MLN_WebPosto'!$B:$B,$B$2),
  "0"
)</f>
        <v>0</v>
      </c>
      <c r="N234" s="4" t="str">
        <f>IF(Balancete_Oficial[[#Headers],[Maio]]='Balancete MLN_WebPosto'!$G$2,
SUMIFS('Balancete MLN_WebPosto'!$I:$I,'Balancete MLN_WebPosto'!$C:$C,$A234,'Balancete MLN_WebPosto'!$B:$B,$B$2),
  "0"
)</f>
        <v>0</v>
      </c>
      <c r="O234" s="4" t="str">
        <f>IF(Balancete_Oficial[[#Headers],[Junho]]='Balancete MLN_WebPosto'!$G$2,
SUMIFS('Balancete MLN_WebPosto'!$I:$I,'Balancete MLN_WebPosto'!$C:$C,$A234,'Balancete MLN_WebPosto'!$B:$B,$B$2),
  "0"
)</f>
        <v>0</v>
      </c>
      <c r="P234" s="4" t="str">
        <f>IF(Balancete_Oficial[[#Headers],[Julho]]='Balancete MLN_WebPosto'!$G$2,
SUMIFS('Balancete MLN_WebPosto'!$I:$I,'Balancete MLN_WebPosto'!$C:$C,$A234,'Balancete MLN_WebPosto'!$B:$B,$B$2),
  "0"
)</f>
        <v>0</v>
      </c>
      <c r="Q234" s="4" t="str">
        <f>IF(Balancete_Oficial[[#Headers],[Agosto]]='Balancete MLN_WebPosto'!$G$2,
SUMIFS('Balancete MLN_WebPosto'!$I:$I,'Balancete MLN_WebPosto'!$C:$C,$A234,'Balancete MLN_WebPosto'!$B:$B,$B$2),
  "0"
)</f>
        <v>0</v>
      </c>
      <c r="R234" s="4">
        <f>IF(Balancete_Oficial[[#Headers],[Setembro]]='Balancete MLN_WebPosto'!$G$2,
SUMIFS('Balancete MLN_WebPosto'!$I:$I,'Balancete MLN_WebPosto'!$C:$C,$A234,'Balancete MLN_WebPosto'!$B:$B,$B$2),
  "0"
)</f>
        <v>0</v>
      </c>
      <c r="S234" s="4" t="str">
        <f>IF(Balancete_Oficial[[#Headers],[Outubro]]='Balancete MLN_WebPosto'!$G$2,
SUMIFS('Balancete MLN_WebPosto'!$I:$I,'Balancete MLN_WebPosto'!$C:$C,$A234,'Balancete MLN_WebPosto'!$B:$B,$B$2),
  "0"
)</f>
        <v>0</v>
      </c>
      <c r="T234" s="4" t="str">
        <f>IF(Balancete_Oficial[[#Headers],[Novembro]]='Balancete MLN_WebPosto'!$G$2,
SUMIFS('Balancete MLN_WebPosto'!$I:$I,'Balancete MLN_WebPosto'!$C:$C,$A234,'Balancete MLN_WebPosto'!$B:$B,$B$2),
  "0"
)</f>
        <v>0</v>
      </c>
      <c r="U234" s="4" t="str">
        <f>IF(Balancete_Oficial[[#Headers],[Dezembro]]='Balancete MLN_WebPosto'!$G$2,
SUMIFS('Balancete MLN_WebPosto'!$I:$I,'Balancete MLN_WebPosto'!$C:$C,$A234,'Balancete MLN_WebPosto'!$B:$B,$B$2),
  "0"
)</f>
        <v>0</v>
      </c>
    </row>
    <row r="235" spans="1:21" x14ac:dyDescent="0.25">
      <c r="A235" s="2" t="str">
        <f>IF(Dados!H232="","",Dados!H232)</f>
        <v/>
      </c>
      <c r="B235" s="2" t="e">
        <f>VLOOKUP(Balancete_Oficial[[#This Row],[Conta]],'Balancete MLN_WebPosto'!C:E,3,0)</f>
        <v>#N/A</v>
      </c>
      <c r="C235" s="3" t="str">
        <f t="shared" si="12"/>
        <v>Sintética</v>
      </c>
      <c r="D235" s="6" t="str">
        <f t="shared" si="13"/>
        <v>R</v>
      </c>
      <c r="E235" s="6" t="str">
        <f t="shared" si="14"/>
        <v/>
      </c>
      <c r="F235" s="6"/>
      <c r="G235" s="6"/>
      <c r="H235" s="6"/>
      <c r="I235" s="6"/>
      <c r="J235" s="4" t="str">
        <f>IF(Balancete_Oficial[[#Headers],[Janeiro]]='Balancete MLN_WebPosto'!$G$2,
SUMIFS('Balancete MLN_WebPosto'!$J:$J,'Balancete MLN_WebPosto'!$C:$C,$A235,'Balancete MLN_WebPosto'!$B:$B,$B$2),
  "0"
)</f>
        <v>0</v>
      </c>
      <c r="K235" s="4" t="str">
        <f>IF(Balancete_Oficial[[#Headers],[Fevereiro]]='Balancete MLN_WebPosto'!$G$2,
SUMIFS('Balancete MLN_WebPosto'!$J:$J,'Balancete MLN_WebPosto'!$C:$C,$A235,'Balancete MLN_WebPosto'!$B:$B,$B$2),
  "0"
)</f>
        <v>0</v>
      </c>
      <c r="L235" s="4" t="str">
        <f>IF(Balancete_Oficial[[#Headers],[Março]]='Balancete MLN_WebPosto'!$G$2,
SUMIFS('Balancete MLN_WebPosto'!$J:$J,'Balancete MLN_WebPosto'!$C:$C,$A235,'Balancete MLN_WebPosto'!$B:$B,$B$2),
  "0"
)</f>
        <v>0</v>
      </c>
      <c r="M235" s="4" t="str">
        <f>IF(Balancete_Oficial[[#Headers],[Abril]]='Balancete MLN_WebPosto'!$G$2,
SUMIFS('Balancete MLN_WebPosto'!$J:$J,'Balancete MLN_WebPosto'!$C:$C,$A235,'Balancete MLN_WebPosto'!$B:$B,$B$2),
  "0"
)</f>
        <v>0</v>
      </c>
      <c r="N235" s="4" t="str">
        <f>IF(Balancete_Oficial[[#Headers],[Maio]]='Balancete MLN_WebPosto'!$G$2,
SUMIFS('Balancete MLN_WebPosto'!$I:$I,'Balancete MLN_WebPosto'!$C:$C,$A235,'Balancete MLN_WebPosto'!$B:$B,$B$2),
  "0"
)</f>
        <v>0</v>
      </c>
      <c r="O235" s="4" t="str">
        <f>IF(Balancete_Oficial[[#Headers],[Junho]]='Balancete MLN_WebPosto'!$G$2,
SUMIFS('Balancete MLN_WebPosto'!$I:$I,'Balancete MLN_WebPosto'!$C:$C,$A235,'Balancete MLN_WebPosto'!$B:$B,$B$2),
  "0"
)</f>
        <v>0</v>
      </c>
      <c r="P235" s="4" t="str">
        <f>IF(Balancete_Oficial[[#Headers],[Julho]]='Balancete MLN_WebPosto'!$G$2,
SUMIFS('Balancete MLN_WebPosto'!$I:$I,'Balancete MLN_WebPosto'!$C:$C,$A235,'Balancete MLN_WebPosto'!$B:$B,$B$2),
  "0"
)</f>
        <v>0</v>
      </c>
      <c r="Q235" s="4" t="str">
        <f>IF(Balancete_Oficial[[#Headers],[Agosto]]='Balancete MLN_WebPosto'!$G$2,
SUMIFS('Balancete MLN_WebPosto'!$I:$I,'Balancete MLN_WebPosto'!$C:$C,$A235,'Balancete MLN_WebPosto'!$B:$B,$B$2),
  "0"
)</f>
        <v>0</v>
      </c>
      <c r="R235" s="4">
        <f>IF(Balancete_Oficial[[#Headers],[Setembro]]='Balancete MLN_WebPosto'!$G$2,
SUMIFS('Balancete MLN_WebPosto'!$I:$I,'Balancete MLN_WebPosto'!$C:$C,$A235,'Balancete MLN_WebPosto'!$B:$B,$B$2),
  "0"
)</f>
        <v>0</v>
      </c>
      <c r="S235" s="4" t="str">
        <f>IF(Balancete_Oficial[[#Headers],[Outubro]]='Balancete MLN_WebPosto'!$G$2,
SUMIFS('Balancete MLN_WebPosto'!$I:$I,'Balancete MLN_WebPosto'!$C:$C,$A235,'Balancete MLN_WebPosto'!$B:$B,$B$2),
  "0"
)</f>
        <v>0</v>
      </c>
      <c r="T235" s="4" t="str">
        <f>IF(Balancete_Oficial[[#Headers],[Novembro]]='Balancete MLN_WebPosto'!$G$2,
SUMIFS('Balancete MLN_WebPosto'!$I:$I,'Balancete MLN_WebPosto'!$C:$C,$A235,'Balancete MLN_WebPosto'!$B:$B,$B$2),
  "0"
)</f>
        <v>0</v>
      </c>
      <c r="U235" s="4" t="str">
        <f>IF(Balancete_Oficial[[#Headers],[Dezembro]]='Balancete MLN_WebPosto'!$G$2,
SUMIFS('Balancete MLN_WebPosto'!$I:$I,'Balancete MLN_WebPosto'!$C:$C,$A235,'Balancete MLN_WebPosto'!$B:$B,$B$2),
  "0"
)</f>
        <v>0</v>
      </c>
    </row>
    <row r="236" spans="1:21" x14ac:dyDescent="0.25">
      <c r="A236" s="2" t="str">
        <f>IF(Dados!H233="","",Dados!H233)</f>
        <v/>
      </c>
      <c r="B236" s="2" t="e">
        <f>VLOOKUP(Balancete_Oficial[[#This Row],[Conta]],'Balancete MLN_WebPosto'!C:E,3,0)</f>
        <v>#N/A</v>
      </c>
      <c r="C236" s="3" t="str">
        <f t="shared" si="12"/>
        <v>Sintética</v>
      </c>
      <c r="D236" s="6" t="str">
        <f t="shared" si="13"/>
        <v>R</v>
      </c>
      <c r="E236" s="6" t="str">
        <f t="shared" si="14"/>
        <v/>
      </c>
      <c r="F236" s="6"/>
      <c r="G236" s="6"/>
      <c r="H236" s="6"/>
      <c r="I236" s="6"/>
      <c r="J236" s="4" t="str">
        <f>IF(Balancete_Oficial[[#Headers],[Janeiro]]='Balancete MLN_WebPosto'!$G$2,
SUMIFS('Balancete MLN_WebPosto'!$J:$J,'Balancete MLN_WebPosto'!$C:$C,$A236,'Balancete MLN_WebPosto'!$B:$B,$B$2),
  "0"
)</f>
        <v>0</v>
      </c>
      <c r="K236" s="4" t="str">
        <f>IF(Balancete_Oficial[[#Headers],[Fevereiro]]='Balancete MLN_WebPosto'!$G$2,
SUMIFS('Balancete MLN_WebPosto'!$J:$J,'Balancete MLN_WebPosto'!$C:$C,$A236,'Balancete MLN_WebPosto'!$B:$B,$B$2),
  "0"
)</f>
        <v>0</v>
      </c>
      <c r="L236" s="4" t="str">
        <f>IF(Balancete_Oficial[[#Headers],[Março]]='Balancete MLN_WebPosto'!$G$2,
SUMIFS('Balancete MLN_WebPosto'!$J:$J,'Balancete MLN_WebPosto'!$C:$C,$A236,'Balancete MLN_WebPosto'!$B:$B,$B$2),
  "0"
)</f>
        <v>0</v>
      </c>
      <c r="M236" s="4" t="str">
        <f>IF(Balancete_Oficial[[#Headers],[Abril]]='Balancete MLN_WebPosto'!$G$2,
SUMIFS('Balancete MLN_WebPosto'!$J:$J,'Balancete MLN_WebPosto'!$C:$C,$A236,'Balancete MLN_WebPosto'!$B:$B,$B$2),
  "0"
)</f>
        <v>0</v>
      </c>
      <c r="N236" s="4" t="str">
        <f>IF(Balancete_Oficial[[#Headers],[Maio]]='Balancete MLN_WebPosto'!$G$2,
SUMIFS('Balancete MLN_WebPosto'!$I:$I,'Balancete MLN_WebPosto'!$C:$C,$A236,'Balancete MLN_WebPosto'!$B:$B,$B$2),
  "0"
)</f>
        <v>0</v>
      </c>
      <c r="O236" s="4" t="str">
        <f>IF(Balancete_Oficial[[#Headers],[Junho]]='Balancete MLN_WebPosto'!$G$2,
SUMIFS('Balancete MLN_WebPosto'!$I:$I,'Balancete MLN_WebPosto'!$C:$C,$A236,'Balancete MLN_WebPosto'!$B:$B,$B$2),
  "0"
)</f>
        <v>0</v>
      </c>
      <c r="P236" s="4" t="str">
        <f>IF(Balancete_Oficial[[#Headers],[Julho]]='Balancete MLN_WebPosto'!$G$2,
SUMIFS('Balancete MLN_WebPosto'!$I:$I,'Balancete MLN_WebPosto'!$C:$C,$A236,'Balancete MLN_WebPosto'!$B:$B,$B$2),
  "0"
)</f>
        <v>0</v>
      </c>
      <c r="Q236" s="4" t="str">
        <f>IF(Balancete_Oficial[[#Headers],[Agosto]]='Balancete MLN_WebPosto'!$G$2,
SUMIFS('Balancete MLN_WebPosto'!$I:$I,'Balancete MLN_WebPosto'!$C:$C,$A236,'Balancete MLN_WebPosto'!$B:$B,$B$2),
  "0"
)</f>
        <v>0</v>
      </c>
      <c r="R236" s="4">
        <f>IF(Balancete_Oficial[[#Headers],[Setembro]]='Balancete MLN_WebPosto'!$G$2,
SUMIFS('Balancete MLN_WebPosto'!$I:$I,'Balancete MLN_WebPosto'!$C:$C,$A236,'Balancete MLN_WebPosto'!$B:$B,$B$2),
  "0"
)</f>
        <v>0</v>
      </c>
      <c r="S236" s="4" t="str">
        <f>IF(Balancete_Oficial[[#Headers],[Outubro]]='Balancete MLN_WebPosto'!$G$2,
SUMIFS('Balancete MLN_WebPosto'!$I:$I,'Balancete MLN_WebPosto'!$C:$C,$A236,'Balancete MLN_WebPosto'!$B:$B,$B$2),
  "0"
)</f>
        <v>0</v>
      </c>
      <c r="T236" s="4" t="str">
        <f>IF(Balancete_Oficial[[#Headers],[Novembro]]='Balancete MLN_WebPosto'!$G$2,
SUMIFS('Balancete MLN_WebPosto'!$I:$I,'Balancete MLN_WebPosto'!$C:$C,$A236,'Balancete MLN_WebPosto'!$B:$B,$B$2),
  "0"
)</f>
        <v>0</v>
      </c>
      <c r="U236" s="4" t="str">
        <f>IF(Balancete_Oficial[[#Headers],[Dezembro]]='Balancete MLN_WebPosto'!$G$2,
SUMIFS('Balancete MLN_WebPosto'!$I:$I,'Balancete MLN_WebPosto'!$C:$C,$A236,'Balancete MLN_WebPosto'!$B:$B,$B$2),
  "0"
)</f>
        <v>0</v>
      </c>
    </row>
    <row r="237" spans="1:21" x14ac:dyDescent="0.25">
      <c r="A237" s="2" t="str">
        <f>IF(Dados!H234="","",Dados!H234)</f>
        <v/>
      </c>
      <c r="B237" s="2" t="e">
        <f>VLOOKUP(Balancete_Oficial[[#This Row],[Conta]],'Balancete MLN_WebPosto'!C:E,3,0)</f>
        <v>#N/A</v>
      </c>
      <c r="C237" s="3" t="str">
        <f t="shared" si="12"/>
        <v>Sintética</v>
      </c>
      <c r="D237" s="6" t="str">
        <f t="shared" si="13"/>
        <v>R</v>
      </c>
      <c r="E237" s="6" t="str">
        <f t="shared" si="14"/>
        <v/>
      </c>
      <c r="F237" s="6"/>
      <c r="G237" s="6"/>
      <c r="H237" s="6"/>
      <c r="I237" s="6"/>
      <c r="J237" s="4" t="str">
        <f>IF(Balancete_Oficial[[#Headers],[Janeiro]]='Balancete MLN_WebPosto'!$G$2,
SUMIFS('Balancete MLN_WebPosto'!$J:$J,'Balancete MLN_WebPosto'!$C:$C,$A237,'Balancete MLN_WebPosto'!$B:$B,$B$2),
  "0"
)</f>
        <v>0</v>
      </c>
      <c r="K237" s="4" t="str">
        <f>IF(Balancete_Oficial[[#Headers],[Fevereiro]]='Balancete MLN_WebPosto'!$G$2,
SUMIFS('Balancete MLN_WebPosto'!$J:$J,'Balancete MLN_WebPosto'!$C:$C,$A237,'Balancete MLN_WebPosto'!$B:$B,$B$2),
  "0"
)</f>
        <v>0</v>
      </c>
      <c r="L237" s="4" t="str">
        <f>IF(Balancete_Oficial[[#Headers],[Março]]='Balancete MLN_WebPosto'!$G$2,
SUMIFS('Balancete MLN_WebPosto'!$J:$J,'Balancete MLN_WebPosto'!$C:$C,$A237,'Balancete MLN_WebPosto'!$B:$B,$B$2),
  "0"
)</f>
        <v>0</v>
      </c>
      <c r="M237" s="4" t="str">
        <f>IF(Balancete_Oficial[[#Headers],[Abril]]='Balancete MLN_WebPosto'!$G$2,
SUMIFS('Balancete MLN_WebPosto'!$J:$J,'Balancete MLN_WebPosto'!$C:$C,$A237,'Balancete MLN_WebPosto'!$B:$B,$B$2),
  "0"
)</f>
        <v>0</v>
      </c>
      <c r="N237" s="4" t="str">
        <f>IF(Balancete_Oficial[[#Headers],[Maio]]='Balancete MLN_WebPosto'!$G$2,
SUMIFS('Balancete MLN_WebPosto'!$I:$I,'Balancete MLN_WebPosto'!$C:$C,$A237,'Balancete MLN_WebPosto'!$B:$B,$B$2),
  "0"
)</f>
        <v>0</v>
      </c>
      <c r="O237" s="4" t="str">
        <f>IF(Balancete_Oficial[[#Headers],[Junho]]='Balancete MLN_WebPosto'!$G$2,
SUMIFS('Balancete MLN_WebPosto'!$I:$I,'Balancete MLN_WebPosto'!$C:$C,$A237,'Balancete MLN_WebPosto'!$B:$B,$B$2),
  "0"
)</f>
        <v>0</v>
      </c>
      <c r="P237" s="4" t="str">
        <f>IF(Balancete_Oficial[[#Headers],[Julho]]='Balancete MLN_WebPosto'!$G$2,
SUMIFS('Balancete MLN_WebPosto'!$I:$I,'Balancete MLN_WebPosto'!$C:$C,$A237,'Balancete MLN_WebPosto'!$B:$B,$B$2),
  "0"
)</f>
        <v>0</v>
      </c>
      <c r="Q237" s="4" t="str">
        <f>IF(Balancete_Oficial[[#Headers],[Agosto]]='Balancete MLN_WebPosto'!$G$2,
SUMIFS('Balancete MLN_WebPosto'!$I:$I,'Balancete MLN_WebPosto'!$C:$C,$A237,'Balancete MLN_WebPosto'!$B:$B,$B$2),
  "0"
)</f>
        <v>0</v>
      </c>
      <c r="R237" s="4">
        <f>IF(Balancete_Oficial[[#Headers],[Setembro]]='Balancete MLN_WebPosto'!$G$2,
SUMIFS('Balancete MLN_WebPosto'!$I:$I,'Balancete MLN_WebPosto'!$C:$C,$A237,'Balancete MLN_WebPosto'!$B:$B,$B$2),
  "0"
)</f>
        <v>0</v>
      </c>
      <c r="S237" s="4" t="str">
        <f>IF(Balancete_Oficial[[#Headers],[Outubro]]='Balancete MLN_WebPosto'!$G$2,
SUMIFS('Balancete MLN_WebPosto'!$I:$I,'Balancete MLN_WebPosto'!$C:$C,$A237,'Balancete MLN_WebPosto'!$B:$B,$B$2),
  "0"
)</f>
        <v>0</v>
      </c>
      <c r="T237" s="4" t="str">
        <f>IF(Balancete_Oficial[[#Headers],[Novembro]]='Balancete MLN_WebPosto'!$G$2,
SUMIFS('Balancete MLN_WebPosto'!$I:$I,'Balancete MLN_WebPosto'!$C:$C,$A237,'Balancete MLN_WebPosto'!$B:$B,$B$2),
  "0"
)</f>
        <v>0</v>
      </c>
      <c r="U237" s="4" t="str">
        <f>IF(Balancete_Oficial[[#Headers],[Dezembro]]='Balancete MLN_WebPosto'!$G$2,
SUMIFS('Balancete MLN_WebPosto'!$I:$I,'Balancete MLN_WebPosto'!$C:$C,$A237,'Balancete MLN_WebPosto'!$B:$B,$B$2),
  "0"
)</f>
        <v>0</v>
      </c>
    </row>
    <row r="238" spans="1:21" x14ac:dyDescent="0.25">
      <c r="A238" s="2" t="str">
        <f>IF(Dados!H235="","",Dados!H235)</f>
        <v/>
      </c>
      <c r="B238" s="2" t="e">
        <f>VLOOKUP(Balancete_Oficial[[#This Row],[Conta]],'Balancete MLN_WebPosto'!C:E,3,0)</f>
        <v>#N/A</v>
      </c>
      <c r="C238" s="3" t="str">
        <f t="shared" si="12"/>
        <v>Sintética</v>
      </c>
      <c r="D238" s="6" t="str">
        <f t="shared" si="13"/>
        <v>R</v>
      </c>
      <c r="E238" s="6" t="str">
        <f t="shared" si="14"/>
        <v/>
      </c>
      <c r="F238" s="6"/>
      <c r="G238" s="6"/>
      <c r="H238" s="6"/>
      <c r="I238" s="6"/>
      <c r="J238" s="4" t="str">
        <f>IF(Balancete_Oficial[[#Headers],[Janeiro]]='Balancete MLN_WebPosto'!$G$2,
SUMIFS('Balancete MLN_WebPosto'!$J:$J,'Balancete MLN_WebPosto'!$C:$C,$A238,'Balancete MLN_WebPosto'!$B:$B,$B$2),
  "0"
)</f>
        <v>0</v>
      </c>
      <c r="K238" s="4" t="str">
        <f>IF(Balancete_Oficial[[#Headers],[Fevereiro]]='Balancete MLN_WebPosto'!$G$2,
SUMIFS('Balancete MLN_WebPosto'!$J:$J,'Balancete MLN_WebPosto'!$C:$C,$A238,'Balancete MLN_WebPosto'!$B:$B,$B$2),
  "0"
)</f>
        <v>0</v>
      </c>
      <c r="L238" s="4" t="str">
        <f>IF(Balancete_Oficial[[#Headers],[Março]]='Balancete MLN_WebPosto'!$G$2,
SUMIFS('Balancete MLN_WebPosto'!$J:$J,'Balancete MLN_WebPosto'!$C:$C,$A238,'Balancete MLN_WebPosto'!$B:$B,$B$2),
  "0"
)</f>
        <v>0</v>
      </c>
      <c r="M238" s="4" t="str">
        <f>IF(Balancete_Oficial[[#Headers],[Abril]]='Balancete MLN_WebPosto'!$G$2,
SUMIFS('Balancete MLN_WebPosto'!$J:$J,'Balancete MLN_WebPosto'!$C:$C,$A238,'Balancete MLN_WebPosto'!$B:$B,$B$2),
  "0"
)</f>
        <v>0</v>
      </c>
      <c r="N238" s="4" t="str">
        <f>IF(Balancete_Oficial[[#Headers],[Maio]]='Balancete MLN_WebPosto'!$G$2,
SUMIFS('Balancete MLN_WebPosto'!$I:$I,'Balancete MLN_WebPosto'!$C:$C,$A238,'Balancete MLN_WebPosto'!$B:$B,$B$2),
  "0"
)</f>
        <v>0</v>
      </c>
      <c r="O238" s="4" t="str">
        <f>IF(Balancete_Oficial[[#Headers],[Junho]]='Balancete MLN_WebPosto'!$G$2,
SUMIFS('Balancete MLN_WebPosto'!$I:$I,'Balancete MLN_WebPosto'!$C:$C,$A238,'Balancete MLN_WebPosto'!$B:$B,$B$2),
  "0"
)</f>
        <v>0</v>
      </c>
      <c r="P238" s="4" t="str">
        <f>IF(Balancete_Oficial[[#Headers],[Julho]]='Balancete MLN_WebPosto'!$G$2,
SUMIFS('Balancete MLN_WebPosto'!$I:$I,'Balancete MLN_WebPosto'!$C:$C,$A238,'Balancete MLN_WebPosto'!$B:$B,$B$2),
  "0"
)</f>
        <v>0</v>
      </c>
      <c r="Q238" s="4" t="str">
        <f>IF(Balancete_Oficial[[#Headers],[Agosto]]='Balancete MLN_WebPosto'!$G$2,
SUMIFS('Balancete MLN_WebPosto'!$I:$I,'Balancete MLN_WebPosto'!$C:$C,$A238,'Balancete MLN_WebPosto'!$B:$B,$B$2),
  "0"
)</f>
        <v>0</v>
      </c>
      <c r="R238" s="4">
        <f>IF(Balancete_Oficial[[#Headers],[Setembro]]='Balancete MLN_WebPosto'!$G$2,
SUMIFS('Balancete MLN_WebPosto'!$I:$I,'Balancete MLN_WebPosto'!$C:$C,$A238,'Balancete MLN_WebPosto'!$B:$B,$B$2),
  "0"
)</f>
        <v>0</v>
      </c>
      <c r="S238" s="4" t="str">
        <f>IF(Balancete_Oficial[[#Headers],[Outubro]]='Balancete MLN_WebPosto'!$G$2,
SUMIFS('Balancete MLN_WebPosto'!$I:$I,'Balancete MLN_WebPosto'!$C:$C,$A238,'Balancete MLN_WebPosto'!$B:$B,$B$2),
  "0"
)</f>
        <v>0</v>
      </c>
      <c r="T238" s="4" t="str">
        <f>IF(Balancete_Oficial[[#Headers],[Novembro]]='Balancete MLN_WebPosto'!$G$2,
SUMIFS('Balancete MLN_WebPosto'!$I:$I,'Balancete MLN_WebPosto'!$C:$C,$A238,'Balancete MLN_WebPosto'!$B:$B,$B$2),
  "0"
)</f>
        <v>0</v>
      </c>
      <c r="U238" s="4" t="str">
        <f>IF(Balancete_Oficial[[#Headers],[Dezembro]]='Balancete MLN_WebPosto'!$G$2,
SUMIFS('Balancete MLN_WebPosto'!$I:$I,'Balancete MLN_WebPosto'!$C:$C,$A238,'Balancete MLN_WebPosto'!$B:$B,$B$2),
  "0"
)</f>
        <v>0</v>
      </c>
    </row>
    <row r="239" spans="1:21" x14ac:dyDescent="0.25">
      <c r="A239" s="2" t="str">
        <f>IF(Dados!H236="","",Dados!H236)</f>
        <v/>
      </c>
      <c r="B239" s="2" t="e">
        <f>VLOOKUP(Balancete_Oficial[[#This Row],[Conta]],'Balancete MLN_WebPosto'!C:E,3,0)</f>
        <v>#N/A</v>
      </c>
      <c r="C239" s="3" t="str">
        <f t="shared" si="12"/>
        <v>Sintética</v>
      </c>
      <c r="D239" s="6" t="str">
        <f t="shared" si="13"/>
        <v>R</v>
      </c>
      <c r="E239" s="6" t="str">
        <f t="shared" si="14"/>
        <v/>
      </c>
      <c r="F239" s="6"/>
      <c r="G239" s="6"/>
      <c r="H239" s="6"/>
      <c r="I239" s="6"/>
      <c r="J239" s="4" t="str">
        <f>IF(Balancete_Oficial[[#Headers],[Janeiro]]='Balancete MLN_WebPosto'!$G$2,
SUMIFS('Balancete MLN_WebPosto'!$J:$J,'Balancete MLN_WebPosto'!$C:$C,$A239,'Balancete MLN_WebPosto'!$B:$B,$B$2),
  "0"
)</f>
        <v>0</v>
      </c>
      <c r="K239" s="4" t="str">
        <f>IF(Balancete_Oficial[[#Headers],[Fevereiro]]='Balancete MLN_WebPosto'!$G$2,
SUMIFS('Balancete MLN_WebPosto'!$J:$J,'Balancete MLN_WebPosto'!$C:$C,$A239,'Balancete MLN_WebPosto'!$B:$B,$B$2),
  "0"
)</f>
        <v>0</v>
      </c>
      <c r="L239" s="4" t="str">
        <f>IF(Balancete_Oficial[[#Headers],[Março]]='Balancete MLN_WebPosto'!$G$2,
SUMIFS('Balancete MLN_WebPosto'!$J:$J,'Balancete MLN_WebPosto'!$C:$C,$A239,'Balancete MLN_WebPosto'!$B:$B,$B$2),
  "0"
)</f>
        <v>0</v>
      </c>
      <c r="M239" s="4" t="str">
        <f>IF(Balancete_Oficial[[#Headers],[Abril]]='Balancete MLN_WebPosto'!$G$2,
SUMIFS('Balancete MLN_WebPosto'!$J:$J,'Balancete MLN_WebPosto'!$C:$C,$A239,'Balancete MLN_WebPosto'!$B:$B,$B$2),
  "0"
)</f>
        <v>0</v>
      </c>
      <c r="N239" s="4" t="str">
        <f>IF(Balancete_Oficial[[#Headers],[Maio]]='Balancete MLN_WebPosto'!$G$2,
SUMIFS('Balancete MLN_WebPosto'!$I:$I,'Balancete MLN_WebPosto'!$C:$C,$A239,'Balancete MLN_WebPosto'!$B:$B,$B$2),
  "0"
)</f>
        <v>0</v>
      </c>
      <c r="O239" s="4" t="str">
        <f>IF(Balancete_Oficial[[#Headers],[Junho]]='Balancete MLN_WebPosto'!$G$2,
SUMIFS('Balancete MLN_WebPosto'!$I:$I,'Balancete MLN_WebPosto'!$C:$C,$A239,'Balancete MLN_WebPosto'!$B:$B,$B$2),
  "0"
)</f>
        <v>0</v>
      </c>
      <c r="P239" s="4" t="str">
        <f>IF(Balancete_Oficial[[#Headers],[Julho]]='Balancete MLN_WebPosto'!$G$2,
SUMIFS('Balancete MLN_WebPosto'!$I:$I,'Balancete MLN_WebPosto'!$C:$C,$A239,'Balancete MLN_WebPosto'!$B:$B,$B$2),
  "0"
)</f>
        <v>0</v>
      </c>
      <c r="Q239" s="4" t="str">
        <f>IF(Balancete_Oficial[[#Headers],[Agosto]]='Balancete MLN_WebPosto'!$G$2,
SUMIFS('Balancete MLN_WebPosto'!$I:$I,'Balancete MLN_WebPosto'!$C:$C,$A239,'Balancete MLN_WebPosto'!$B:$B,$B$2),
  "0"
)</f>
        <v>0</v>
      </c>
      <c r="R239" s="4">
        <f>IF(Balancete_Oficial[[#Headers],[Setembro]]='Balancete MLN_WebPosto'!$G$2,
SUMIFS('Balancete MLN_WebPosto'!$I:$I,'Balancete MLN_WebPosto'!$C:$C,$A239,'Balancete MLN_WebPosto'!$B:$B,$B$2),
  "0"
)</f>
        <v>0</v>
      </c>
      <c r="S239" s="4" t="str">
        <f>IF(Balancete_Oficial[[#Headers],[Outubro]]='Balancete MLN_WebPosto'!$G$2,
SUMIFS('Balancete MLN_WebPosto'!$I:$I,'Balancete MLN_WebPosto'!$C:$C,$A239,'Balancete MLN_WebPosto'!$B:$B,$B$2),
  "0"
)</f>
        <v>0</v>
      </c>
      <c r="T239" s="4" t="str">
        <f>IF(Balancete_Oficial[[#Headers],[Novembro]]='Balancete MLN_WebPosto'!$G$2,
SUMIFS('Balancete MLN_WebPosto'!$I:$I,'Balancete MLN_WebPosto'!$C:$C,$A239,'Balancete MLN_WebPosto'!$B:$B,$B$2),
  "0"
)</f>
        <v>0</v>
      </c>
      <c r="U239" s="4" t="str">
        <f>IF(Balancete_Oficial[[#Headers],[Dezembro]]='Balancete MLN_WebPosto'!$G$2,
SUMIFS('Balancete MLN_WebPosto'!$I:$I,'Balancete MLN_WebPosto'!$C:$C,$A239,'Balancete MLN_WebPosto'!$B:$B,$B$2),
  "0"
)</f>
        <v>0</v>
      </c>
    </row>
    <row r="240" spans="1:21" x14ac:dyDescent="0.25">
      <c r="A240" s="2" t="str">
        <f>IF(Dados!H237="","",Dados!H237)</f>
        <v/>
      </c>
      <c r="B240" s="2" t="e">
        <f>VLOOKUP(Balancete_Oficial[[#This Row],[Conta]],'Balancete MLN_WebPosto'!C:E,3,0)</f>
        <v>#N/A</v>
      </c>
      <c r="C240" s="3" t="str">
        <f t="shared" si="12"/>
        <v>Sintética</v>
      </c>
      <c r="D240" s="6" t="str">
        <f t="shared" si="13"/>
        <v>R</v>
      </c>
      <c r="E240" s="6" t="str">
        <f t="shared" si="14"/>
        <v/>
      </c>
      <c r="F240" s="6"/>
      <c r="G240" s="6"/>
      <c r="H240" s="6"/>
      <c r="I240" s="6"/>
      <c r="J240" s="4" t="str">
        <f>IF(Balancete_Oficial[[#Headers],[Janeiro]]='Balancete MLN_WebPosto'!$G$2,
SUMIFS('Balancete MLN_WebPosto'!$J:$J,'Balancete MLN_WebPosto'!$C:$C,$A240,'Balancete MLN_WebPosto'!$B:$B,$B$2),
  "0"
)</f>
        <v>0</v>
      </c>
      <c r="K240" s="4" t="str">
        <f>IF(Balancete_Oficial[[#Headers],[Fevereiro]]='Balancete MLN_WebPosto'!$G$2,
SUMIFS('Balancete MLN_WebPosto'!$J:$J,'Balancete MLN_WebPosto'!$C:$C,$A240,'Balancete MLN_WebPosto'!$B:$B,$B$2),
  "0"
)</f>
        <v>0</v>
      </c>
      <c r="L240" s="4" t="str">
        <f>IF(Balancete_Oficial[[#Headers],[Março]]='Balancete MLN_WebPosto'!$G$2,
SUMIFS('Balancete MLN_WebPosto'!$J:$J,'Balancete MLN_WebPosto'!$C:$C,$A240,'Balancete MLN_WebPosto'!$B:$B,$B$2),
  "0"
)</f>
        <v>0</v>
      </c>
      <c r="M240" s="4" t="str">
        <f>IF(Balancete_Oficial[[#Headers],[Abril]]='Balancete MLN_WebPosto'!$G$2,
SUMIFS('Balancete MLN_WebPosto'!$J:$J,'Balancete MLN_WebPosto'!$C:$C,$A240,'Balancete MLN_WebPosto'!$B:$B,$B$2),
  "0"
)</f>
        <v>0</v>
      </c>
      <c r="N240" s="4" t="str">
        <f>IF(Balancete_Oficial[[#Headers],[Maio]]='Balancete MLN_WebPosto'!$G$2,
SUMIFS('Balancete MLN_WebPosto'!$I:$I,'Balancete MLN_WebPosto'!$C:$C,$A240,'Balancete MLN_WebPosto'!$B:$B,$B$2),
  "0"
)</f>
        <v>0</v>
      </c>
      <c r="O240" s="4" t="str">
        <f>IF(Balancete_Oficial[[#Headers],[Junho]]='Balancete MLN_WebPosto'!$G$2,
SUMIFS('Balancete MLN_WebPosto'!$I:$I,'Balancete MLN_WebPosto'!$C:$C,$A240,'Balancete MLN_WebPosto'!$B:$B,$B$2),
  "0"
)</f>
        <v>0</v>
      </c>
      <c r="P240" s="4" t="str">
        <f>IF(Balancete_Oficial[[#Headers],[Julho]]='Balancete MLN_WebPosto'!$G$2,
SUMIFS('Balancete MLN_WebPosto'!$I:$I,'Balancete MLN_WebPosto'!$C:$C,$A240,'Balancete MLN_WebPosto'!$B:$B,$B$2),
  "0"
)</f>
        <v>0</v>
      </c>
      <c r="Q240" s="4" t="str">
        <f>IF(Balancete_Oficial[[#Headers],[Agosto]]='Balancete MLN_WebPosto'!$G$2,
SUMIFS('Balancete MLN_WebPosto'!$I:$I,'Balancete MLN_WebPosto'!$C:$C,$A240,'Balancete MLN_WebPosto'!$B:$B,$B$2),
  "0"
)</f>
        <v>0</v>
      </c>
      <c r="R240" s="4">
        <f>IF(Balancete_Oficial[[#Headers],[Setembro]]='Balancete MLN_WebPosto'!$G$2,
SUMIFS('Balancete MLN_WebPosto'!$I:$I,'Balancete MLN_WebPosto'!$C:$C,$A240,'Balancete MLN_WebPosto'!$B:$B,$B$2),
  "0"
)</f>
        <v>0</v>
      </c>
      <c r="S240" s="4" t="str">
        <f>IF(Balancete_Oficial[[#Headers],[Outubro]]='Balancete MLN_WebPosto'!$G$2,
SUMIFS('Balancete MLN_WebPosto'!$I:$I,'Balancete MLN_WebPosto'!$C:$C,$A240,'Balancete MLN_WebPosto'!$B:$B,$B$2),
  "0"
)</f>
        <v>0</v>
      </c>
      <c r="T240" s="4" t="str">
        <f>IF(Balancete_Oficial[[#Headers],[Novembro]]='Balancete MLN_WebPosto'!$G$2,
SUMIFS('Balancete MLN_WebPosto'!$I:$I,'Balancete MLN_WebPosto'!$C:$C,$A240,'Balancete MLN_WebPosto'!$B:$B,$B$2),
  "0"
)</f>
        <v>0</v>
      </c>
      <c r="U240" s="4" t="str">
        <f>IF(Balancete_Oficial[[#Headers],[Dezembro]]='Balancete MLN_WebPosto'!$G$2,
SUMIFS('Balancete MLN_WebPosto'!$I:$I,'Balancete MLN_WebPosto'!$C:$C,$A240,'Balancete MLN_WebPosto'!$B:$B,$B$2),
  "0"
)</f>
        <v>0</v>
      </c>
    </row>
    <row r="241" spans="1:21" x14ac:dyDescent="0.25">
      <c r="A241" s="2" t="str">
        <f>IF(Dados!H238="","",Dados!H238)</f>
        <v/>
      </c>
      <c r="B241" s="2" t="e">
        <f>VLOOKUP(Balancete_Oficial[[#This Row],[Conta]],'Balancete MLN_WebPosto'!C:E,3,0)</f>
        <v>#N/A</v>
      </c>
      <c r="C241" s="3" t="str">
        <f t="shared" si="12"/>
        <v>Sintética</v>
      </c>
      <c r="D241" s="6" t="str">
        <f t="shared" si="13"/>
        <v>R</v>
      </c>
      <c r="E241" s="6" t="str">
        <f t="shared" si="14"/>
        <v/>
      </c>
      <c r="F241" s="6"/>
      <c r="G241" s="6"/>
      <c r="H241" s="6"/>
      <c r="I241" s="6"/>
      <c r="J241" s="4" t="str">
        <f>IF(Balancete_Oficial[[#Headers],[Janeiro]]='Balancete MLN_WebPosto'!$G$2,
SUMIFS('Balancete MLN_WebPosto'!$J:$J,'Balancete MLN_WebPosto'!$C:$C,$A241,'Balancete MLN_WebPosto'!$B:$B,$B$2),
  "0"
)</f>
        <v>0</v>
      </c>
      <c r="K241" s="4" t="str">
        <f>IF(Balancete_Oficial[[#Headers],[Fevereiro]]='Balancete MLN_WebPosto'!$G$2,
SUMIFS('Balancete MLN_WebPosto'!$J:$J,'Balancete MLN_WebPosto'!$C:$C,$A241,'Balancete MLN_WebPosto'!$B:$B,$B$2),
  "0"
)</f>
        <v>0</v>
      </c>
      <c r="L241" s="4" t="str">
        <f>IF(Balancete_Oficial[[#Headers],[Março]]='Balancete MLN_WebPosto'!$G$2,
SUMIFS('Balancete MLN_WebPosto'!$J:$J,'Balancete MLN_WebPosto'!$C:$C,$A241,'Balancete MLN_WebPosto'!$B:$B,$B$2),
  "0"
)</f>
        <v>0</v>
      </c>
      <c r="M241" s="4" t="str">
        <f>IF(Balancete_Oficial[[#Headers],[Abril]]='Balancete MLN_WebPosto'!$G$2,
SUMIFS('Balancete MLN_WebPosto'!$J:$J,'Balancete MLN_WebPosto'!$C:$C,$A241,'Balancete MLN_WebPosto'!$B:$B,$B$2),
  "0"
)</f>
        <v>0</v>
      </c>
      <c r="N241" s="4" t="str">
        <f>IF(Balancete_Oficial[[#Headers],[Maio]]='Balancete MLN_WebPosto'!$G$2,
SUMIFS('Balancete MLN_WebPosto'!$I:$I,'Balancete MLN_WebPosto'!$C:$C,$A241,'Balancete MLN_WebPosto'!$B:$B,$B$2),
  "0"
)</f>
        <v>0</v>
      </c>
      <c r="O241" s="4" t="str">
        <f>IF(Balancete_Oficial[[#Headers],[Junho]]='Balancete MLN_WebPosto'!$G$2,
SUMIFS('Balancete MLN_WebPosto'!$I:$I,'Balancete MLN_WebPosto'!$C:$C,$A241,'Balancete MLN_WebPosto'!$B:$B,$B$2),
  "0"
)</f>
        <v>0</v>
      </c>
      <c r="P241" s="4" t="str">
        <f>IF(Balancete_Oficial[[#Headers],[Julho]]='Balancete MLN_WebPosto'!$G$2,
SUMIFS('Balancete MLN_WebPosto'!$I:$I,'Balancete MLN_WebPosto'!$C:$C,$A241,'Balancete MLN_WebPosto'!$B:$B,$B$2),
  "0"
)</f>
        <v>0</v>
      </c>
      <c r="Q241" s="4" t="str">
        <f>IF(Balancete_Oficial[[#Headers],[Agosto]]='Balancete MLN_WebPosto'!$G$2,
SUMIFS('Balancete MLN_WebPosto'!$I:$I,'Balancete MLN_WebPosto'!$C:$C,$A241,'Balancete MLN_WebPosto'!$B:$B,$B$2),
  "0"
)</f>
        <v>0</v>
      </c>
      <c r="R241" s="4">
        <f>IF(Balancete_Oficial[[#Headers],[Setembro]]='Balancete MLN_WebPosto'!$G$2,
SUMIFS('Balancete MLN_WebPosto'!$I:$I,'Balancete MLN_WebPosto'!$C:$C,$A241,'Balancete MLN_WebPosto'!$B:$B,$B$2),
  "0"
)</f>
        <v>0</v>
      </c>
      <c r="S241" s="4" t="str">
        <f>IF(Balancete_Oficial[[#Headers],[Outubro]]='Balancete MLN_WebPosto'!$G$2,
SUMIFS('Balancete MLN_WebPosto'!$I:$I,'Balancete MLN_WebPosto'!$C:$C,$A241,'Balancete MLN_WebPosto'!$B:$B,$B$2),
  "0"
)</f>
        <v>0</v>
      </c>
      <c r="T241" s="4" t="str">
        <f>IF(Balancete_Oficial[[#Headers],[Novembro]]='Balancete MLN_WebPosto'!$G$2,
SUMIFS('Balancete MLN_WebPosto'!$I:$I,'Balancete MLN_WebPosto'!$C:$C,$A241,'Balancete MLN_WebPosto'!$B:$B,$B$2),
  "0"
)</f>
        <v>0</v>
      </c>
      <c r="U241" s="4" t="str">
        <f>IF(Balancete_Oficial[[#Headers],[Dezembro]]='Balancete MLN_WebPosto'!$G$2,
SUMIFS('Balancete MLN_WebPosto'!$I:$I,'Balancete MLN_WebPosto'!$C:$C,$A241,'Balancete MLN_WebPosto'!$B:$B,$B$2),
  "0"
)</f>
        <v>0</v>
      </c>
    </row>
    <row r="242" spans="1:21" x14ac:dyDescent="0.25">
      <c r="A242" s="2" t="str">
        <f>IF(Dados!H239="","",Dados!H239)</f>
        <v/>
      </c>
      <c r="B242" s="2" t="e">
        <f>VLOOKUP(Balancete_Oficial[[#This Row],[Conta]],'Balancete MLN_WebPosto'!C:E,3,0)</f>
        <v>#N/A</v>
      </c>
      <c r="C242" s="3" t="str">
        <f t="shared" si="12"/>
        <v>Sintética</v>
      </c>
      <c r="D242" s="6" t="str">
        <f t="shared" si="13"/>
        <v>R</v>
      </c>
      <c r="E242" s="6" t="str">
        <f t="shared" si="14"/>
        <v/>
      </c>
      <c r="F242" s="6"/>
      <c r="G242" s="6"/>
      <c r="H242" s="6"/>
      <c r="I242" s="6"/>
      <c r="J242" s="4" t="str">
        <f>IF(Balancete_Oficial[[#Headers],[Janeiro]]='Balancete MLN_WebPosto'!$G$2,
SUMIFS('Balancete MLN_WebPosto'!$J:$J,'Balancete MLN_WebPosto'!$C:$C,$A242,'Balancete MLN_WebPosto'!$B:$B,$B$2),
  "0"
)</f>
        <v>0</v>
      </c>
      <c r="K242" s="4" t="str">
        <f>IF(Balancete_Oficial[[#Headers],[Fevereiro]]='Balancete MLN_WebPosto'!$G$2,
SUMIFS('Balancete MLN_WebPosto'!$J:$J,'Balancete MLN_WebPosto'!$C:$C,$A242,'Balancete MLN_WebPosto'!$B:$B,$B$2),
  "0"
)</f>
        <v>0</v>
      </c>
      <c r="L242" s="4" t="str">
        <f>IF(Balancete_Oficial[[#Headers],[Março]]='Balancete MLN_WebPosto'!$G$2,
SUMIFS('Balancete MLN_WebPosto'!$J:$J,'Balancete MLN_WebPosto'!$C:$C,$A242,'Balancete MLN_WebPosto'!$B:$B,$B$2),
  "0"
)</f>
        <v>0</v>
      </c>
      <c r="M242" s="4" t="str">
        <f>IF(Balancete_Oficial[[#Headers],[Abril]]='Balancete MLN_WebPosto'!$G$2,
SUMIFS('Balancete MLN_WebPosto'!$J:$J,'Balancete MLN_WebPosto'!$C:$C,$A242,'Balancete MLN_WebPosto'!$B:$B,$B$2),
  "0"
)</f>
        <v>0</v>
      </c>
      <c r="N242" s="4" t="str">
        <f>IF(Balancete_Oficial[[#Headers],[Maio]]='Balancete MLN_WebPosto'!$G$2,
SUMIFS('Balancete MLN_WebPosto'!$I:$I,'Balancete MLN_WebPosto'!$C:$C,$A242,'Balancete MLN_WebPosto'!$B:$B,$B$2),
  "0"
)</f>
        <v>0</v>
      </c>
      <c r="O242" s="4" t="str">
        <f>IF(Balancete_Oficial[[#Headers],[Junho]]='Balancete MLN_WebPosto'!$G$2,
SUMIFS('Balancete MLN_WebPosto'!$I:$I,'Balancete MLN_WebPosto'!$C:$C,$A242,'Balancete MLN_WebPosto'!$B:$B,$B$2),
  "0"
)</f>
        <v>0</v>
      </c>
      <c r="P242" s="4" t="str">
        <f>IF(Balancete_Oficial[[#Headers],[Julho]]='Balancete MLN_WebPosto'!$G$2,
SUMIFS('Balancete MLN_WebPosto'!$I:$I,'Balancete MLN_WebPosto'!$C:$C,$A242,'Balancete MLN_WebPosto'!$B:$B,$B$2),
  "0"
)</f>
        <v>0</v>
      </c>
      <c r="Q242" s="4" t="str">
        <f>IF(Balancete_Oficial[[#Headers],[Agosto]]='Balancete MLN_WebPosto'!$G$2,
SUMIFS('Balancete MLN_WebPosto'!$I:$I,'Balancete MLN_WebPosto'!$C:$C,$A242,'Balancete MLN_WebPosto'!$B:$B,$B$2),
  "0"
)</f>
        <v>0</v>
      </c>
      <c r="R242" s="4">
        <f>IF(Balancete_Oficial[[#Headers],[Setembro]]='Balancete MLN_WebPosto'!$G$2,
SUMIFS('Balancete MLN_WebPosto'!$I:$I,'Balancete MLN_WebPosto'!$C:$C,$A242,'Balancete MLN_WebPosto'!$B:$B,$B$2),
  "0"
)</f>
        <v>0</v>
      </c>
      <c r="S242" s="4" t="str">
        <f>IF(Balancete_Oficial[[#Headers],[Outubro]]='Balancete MLN_WebPosto'!$G$2,
SUMIFS('Balancete MLN_WebPosto'!$I:$I,'Balancete MLN_WebPosto'!$C:$C,$A242,'Balancete MLN_WebPosto'!$B:$B,$B$2),
  "0"
)</f>
        <v>0</v>
      </c>
      <c r="T242" s="4" t="str">
        <f>IF(Balancete_Oficial[[#Headers],[Novembro]]='Balancete MLN_WebPosto'!$G$2,
SUMIFS('Balancete MLN_WebPosto'!$I:$I,'Balancete MLN_WebPosto'!$C:$C,$A242,'Balancete MLN_WebPosto'!$B:$B,$B$2),
  "0"
)</f>
        <v>0</v>
      </c>
      <c r="U242" s="4" t="str">
        <f>IF(Balancete_Oficial[[#Headers],[Dezembro]]='Balancete MLN_WebPosto'!$G$2,
SUMIFS('Balancete MLN_WebPosto'!$I:$I,'Balancete MLN_WebPosto'!$C:$C,$A242,'Balancete MLN_WebPosto'!$B:$B,$B$2),
  "0"
)</f>
        <v>0</v>
      </c>
    </row>
    <row r="243" spans="1:21" x14ac:dyDescent="0.25">
      <c r="A243" s="2" t="str">
        <f>IF(Dados!H240="","",Dados!H240)</f>
        <v/>
      </c>
      <c r="B243" s="2" t="e">
        <f>VLOOKUP(Balancete_Oficial[[#This Row],[Conta]],'Balancete MLN_WebPosto'!C:E,3,0)</f>
        <v>#N/A</v>
      </c>
      <c r="C243" s="3" t="str">
        <f t="shared" si="12"/>
        <v>Sintética</v>
      </c>
      <c r="D243" s="6" t="str">
        <f t="shared" si="13"/>
        <v>R</v>
      </c>
      <c r="E243" s="6" t="str">
        <f t="shared" si="14"/>
        <v/>
      </c>
      <c r="F243" s="6"/>
      <c r="G243" s="6"/>
      <c r="H243" s="6"/>
      <c r="I243" s="6"/>
      <c r="J243" s="4" t="str">
        <f>IF(Balancete_Oficial[[#Headers],[Janeiro]]='Balancete MLN_WebPosto'!$G$2,
SUMIFS('Balancete MLN_WebPosto'!$J:$J,'Balancete MLN_WebPosto'!$C:$C,$A243,'Balancete MLN_WebPosto'!$B:$B,$B$2),
  "0"
)</f>
        <v>0</v>
      </c>
      <c r="K243" s="4" t="str">
        <f>IF(Balancete_Oficial[[#Headers],[Fevereiro]]='Balancete MLN_WebPosto'!$G$2,
SUMIFS('Balancete MLN_WebPosto'!$J:$J,'Balancete MLN_WebPosto'!$C:$C,$A243,'Balancete MLN_WebPosto'!$B:$B,$B$2),
  "0"
)</f>
        <v>0</v>
      </c>
      <c r="L243" s="4" t="str">
        <f>IF(Balancete_Oficial[[#Headers],[Março]]='Balancete MLN_WebPosto'!$G$2,
SUMIFS('Balancete MLN_WebPosto'!$J:$J,'Balancete MLN_WebPosto'!$C:$C,$A243,'Balancete MLN_WebPosto'!$B:$B,$B$2),
  "0"
)</f>
        <v>0</v>
      </c>
      <c r="M243" s="4" t="str">
        <f>IF(Balancete_Oficial[[#Headers],[Abril]]='Balancete MLN_WebPosto'!$G$2,
SUMIFS('Balancete MLN_WebPosto'!$J:$J,'Balancete MLN_WebPosto'!$C:$C,$A243,'Balancete MLN_WebPosto'!$B:$B,$B$2),
  "0"
)</f>
        <v>0</v>
      </c>
      <c r="N243" s="4" t="str">
        <f>IF(Balancete_Oficial[[#Headers],[Maio]]='Balancete MLN_WebPosto'!$G$2,
SUMIFS('Balancete MLN_WebPosto'!$I:$I,'Balancete MLN_WebPosto'!$C:$C,$A243,'Balancete MLN_WebPosto'!$B:$B,$B$2),
  "0"
)</f>
        <v>0</v>
      </c>
      <c r="O243" s="4" t="str">
        <f>IF(Balancete_Oficial[[#Headers],[Junho]]='Balancete MLN_WebPosto'!$G$2,
SUMIFS('Balancete MLN_WebPosto'!$I:$I,'Balancete MLN_WebPosto'!$C:$C,$A243,'Balancete MLN_WebPosto'!$B:$B,$B$2),
  "0"
)</f>
        <v>0</v>
      </c>
      <c r="P243" s="4" t="str">
        <f>IF(Balancete_Oficial[[#Headers],[Julho]]='Balancete MLN_WebPosto'!$G$2,
SUMIFS('Balancete MLN_WebPosto'!$I:$I,'Balancete MLN_WebPosto'!$C:$C,$A243,'Balancete MLN_WebPosto'!$B:$B,$B$2),
  "0"
)</f>
        <v>0</v>
      </c>
      <c r="Q243" s="4" t="str">
        <f>IF(Balancete_Oficial[[#Headers],[Agosto]]='Balancete MLN_WebPosto'!$G$2,
SUMIFS('Balancete MLN_WebPosto'!$I:$I,'Balancete MLN_WebPosto'!$C:$C,$A243,'Balancete MLN_WebPosto'!$B:$B,$B$2),
  "0"
)</f>
        <v>0</v>
      </c>
      <c r="R243" s="4">
        <f>IF(Balancete_Oficial[[#Headers],[Setembro]]='Balancete MLN_WebPosto'!$G$2,
SUMIFS('Balancete MLN_WebPosto'!$I:$I,'Balancete MLN_WebPosto'!$C:$C,$A243,'Balancete MLN_WebPosto'!$B:$B,$B$2),
  "0"
)</f>
        <v>0</v>
      </c>
      <c r="S243" s="4" t="str">
        <f>IF(Balancete_Oficial[[#Headers],[Outubro]]='Balancete MLN_WebPosto'!$G$2,
SUMIFS('Balancete MLN_WebPosto'!$I:$I,'Balancete MLN_WebPosto'!$C:$C,$A243,'Balancete MLN_WebPosto'!$B:$B,$B$2),
  "0"
)</f>
        <v>0</v>
      </c>
      <c r="T243" s="4" t="str">
        <f>IF(Balancete_Oficial[[#Headers],[Novembro]]='Balancete MLN_WebPosto'!$G$2,
SUMIFS('Balancete MLN_WebPosto'!$I:$I,'Balancete MLN_WebPosto'!$C:$C,$A243,'Balancete MLN_WebPosto'!$B:$B,$B$2),
  "0"
)</f>
        <v>0</v>
      </c>
      <c r="U243" s="4" t="str">
        <f>IF(Balancete_Oficial[[#Headers],[Dezembro]]='Balancete MLN_WebPosto'!$G$2,
SUMIFS('Balancete MLN_WebPosto'!$I:$I,'Balancete MLN_WebPosto'!$C:$C,$A243,'Balancete MLN_WebPosto'!$B:$B,$B$2),
  "0"
)</f>
        <v>0</v>
      </c>
    </row>
    <row r="244" spans="1:21" x14ac:dyDescent="0.25">
      <c r="A244" s="2" t="str">
        <f>IF(Dados!H241="","",Dados!H241)</f>
        <v/>
      </c>
      <c r="B244" s="2" t="e">
        <f>VLOOKUP(Balancete_Oficial[[#This Row],[Conta]],'Balancete MLN_WebPosto'!C:E,3,0)</f>
        <v>#N/A</v>
      </c>
      <c r="C244" s="3" t="str">
        <f t="shared" si="12"/>
        <v>Sintética</v>
      </c>
      <c r="D244" s="6" t="str">
        <f t="shared" si="13"/>
        <v>R</v>
      </c>
      <c r="E244" s="6" t="str">
        <f t="shared" si="14"/>
        <v/>
      </c>
      <c r="F244" s="6"/>
      <c r="G244" s="6"/>
      <c r="H244" s="6"/>
      <c r="I244" s="6"/>
      <c r="J244" s="4" t="str">
        <f>IF(Balancete_Oficial[[#Headers],[Janeiro]]='Balancete MLN_WebPosto'!$G$2,
SUMIFS('Balancete MLN_WebPosto'!$J:$J,'Balancete MLN_WebPosto'!$C:$C,$A244,'Balancete MLN_WebPosto'!$B:$B,$B$2),
  "0"
)</f>
        <v>0</v>
      </c>
      <c r="K244" s="4" t="str">
        <f>IF(Balancete_Oficial[[#Headers],[Fevereiro]]='Balancete MLN_WebPosto'!$G$2,
SUMIFS('Balancete MLN_WebPosto'!$J:$J,'Balancete MLN_WebPosto'!$C:$C,$A244,'Balancete MLN_WebPosto'!$B:$B,$B$2),
  "0"
)</f>
        <v>0</v>
      </c>
      <c r="L244" s="4" t="str">
        <f>IF(Balancete_Oficial[[#Headers],[Março]]='Balancete MLN_WebPosto'!$G$2,
SUMIFS('Balancete MLN_WebPosto'!$J:$J,'Balancete MLN_WebPosto'!$C:$C,$A244,'Balancete MLN_WebPosto'!$B:$B,$B$2),
  "0"
)</f>
        <v>0</v>
      </c>
      <c r="M244" s="4" t="str">
        <f>IF(Balancete_Oficial[[#Headers],[Abril]]='Balancete MLN_WebPosto'!$G$2,
SUMIFS('Balancete MLN_WebPosto'!$J:$J,'Balancete MLN_WebPosto'!$C:$C,$A244,'Balancete MLN_WebPosto'!$B:$B,$B$2),
  "0"
)</f>
        <v>0</v>
      </c>
      <c r="N244" s="4" t="str">
        <f>IF(Balancete_Oficial[[#Headers],[Maio]]='Balancete MLN_WebPosto'!$G$2,
SUMIFS('Balancete MLN_WebPosto'!$I:$I,'Balancete MLN_WebPosto'!$C:$C,$A244,'Balancete MLN_WebPosto'!$B:$B,$B$2),
  "0"
)</f>
        <v>0</v>
      </c>
      <c r="O244" s="4" t="str">
        <f>IF(Balancete_Oficial[[#Headers],[Junho]]='Balancete MLN_WebPosto'!$G$2,
SUMIFS('Balancete MLN_WebPosto'!$I:$I,'Balancete MLN_WebPosto'!$C:$C,$A244,'Balancete MLN_WebPosto'!$B:$B,$B$2),
  "0"
)</f>
        <v>0</v>
      </c>
      <c r="P244" s="4" t="str">
        <f>IF(Balancete_Oficial[[#Headers],[Julho]]='Balancete MLN_WebPosto'!$G$2,
SUMIFS('Balancete MLN_WebPosto'!$I:$I,'Balancete MLN_WebPosto'!$C:$C,$A244,'Balancete MLN_WebPosto'!$B:$B,$B$2),
  "0"
)</f>
        <v>0</v>
      </c>
      <c r="Q244" s="4" t="str">
        <f>IF(Balancete_Oficial[[#Headers],[Agosto]]='Balancete MLN_WebPosto'!$G$2,
SUMIFS('Balancete MLN_WebPosto'!$I:$I,'Balancete MLN_WebPosto'!$C:$C,$A244,'Balancete MLN_WebPosto'!$B:$B,$B$2),
  "0"
)</f>
        <v>0</v>
      </c>
      <c r="R244" s="4">
        <f>IF(Balancete_Oficial[[#Headers],[Setembro]]='Balancete MLN_WebPosto'!$G$2,
SUMIFS('Balancete MLN_WebPosto'!$I:$I,'Balancete MLN_WebPosto'!$C:$C,$A244,'Balancete MLN_WebPosto'!$B:$B,$B$2),
  "0"
)</f>
        <v>0</v>
      </c>
      <c r="S244" s="4" t="str">
        <f>IF(Balancete_Oficial[[#Headers],[Outubro]]='Balancete MLN_WebPosto'!$G$2,
SUMIFS('Balancete MLN_WebPosto'!$I:$I,'Balancete MLN_WebPosto'!$C:$C,$A244,'Balancete MLN_WebPosto'!$B:$B,$B$2),
  "0"
)</f>
        <v>0</v>
      </c>
      <c r="T244" s="4" t="str">
        <f>IF(Balancete_Oficial[[#Headers],[Novembro]]='Balancete MLN_WebPosto'!$G$2,
SUMIFS('Balancete MLN_WebPosto'!$I:$I,'Balancete MLN_WebPosto'!$C:$C,$A244,'Balancete MLN_WebPosto'!$B:$B,$B$2),
  "0"
)</f>
        <v>0</v>
      </c>
      <c r="U244" s="4" t="str">
        <f>IF(Balancete_Oficial[[#Headers],[Dezembro]]='Balancete MLN_WebPosto'!$G$2,
SUMIFS('Balancete MLN_WebPosto'!$I:$I,'Balancete MLN_WebPosto'!$C:$C,$A244,'Balancete MLN_WebPosto'!$B:$B,$B$2),
  "0"
)</f>
        <v>0</v>
      </c>
    </row>
    <row r="245" spans="1:21" x14ac:dyDescent="0.25">
      <c r="A245" s="2" t="str">
        <f>IF(Dados!H242="","",Dados!H242)</f>
        <v/>
      </c>
      <c r="B245" s="2" t="e">
        <f>VLOOKUP(Balancete_Oficial[[#This Row],[Conta]],'Balancete MLN_WebPosto'!C:E,3,0)</f>
        <v>#N/A</v>
      </c>
      <c r="C245" s="3" t="str">
        <f t="shared" si="12"/>
        <v>Sintética</v>
      </c>
      <c r="D245" s="6" t="str">
        <f t="shared" si="13"/>
        <v>R</v>
      </c>
      <c r="E245" s="6" t="str">
        <f t="shared" si="14"/>
        <v/>
      </c>
      <c r="F245" s="6"/>
      <c r="G245" s="6"/>
      <c r="H245" s="6"/>
      <c r="I245" s="6"/>
      <c r="J245" s="4" t="str">
        <f>IF(Balancete_Oficial[[#Headers],[Janeiro]]='Balancete MLN_WebPosto'!$G$2,
SUMIFS('Balancete MLN_WebPosto'!$J:$J,'Balancete MLN_WebPosto'!$C:$C,$A245,'Balancete MLN_WebPosto'!$B:$B,$B$2),
  "0"
)</f>
        <v>0</v>
      </c>
      <c r="K245" s="4" t="str">
        <f>IF(Balancete_Oficial[[#Headers],[Fevereiro]]='Balancete MLN_WebPosto'!$G$2,
SUMIFS('Balancete MLN_WebPosto'!$J:$J,'Balancete MLN_WebPosto'!$C:$C,$A245,'Balancete MLN_WebPosto'!$B:$B,$B$2),
  "0"
)</f>
        <v>0</v>
      </c>
      <c r="L245" s="4" t="str">
        <f>IF(Balancete_Oficial[[#Headers],[Março]]='Balancete MLN_WebPosto'!$G$2,
SUMIFS('Balancete MLN_WebPosto'!$J:$J,'Balancete MLN_WebPosto'!$C:$C,$A245,'Balancete MLN_WebPosto'!$B:$B,$B$2),
  "0"
)</f>
        <v>0</v>
      </c>
      <c r="M245" s="4" t="str">
        <f>IF(Balancete_Oficial[[#Headers],[Abril]]='Balancete MLN_WebPosto'!$G$2,
SUMIFS('Balancete MLN_WebPosto'!$J:$J,'Balancete MLN_WebPosto'!$C:$C,$A245,'Balancete MLN_WebPosto'!$B:$B,$B$2),
  "0"
)</f>
        <v>0</v>
      </c>
      <c r="N245" s="4" t="str">
        <f>IF(Balancete_Oficial[[#Headers],[Maio]]='Balancete MLN_WebPosto'!$G$2,
SUMIFS('Balancete MLN_WebPosto'!$I:$I,'Balancete MLN_WebPosto'!$C:$C,$A245,'Balancete MLN_WebPosto'!$B:$B,$B$2),
  "0"
)</f>
        <v>0</v>
      </c>
      <c r="O245" s="4" t="str">
        <f>IF(Balancete_Oficial[[#Headers],[Junho]]='Balancete MLN_WebPosto'!$G$2,
SUMIFS('Balancete MLN_WebPosto'!$I:$I,'Balancete MLN_WebPosto'!$C:$C,$A245,'Balancete MLN_WebPosto'!$B:$B,$B$2),
  "0"
)</f>
        <v>0</v>
      </c>
      <c r="P245" s="4" t="str">
        <f>IF(Balancete_Oficial[[#Headers],[Julho]]='Balancete MLN_WebPosto'!$G$2,
SUMIFS('Balancete MLN_WebPosto'!$I:$I,'Balancete MLN_WebPosto'!$C:$C,$A245,'Balancete MLN_WebPosto'!$B:$B,$B$2),
  "0"
)</f>
        <v>0</v>
      </c>
      <c r="Q245" s="4" t="str">
        <f>IF(Balancete_Oficial[[#Headers],[Agosto]]='Balancete MLN_WebPosto'!$G$2,
SUMIFS('Balancete MLN_WebPosto'!$I:$I,'Balancete MLN_WebPosto'!$C:$C,$A245,'Balancete MLN_WebPosto'!$B:$B,$B$2),
  "0"
)</f>
        <v>0</v>
      </c>
      <c r="R245" s="4">
        <f>IF(Balancete_Oficial[[#Headers],[Setembro]]='Balancete MLN_WebPosto'!$G$2,
SUMIFS('Balancete MLN_WebPosto'!$I:$I,'Balancete MLN_WebPosto'!$C:$C,$A245,'Balancete MLN_WebPosto'!$B:$B,$B$2),
  "0"
)</f>
        <v>0</v>
      </c>
      <c r="S245" s="4" t="str">
        <f>IF(Balancete_Oficial[[#Headers],[Outubro]]='Balancete MLN_WebPosto'!$G$2,
SUMIFS('Balancete MLN_WebPosto'!$I:$I,'Balancete MLN_WebPosto'!$C:$C,$A245,'Balancete MLN_WebPosto'!$B:$B,$B$2),
  "0"
)</f>
        <v>0</v>
      </c>
      <c r="T245" s="4" t="str">
        <f>IF(Balancete_Oficial[[#Headers],[Novembro]]='Balancete MLN_WebPosto'!$G$2,
SUMIFS('Balancete MLN_WebPosto'!$I:$I,'Balancete MLN_WebPosto'!$C:$C,$A245,'Balancete MLN_WebPosto'!$B:$B,$B$2),
  "0"
)</f>
        <v>0</v>
      </c>
      <c r="U245" s="4" t="str">
        <f>IF(Balancete_Oficial[[#Headers],[Dezembro]]='Balancete MLN_WebPosto'!$G$2,
SUMIFS('Balancete MLN_WebPosto'!$I:$I,'Balancete MLN_WebPosto'!$C:$C,$A245,'Balancete MLN_WebPosto'!$B:$B,$B$2),
  "0"
)</f>
        <v>0</v>
      </c>
    </row>
    <row r="246" spans="1:21" x14ac:dyDescent="0.25">
      <c r="A246" s="2" t="str">
        <f>IF(Dados!H243="","",Dados!H243)</f>
        <v/>
      </c>
      <c r="B246" s="2" t="e">
        <f>VLOOKUP(Balancete_Oficial[[#This Row],[Conta]],'Balancete MLN_WebPosto'!C:E,3,0)</f>
        <v>#N/A</v>
      </c>
      <c r="C246" s="3" t="str">
        <f t="shared" si="12"/>
        <v>Sintética</v>
      </c>
      <c r="D246" s="6" t="str">
        <f t="shared" si="13"/>
        <v>R</v>
      </c>
      <c r="E246" s="6" t="str">
        <f t="shared" si="14"/>
        <v/>
      </c>
      <c r="F246" s="6"/>
      <c r="G246" s="6"/>
      <c r="H246" s="6"/>
      <c r="I246" s="6"/>
      <c r="J246" s="4" t="str">
        <f>IF(Balancete_Oficial[[#Headers],[Janeiro]]='Balancete MLN_WebPosto'!$G$2,
SUMIFS('Balancete MLN_WebPosto'!$J:$J,'Balancete MLN_WebPosto'!$C:$C,$A246,'Balancete MLN_WebPosto'!$B:$B,$B$2),
  "0"
)</f>
        <v>0</v>
      </c>
      <c r="K246" s="4" t="str">
        <f>IF(Balancete_Oficial[[#Headers],[Fevereiro]]='Balancete MLN_WebPosto'!$G$2,
SUMIFS('Balancete MLN_WebPosto'!$J:$J,'Balancete MLN_WebPosto'!$C:$C,$A246,'Balancete MLN_WebPosto'!$B:$B,$B$2),
  "0"
)</f>
        <v>0</v>
      </c>
      <c r="L246" s="4" t="str">
        <f>IF(Balancete_Oficial[[#Headers],[Março]]='Balancete MLN_WebPosto'!$G$2,
SUMIFS('Balancete MLN_WebPosto'!$J:$J,'Balancete MLN_WebPosto'!$C:$C,$A246,'Balancete MLN_WebPosto'!$B:$B,$B$2),
  "0"
)</f>
        <v>0</v>
      </c>
      <c r="M246" s="4" t="str">
        <f>IF(Balancete_Oficial[[#Headers],[Abril]]='Balancete MLN_WebPosto'!$G$2,
SUMIFS('Balancete MLN_WebPosto'!$J:$J,'Balancete MLN_WebPosto'!$C:$C,$A246,'Balancete MLN_WebPosto'!$B:$B,$B$2),
  "0"
)</f>
        <v>0</v>
      </c>
      <c r="N246" s="4" t="str">
        <f>IF(Balancete_Oficial[[#Headers],[Maio]]='Balancete MLN_WebPosto'!$G$2,
SUMIFS('Balancete MLN_WebPosto'!$I:$I,'Balancete MLN_WebPosto'!$C:$C,$A246,'Balancete MLN_WebPosto'!$B:$B,$B$2),
  "0"
)</f>
        <v>0</v>
      </c>
      <c r="O246" s="4" t="str">
        <f>IF(Balancete_Oficial[[#Headers],[Junho]]='Balancete MLN_WebPosto'!$G$2,
SUMIFS('Balancete MLN_WebPosto'!$I:$I,'Balancete MLN_WebPosto'!$C:$C,$A246,'Balancete MLN_WebPosto'!$B:$B,$B$2),
  "0"
)</f>
        <v>0</v>
      </c>
      <c r="P246" s="4" t="str">
        <f>IF(Balancete_Oficial[[#Headers],[Julho]]='Balancete MLN_WebPosto'!$G$2,
SUMIFS('Balancete MLN_WebPosto'!$I:$I,'Balancete MLN_WebPosto'!$C:$C,$A246,'Balancete MLN_WebPosto'!$B:$B,$B$2),
  "0"
)</f>
        <v>0</v>
      </c>
      <c r="Q246" s="4" t="str">
        <f>IF(Balancete_Oficial[[#Headers],[Agosto]]='Balancete MLN_WebPosto'!$G$2,
SUMIFS('Balancete MLN_WebPosto'!$I:$I,'Balancete MLN_WebPosto'!$C:$C,$A246,'Balancete MLN_WebPosto'!$B:$B,$B$2),
  "0"
)</f>
        <v>0</v>
      </c>
      <c r="R246" s="4">
        <f>IF(Balancete_Oficial[[#Headers],[Setembro]]='Balancete MLN_WebPosto'!$G$2,
SUMIFS('Balancete MLN_WebPosto'!$I:$I,'Balancete MLN_WebPosto'!$C:$C,$A246,'Balancete MLN_WebPosto'!$B:$B,$B$2),
  "0"
)</f>
        <v>0</v>
      </c>
      <c r="S246" s="4" t="str">
        <f>IF(Balancete_Oficial[[#Headers],[Outubro]]='Balancete MLN_WebPosto'!$G$2,
SUMIFS('Balancete MLN_WebPosto'!$I:$I,'Balancete MLN_WebPosto'!$C:$C,$A246,'Balancete MLN_WebPosto'!$B:$B,$B$2),
  "0"
)</f>
        <v>0</v>
      </c>
      <c r="T246" s="4" t="str">
        <f>IF(Balancete_Oficial[[#Headers],[Novembro]]='Balancete MLN_WebPosto'!$G$2,
SUMIFS('Balancete MLN_WebPosto'!$I:$I,'Balancete MLN_WebPosto'!$C:$C,$A246,'Balancete MLN_WebPosto'!$B:$B,$B$2),
  "0"
)</f>
        <v>0</v>
      </c>
      <c r="U246" s="4" t="str">
        <f>IF(Balancete_Oficial[[#Headers],[Dezembro]]='Balancete MLN_WebPosto'!$G$2,
SUMIFS('Balancete MLN_WebPosto'!$I:$I,'Balancete MLN_WebPosto'!$C:$C,$A246,'Balancete MLN_WebPosto'!$B:$B,$B$2),
  "0"
)</f>
        <v>0</v>
      </c>
    </row>
    <row r="247" spans="1:21" x14ac:dyDescent="0.25">
      <c r="A247" s="2" t="str">
        <f>IF(Dados!H244="","",Dados!H244)</f>
        <v/>
      </c>
      <c r="B247" s="2" t="e">
        <f>VLOOKUP(Balancete_Oficial[[#This Row],[Conta]],'Balancete MLN_WebPosto'!C:E,3,0)</f>
        <v>#N/A</v>
      </c>
      <c r="C247" s="3" t="str">
        <f t="shared" si="12"/>
        <v>Sintética</v>
      </c>
      <c r="D247" s="6" t="str">
        <f t="shared" si="13"/>
        <v>R</v>
      </c>
      <c r="E247" s="6" t="str">
        <f t="shared" si="14"/>
        <v/>
      </c>
      <c r="F247" s="6"/>
      <c r="G247" s="6"/>
      <c r="H247" s="6"/>
      <c r="I247" s="6"/>
      <c r="J247" s="4" t="str">
        <f>IF(Balancete_Oficial[[#Headers],[Janeiro]]='Balancete MLN_WebPosto'!$G$2,
SUMIFS('Balancete MLN_WebPosto'!$J:$J,'Balancete MLN_WebPosto'!$C:$C,$A247,'Balancete MLN_WebPosto'!$B:$B,$B$2),
  "0"
)</f>
        <v>0</v>
      </c>
      <c r="K247" s="4" t="str">
        <f>IF(Balancete_Oficial[[#Headers],[Fevereiro]]='Balancete MLN_WebPosto'!$G$2,
SUMIFS('Balancete MLN_WebPosto'!$J:$J,'Balancete MLN_WebPosto'!$C:$C,$A247,'Balancete MLN_WebPosto'!$B:$B,$B$2),
  "0"
)</f>
        <v>0</v>
      </c>
      <c r="L247" s="4" t="str">
        <f>IF(Balancete_Oficial[[#Headers],[Março]]='Balancete MLN_WebPosto'!$G$2,
SUMIFS('Balancete MLN_WebPosto'!$J:$J,'Balancete MLN_WebPosto'!$C:$C,$A247,'Balancete MLN_WebPosto'!$B:$B,$B$2),
  "0"
)</f>
        <v>0</v>
      </c>
      <c r="M247" s="4" t="str">
        <f>IF(Balancete_Oficial[[#Headers],[Abril]]='Balancete MLN_WebPosto'!$G$2,
SUMIFS('Balancete MLN_WebPosto'!$J:$J,'Balancete MLN_WebPosto'!$C:$C,$A247,'Balancete MLN_WebPosto'!$B:$B,$B$2),
  "0"
)</f>
        <v>0</v>
      </c>
      <c r="N247" s="4" t="str">
        <f>IF(Balancete_Oficial[[#Headers],[Maio]]='Balancete MLN_WebPosto'!$G$2,
SUMIFS('Balancete MLN_WebPosto'!$I:$I,'Balancete MLN_WebPosto'!$C:$C,$A247,'Balancete MLN_WebPosto'!$B:$B,$B$2),
  "0"
)</f>
        <v>0</v>
      </c>
      <c r="O247" s="4" t="str">
        <f>IF(Balancete_Oficial[[#Headers],[Junho]]='Balancete MLN_WebPosto'!$G$2,
SUMIFS('Balancete MLN_WebPosto'!$I:$I,'Balancete MLN_WebPosto'!$C:$C,$A247,'Balancete MLN_WebPosto'!$B:$B,$B$2),
  "0"
)</f>
        <v>0</v>
      </c>
      <c r="P247" s="4" t="str">
        <f>IF(Balancete_Oficial[[#Headers],[Julho]]='Balancete MLN_WebPosto'!$G$2,
SUMIFS('Balancete MLN_WebPosto'!$I:$I,'Balancete MLN_WebPosto'!$C:$C,$A247,'Balancete MLN_WebPosto'!$B:$B,$B$2),
  "0"
)</f>
        <v>0</v>
      </c>
      <c r="Q247" s="4" t="str">
        <f>IF(Balancete_Oficial[[#Headers],[Agosto]]='Balancete MLN_WebPosto'!$G$2,
SUMIFS('Balancete MLN_WebPosto'!$I:$I,'Balancete MLN_WebPosto'!$C:$C,$A247,'Balancete MLN_WebPosto'!$B:$B,$B$2),
  "0"
)</f>
        <v>0</v>
      </c>
      <c r="R247" s="4">
        <f>IF(Balancete_Oficial[[#Headers],[Setembro]]='Balancete MLN_WebPosto'!$G$2,
SUMIFS('Balancete MLN_WebPosto'!$I:$I,'Balancete MLN_WebPosto'!$C:$C,$A247,'Balancete MLN_WebPosto'!$B:$B,$B$2),
  "0"
)</f>
        <v>0</v>
      </c>
      <c r="S247" s="4" t="str">
        <f>IF(Balancete_Oficial[[#Headers],[Outubro]]='Balancete MLN_WebPosto'!$G$2,
SUMIFS('Balancete MLN_WebPosto'!$I:$I,'Balancete MLN_WebPosto'!$C:$C,$A247,'Balancete MLN_WebPosto'!$B:$B,$B$2),
  "0"
)</f>
        <v>0</v>
      </c>
      <c r="T247" s="4" t="str">
        <f>IF(Balancete_Oficial[[#Headers],[Novembro]]='Balancete MLN_WebPosto'!$G$2,
SUMIFS('Balancete MLN_WebPosto'!$I:$I,'Balancete MLN_WebPosto'!$C:$C,$A247,'Balancete MLN_WebPosto'!$B:$B,$B$2),
  "0"
)</f>
        <v>0</v>
      </c>
      <c r="U247" s="4" t="str">
        <f>IF(Balancete_Oficial[[#Headers],[Dezembro]]='Balancete MLN_WebPosto'!$G$2,
SUMIFS('Balancete MLN_WebPosto'!$I:$I,'Balancete MLN_WebPosto'!$C:$C,$A247,'Balancete MLN_WebPosto'!$B:$B,$B$2),
  "0"
)</f>
        <v>0</v>
      </c>
    </row>
    <row r="248" spans="1:21" x14ac:dyDescent="0.25">
      <c r="A248" s="2" t="str">
        <f>IF(Dados!H245="","",Dados!H245)</f>
        <v/>
      </c>
      <c r="B248" s="2" t="e">
        <f>VLOOKUP(Balancete_Oficial[[#This Row],[Conta]],'Balancete MLN_WebPosto'!C:E,3,0)</f>
        <v>#N/A</v>
      </c>
      <c r="C248" s="3" t="str">
        <f t="shared" si="12"/>
        <v>Sintética</v>
      </c>
      <c r="D248" s="6" t="str">
        <f t="shared" si="13"/>
        <v>R</v>
      </c>
      <c r="E248" s="6" t="str">
        <f t="shared" si="14"/>
        <v/>
      </c>
      <c r="F248" s="6"/>
      <c r="G248" s="6"/>
      <c r="H248" s="6"/>
      <c r="I248" s="6"/>
      <c r="J248" s="4" t="str">
        <f>IF(Balancete_Oficial[[#Headers],[Janeiro]]='Balancete MLN_WebPosto'!$G$2,
SUMIFS('Balancete MLN_WebPosto'!$J:$J,'Balancete MLN_WebPosto'!$C:$C,$A248,'Balancete MLN_WebPosto'!$B:$B,$B$2),
  "0"
)</f>
        <v>0</v>
      </c>
      <c r="K248" s="4" t="str">
        <f>IF(Balancete_Oficial[[#Headers],[Fevereiro]]='Balancete MLN_WebPosto'!$G$2,
SUMIFS('Balancete MLN_WebPosto'!$J:$J,'Balancete MLN_WebPosto'!$C:$C,$A248,'Balancete MLN_WebPosto'!$B:$B,$B$2),
  "0"
)</f>
        <v>0</v>
      </c>
      <c r="L248" s="4" t="str">
        <f>IF(Balancete_Oficial[[#Headers],[Março]]='Balancete MLN_WebPosto'!$G$2,
SUMIFS('Balancete MLN_WebPosto'!$J:$J,'Balancete MLN_WebPosto'!$C:$C,$A248,'Balancete MLN_WebPosto'!$B:$B,$B$2),
  "0"
)</f>
        <v>0</v>
      </c>
      <c r="M248" s="4" t="str">
        <f>IF(Balancete_Oficial[[#Headers],[Abril]]='Balancete MLN_WebPosto'!$G$2,
SUMIFS('Balancete MLN_WebPosto'!$J:$J,'Balancete MLN_WebPosto'!$C:$C,$A248,'Balancete MLN_WebPosto'!$B:$B,$B$2),
  "0"
)</f>
        <v>0</v>
      </c>
      <c r="N248" s="4" t="str">
        <f>IF(Balancete_Oficial[[#Headers],[Maio]]='Balancete MLN_WebPosto'!$G$2,
SUMIFS('Balancete MLN_WebPosto'!$I:$I,'Balancete MLN_WebPosto'!$C:$C,$A248,'Balancete MLN_WebPosto'!$B:$B,$B$2),
  "0"
)</f>
        <v>0</v>
      </c>
      <c r="O248" s="4" t="str">
        <f>IF(Balancete_Oficial[[#Headers],[Junho]]='Balancete MLN_WebPosto'!$G$2,
SUMIFS('Balancete MLN_WebPosto'!$I:$I,'Balancete MLN_WebPosto'!$C:$C,$A248,'Balancete MLN_WebPosto'!$B:$B,$B$2),
  "0"
)</f>
        <v>0</v>
      </c>
      <c r="P248" s="4" t="str">
        <f>IF(Balancete_Oficial[[#Headers],[Julho]]='Balancete MLN_WebPosto'!$G$2,
SUMIFS('Balancete MLN_WebPosto'!$I:$I,'Balancete MLN_WebPosto'!$C:$C,$A248,'Balancete MLN_WebPosto'!$B:$B,$B$2),
  "0"
)</f>
        <v>0</v>
      </c>
      <c r="Q248" s="4" t="str">
        <f>IF(Balancete_Oficial[[#Headers],[Agosto]]='Balancete MLN_WebPosto'!$G$2,
SUMIFS('Balancete MLN_WebPosto'!$I:$I,'Balancete MLN_WebPosto'!$C:$C,$A248,'Balancete MLN_WebPosto'!$B:$B,$B$2),
  "0"
)</f>
        <v>0</v>
      </c>
      <c r="R248" s="4">
        <f>IF(Balancete_Oficial[[#Headers],[Setembro]]='Balancete MLN_WebPosto'!$G$2,
SUMIFS('Balancete MLN_WebPosto'!$I:$I,'Balancete MLN_WebPosto'!$C:$C,$A248,'Balancete MLN_WebPosto'!$B:$B,$B$2),
  "0"
)</f>
        <v>0</v>
      </c>
      <c r="S248" s="4" t="str">
        <f>IF(Balancete_Oficial[[#Headers],[Outubro]]='Balancete MLN_WebPosto'!$G$2,
SUMIFS('Balancete MLN_WebPosto'!$I:$I,'Balancete MLN_WebPosto'!$C:$C,$A248,'Balancete MLN_WebPosto'!$B:$B,$B$2),
  "0"
)</f>
        <v>0</v>
      </c>
      <c r="T248" s="4" t="str">
        <f>IF(Balancete_Oficial[[#Headers],[Novembro]]='Balancete MLN_WebPosto'!$G$2,
SUMIFS('Balancete MLN_WebPosto'!$I:$I,'Balancete MLN_WebPosto'!$C:$C,$A248,'Balancete MLN_WebPosto'!$B:$B,$B$2),
  "0"
)</f>
        <v>0</v>
      </c>
      <c r="U248" s="4" t="str">
        <f>IF(Balancete_Oficial[[#Headers],[Dezembro]]='Balancete MLN_WebPosto'!$G$2,
SUMIFS('Balancete MLN_WebPosto'!$I:$I,'Balancete MLN_WebPosto'!$C:$C,$A248,'Balancete MLN_WebPosto'!$B:$B,$B$2),
  "0"
)</f>
        <v>0</v>
      </c>
    </row>
    <row r="249" spans="1:21" x14ac:dyDescent="0.25">
      <c r="A249" s="2" t="str">
        <f>IF(Dados!H246="","",Dados!H246)</f>
        <v/>
      </c>
      <c r="B249" s="2" t="e">
        <f>VLOOKUP(Balancete_Oficial[[#This Row],[Conta]],'Balancete MLN_WebPosto'!C:E,3,0)</f>
        <v>#N/A</v>
      </c>
      <c r="C249" s="3" t="str">
        <f t="shared" si="12"/>
        <v>Sintética</v>
      </c>
      <c r="D249" s="6" t="str">
        <f t="shared" si="13"/>
        <v>R</v>
      </c>
      <c r="E249" s="6" t="str">
        <f t="shared" si="14"/>
        <v/>
      </c>
      <c r="F249" s="6"/>
      <c r="G249" s="6"/>
      <c r="H249" s="6"/>
      <c r="I249" s="6"/>
      <c r="J249" s="4" t="str">
        <f>IF(Balancete_Oficial[[#Headers],[Janeiro]]='Balancete MLN_WebPosto'!$G$2,
SUMIFS('Balancete MLN_WebPosto'!$J:$J,'Balancete MLN_WebPosto'!$C:$C,$A249,'Balancete MLN_WebPosto'!$B:$B,$B$2),
  "0"
)</f>
        <v>0</v>
      </c>
      <c r="K249" s="4" t="str">
        <f>IF(Balancete_Oficial[[#Headers],[Fevereiro]]='Balancete MLN_WebPosto'!$G$2,
SUMIFS('Balancete MLN_WebPosto'!$J:$J,'Balancete MLN_WebPosto'!$C:$C,$A249,'Balancete MLN_WebPosto'!$B:$B,$B$2),
  "0"
)</f>
        <v>0</v>
      </c>
      <c r="L249" s="4" t="str">
        <f>IF(Balancete_Oficial[[#Headers],[Março]]='Balancete MLN_WebPosto'!$G$2,
SUMIFS('Balancete MLN_WebPosto'!$J:$J,'Balancete MLN_WebPosto'!$C:$C,$A249,'Balancete MLN_WebPosto'!$B:$B,$B$2),
  "0"
)</f>
        <v>0</v>
      </c>
      <c r="M249" s="4" t="str">
        <f>IF(Balancete_Oficial[[#Headers],[Abril]]='Balancete MLN_WebPosto'!$G$2,
SUMIFS('Balancete MLN_WebPosto'!$J:$J,'Balancete MLN_WebPosto'!$C:$C,$A249,'Balancete MLN_WebPosto'!$B:$B,$B$2),
  "0"
)</f>
        <v>0</v>
      </c>
      <c r="N249" s="4" t="str">
        <f>IF(Balancete_Oficial[[#Headers],[Maio]]='Balancete MLN_WebPosto'!$G$2,
SUMIFS('Balancete MLN_WebPosto'!$I:$I,'Balancete MLN_WebPosto'!$C:$C,$A249,'Balancete MLN_WebPosto'!$B:$B,$B$2),
  "0"
)</f>
        <v>0</v>
      </c>
      <c r="O249" s="4" t="str">
        <f>IF(Balancete_Oficial[[#Headers],[Junho]]='Balancete MLN_WebPosto'!$G$2,
SUMIFS('Balancete MLN_WebPosto'!$I:$I,'Balancete MLN_WebPosto'!$C:$C,$A249,'Balancete MLN_WebPosto'!$B:$B,$B$2),
  "0"
)</f>
        <v>0</v>
      </c>
      <c r="P249" s="4" t="str">
        <f>IF(Balancete_Oficial[[#Headers],[Julho]]='Balancete MLN_WebPosto'!$G$2,
SUMIFS('Balancete MLN_WebPosto'!$I:$I,'Balancete MLN_WebPosto'!$C:$C,$A249,'Balancete MLN_WebPosto'!$B:$B,$B$2),
  "0"
)</f>
        <v>0</v>
      </c>
      <c r="Q249" s="4" t="str">
        <f>IF(Balancete_Oficial[[#Headers],[Agosto]]='Balancete MLN_WebPosto'!$G$2,
SUMIFS('Balancete MLN_WebPosto'!$I:$I,'Balancete MLN_WebPosto'!$C:$C,$A249,'Balancete MLN_WebPosto'!$B:$B,$B$2),
  "0"
)</f>
        <v>0</v>
      </c>
      <c r="R249" s="4">
        <f>IF(Balancete_Oficial[[#Headers],[Setembro]]='Balancete MLN_WebPosto'!$G$2,
SUMIFS('Balancete MLN_WebPosto'!$I:$I,'Balancete MLN_WebPosto'!$C:$C,$A249,'Balancete MLN_WebPosto'!$B:$B,$B$2),
  "0"
)</f>
        <v>0</v>
      </c>
      <c r="S249" s="4" t="str">
        <f>IF(Balancete_Oficial[[#Headers],[Outubro]]='Balancete MLN_WebPosto'!$G$2,
SUMIFS('Balancete MLN_WebPosto'!$I:$I,'Balancete MLN_WebPosto'!$C:$C,$A249,'Balancete MLN_WebPosto'!$B:$B,$B$2),
  "0"
)</f>
        <v>0</v>
      </c>
      <c r="T249" s="4" t="str">
        <f>IF(Balancete_Oficial[[#Headers],[Novembro]]='Balancete MLN_WebPosto'!$G$2,
SUMIFS('Balancete MLN_WebPosto'!$I:$I,'Balancete MLN_WebPosto'!$C:$C,$A249,'Balancete MLN_WebPosto'!$B:$B,$B$2),
  "0"
)</f>
        <v>0</v>
      </c>
      <c r="U249" s="4" t="str">
        <f>IF(Balancete_Oficial[[#Headers],[Dezembro]]='Balancete MLN_WebPosto'!$G$2,
SUMIFS('Balancete MLN_WebPosto'!$I:$I,'Balancete MLN_WebPosto'!$C:$C,$A249,'Balancete MLN_WebPosto'!$B:$B,$B$2),
  "0"
)</f>
        <v>0</v>
      </c>
    </row>
    <row r="250" spans="1:21" x14ac:dyDescent="0.25">
      <c r="A250" s="2" t="str">
        <f>IF(Dados!H247="","",Dados!H247)</f>
        <v/>
      </c>
      <c r="B250" s="2" t="e">
        <f>VLOOKUP(Balancete_Oficial[[#This Row],[Conta]],'Balancete MLN_WebPosto'!C:E,3,0)</f>
        <v>#N/A</v>
      </c>
      <c r="C250" s="3" t="str">
        <f t="shared" si="12"/>
        <v>Sintética</v>
      </c>
      <c r="D250" s="6" t="str">
        <f t="shared" si="13"/>
        <v>R</v>
      </c>
      <c r="E250" s="6" t="str">
        <f t="shared" si="14"/>
        <v/>
      </c>
      <c r="F250" s="6"/>
      <c r="G250" s="6"/>
      <c r="H250" s="6"/>
      <c r="I250" s="6"/>
      <c r="J250" s="4" t="str">
        <f>IF(Balancete_Oficial[[#Headers],[Janeiro]]='Balancete MLN_WebPosto'!$G$2,
SUMIFS('Balancete MLN_WebPosto'!$J:$J,'Balancete MLN_WebPosto'!$C:$C,$A250,'Balancete MLN_WebPosto'!$B:$B,$B$2),
  "0"
)</f>
        <v>0</v>
      </c>
      <c r="K250" s="4" t="str">
        <f>IF(Balancete_Oficial[[#Headers],[Fevereiro]]='Balancete MLN_WebPosto'!$G$2,
SUMIFS('Balancete MLN_WebPosto'!$J:$J,'Balancete MLN_WebPosto'!$C:$C,$A250,'Balancete MLN_WebPosto'!$B:$B,$B$2),
  "0"
)</f>
        <v>0</v>
      </c>
      <c r="L250" s="4" t="str">
        <f>IF(Balancete_Oficial[[#Headers],[Março]]='Balancete MLN_WebPosto'!$G$2,
SUMIFS('Balancete MLN_WebPosto'!$J:$J,'Balancete MLN_WebPosto'!$C:$C,$A250,'Balancete MLN_WebPosto'!$B:$B,$B$2),
  "0"
)</f>
        <v>0</v>
      </c>
      <c r="M250" s="4" t="str">
        <f>IF(Balancete_Oficial[[#Headers],[Abril]]='Balancete MLN_WebPosto'!$G$2,
SUMIFS('Balancete MLN_WebPosto'!$J:$J,'Balancete MLN_WebPosto'!$C:$C,$A250,'Balancete MLN_WebPosto'!$B:$B,$B$2),
  "0"
)</f>
        <v>0</v>
      </c>
      <c r="N250" s="4" t="str">
        <f>IF(Balancete_Oficial[[#Headers],[Maio]]='Balancete MLN_WebPosto'!$G$2,
SUMIFS('Balancete MLN_WebPosto'!$I:$I,'Balancete MLN_WebPosto'!$C:$C,$A250,'Balancete MLN_WebPosto'!$B:$B,$B$2),
  "0"
)</f>
        <v>0</v>
      </c>
      <c r="O250" s="4" t="str">
        <f>IF(Balancete_Oficial[[#Headers],[Junho]]='Balancete MLN_WebPosto'!$G$2,
SUMIFS('Balancete MLN_WebPosto'!$I:$I,'Balancete MLN_WebPosto'!$C:$C,$A250,'Balancete MLN_WebPosto'!$B:$B,$B$2),
  "0"
)</f>
        <v>0</v>
      </c>
      <c r="P250" s="4" t="str">
        <f>IF(Balancete_Oficial[[#Headers],[Julho]]='Balancete MLN_WebPosto'!$G$2,
SUMIFS('Balancete MLN_WebPosto'!$I:$I,'Balancete MLN_WebPosto'!$C:$C,$A250,'Balancete MLN_WebPosto'!$B:$B,$B$2),
  "0"
)</f>
        <v>0</v>
      </c>
      <c r="Q250" s="4" t="str">
        <f>IF(Balancete_Oficial[[#Headers],[Agosto]]='Balancete MLN_WebPosto'!$G$2,
SUMIFS('Balancete MLN_WebPosto'!$I:$I,'Balancete MLN_WebPosto'!$C:$C,$A250,'Balancete MLN_WebPosto'!$B:$B,$B$2),
  "0"
)</f>
        <v>0</v>
      </c>
      <c r="R250" s="4">
        <f>IF(Balancete_Oficial[[#Headers],[Setembro]]='Balancete MLN_WebPosto'!$G$2,
SUMIFS('Balancete MLN_WebPosto'!$I:$I,'Balancete MLN_WebPosto'!$C:$C,$A250,'Balancete MLN_WebPosto'!$B:$B,$B$2),
  "0"
)</f>
        <v>0</v>
      </c>
      <c r="S250" s="4" t="str">
        <f>IF(Balancete_Oficial[[#Headers],[Outubro]]='Balancete MLN_WebPosto'!$G$2,
SUMIFS('Balancete MLN_WebPosto'!$I:$I,'Balancete MLN_WebPosto'!$C:$C,$A250,'Balancete MLN_WebPosto'!$B:$B,$B$2),
  "0"
)</f>
        <v>0</v>
      </c>
      <c r="T250" s="4" t="str">
        <f>IF(Balancete_Oficial[[#Headers],[Novembro]]='Balancete MLN_WebPosto'!$G$2,
SUMIFS('Balancete MLN_WebPosto'!$I:$I,'Balancete MLN_WebPosto'!$C:$C,$A250,'Balancete MLN_WebPosto'!$B:$B,$B$2),
  "0"
)</f>
        <v>0</v>
      </c>
      <c r="U250" s="4" t="str">
        <f>IF(Balancete_Oficial[[#Headers],[Dezembro]]='Balancete MLN_WebPosto'!$G$2,
SUMIFS('Balancete MLN_WebPosto'!$I:$I,'Balancete MLN_WebPosto'!$C:$C,$A250,'Balancete MLN_WebPosto'!$B:$B,$B$2),
  "0"
)</f>
        <v>0</v>
      </c>
    </row>
    <row r="251" spans="1:21" x14ac:dyDescent="0.25">
      <c r="A251" s="2" t="str">
        <f>IF(Dados!H248="","",Dados!H248)</f>
        <v/>
      </c>
      <c r="B251" s="2" t="e">
        <f>VLOOKUP(Balancete_Oficial[[#This Row],[Conta]],'Balancete MLN_WebPosto'!C:E,3,0)</f>
        <v>#N/A</v>
      </c>
      <c r="C251" s="3" t="str">
        <f t="shared" si="12"/>
        <v>Sintética</v>
      </c>
      <c r="D251" s="6" t="str">
        <f t="shared" si="13"/>
        <v>R</v>
      </c>
      <c r="E251" s="6" t="str">
        <f t="shared" si="14"/>
        <v/>
      </c>
      <c r="F251" s="6"/>
      <c r="G251" s="6"/>
      <c r="H251" s="6"/>
      <c r="I251" s="6"/>
      <c r="J251" s="4" t="str">
        <f>IF(Balancete_Oficial[[#Headers],[Janeiro]]='Balancete MLN_WebPosto'!$G$2,
SUMIFS('Balancete MLN_WebPosto'!$J:$J,'Balancete MLN_WebPosto'!$C:$C,$A251,'Balancete MLN_WebPosto'!$B:$B,$B$2),
  "0"
)</f>
        <v>0</v>
      </c>
      <c r="K251" s="4" t="str">
        <f>IF(Balancete_Oficial[[#Headers],[Fevereiro]]='Balancete MLN_WebPosto'!$G$2,
SUMIFS('Balancete MLN_WebPosto'!$J:$J,'Balancete MLN_WebPosto'!$C:$C,$A251,'Balancete MLN_WebPosto'!$B:$B,$B$2),
  "0"
)</f>
        <v>0</v>
      </c>
      <c r="L251" s="4" t="str">
        <f>IF(Balancete_Oficial[[#Headers],[Março]]='Balancete MLN_WebPosto'!$G$2,
SUMIFS('Balancete MLN_WebPosto'!$J:$J,'Balancete MLN_WebPosto'!$C:$C,$A251,'Balancete MLN_WebPosto'!$B:$B,$B$2),
  "0"
)</f>
        <v>0</v>
      </c>
      <c r="M251" s="4" t="str">
        <f>IF(Balancete_Oficial[[#Headers],[Abril]]='Balancete MLN_WebPosto'!$G$2,
SUMIFS('Balancete MLN_WebPosto'!$J:$J,'Balancete MLN_WebPosto'!$C:$C,$A251,'Balancete MLN_WebPosto'!$B:$B,$B$2),
  "0"
)</f>
        <v>0</v>
      </c>
      <c r="N251" s="4" t="str">
        <f>IF(Balancete_Oficial[[#Headers],[Maio]]='Balancete MLN_WebPosto'!$G$2,
SUMIFS('Balancete MLN_WebPosto'!$I:$I,'Balancete MLN_WebPosto'!$C:$C,$A251,'Balancete MLN_WebPosto'!$B:$B,$B$2),
  "0"
)</f>
        <v>0</v>
      </c>
      <c r="O251" s="4" t="str">
        <f>IF(Balancete_Oficial[[#Headers],[Junho]]='Balancete MLN_WebPosto'!$G$2,
SUMIFS('Balancete MLN_WebPosto'!$I:$I,'Balancete MLN_WebPosto'!$C:$C,$A251,'Balancete MLN_WebPosto'!$B:$B,$B$2),
  "0"
)</f>
        <v>0</v>
      </c>
      <c r="P251" s="4" t="str">
        <f>IF(Balancete_Oficial[[#Headers],[Julho]]='Balancete MLN_WebPosto'!$G$2,
SUMIFS('Balancete MLN_WebPosto'!$I:$I,'Balancete MLN_WebPosto'!$C:$C,$A251,'Balancete MLN_WebPosto'!$B:$B,$B$2),
  "0"
)</f>
        <v>0</v>
      </c>
      <c r="Q251" s="4" t="str">
        <f>IF(Balancete_Oficial[[#Headers],[Agosto]]='Balancete MLN_WebPosto'!$G$2,
SUMIFS('Balancete MLN_WebPosto'!$I:$I,'Balancete MLN_WebPosto'!$C:$C,$A251,'Balancete MLN_WebPosto'!$B:$B,$B$2),
  "0"
)</f>
        <v>0</v>
      </c>
      <c r="R251" s="4">
        <f>IF(Balancete_Oficial[[#Headers],[Setembro]]='Balancete MLN_WebPosto'!$G$2,
SUMIFS('Balancete MLN_WebPosto'!$I:$I,'Balancete MLN_WebPosto'!$C:$C,$A251,'Balancete MLN_WebPosto'!$B:$B,$B$2),
  "0"
)</f>
        <v>0</v>
      </c>
      <c r="S251" s="4" t="str">
        <f>IF(Balancete_Oficial[[#Headers],[Outubro]]='Balancete MLN_WebPosto'!$G$2,
SUMIFS('Balancete MLN_WebPosto'!$I:$I,'Balancete MLN_WebPosto'!$C:$C,$A251,'Balancete MLN_WebPosto'!$B:$B,$B$2),
  "0"
)</f>
        <v>0</v>
      </c>
      <c r="T251" s="4" t="str">
        <f>IF(Balancete_Oficial[[#Headers],[Novembro]]='Balancete MLN_WebPosto'!$G$2,
SUMIFS('Balancete MLN_WebPosto'!$I:$I,'Balancete MLN_WebPosto'!$C:$C,$A251,'Balancete MLN_WebPosto'!$B:$B,$B$2),
  "0"
)</f>
        <v>0</v>
      </c>
      <c r="U251" s="4" t="str">
        <f>IF(Balancete_Oficial[[#Headers],[Dezembro]]='Balancete MLN_WebPosto'!$G$2,
SUMIFS('Balancete MLN_WebPosto'!$I:$I,'Balancete MLN_WebPosto'!$C:$C,$A251,'Balancete MLN_WebPosto'!$B:$B,$B$2),
  "0"
)</f>
        <v>0</v>
      </c>
    </row>
    <row r="252" spans="1:21" x14ac:dyDescent="0.25">
      <c r="A252" s="2" t="str">
        <f>IF(Dados!H249="","",Dados!H249)</f>
        <v/>
      </c>
      <c r="B252" s="2" t="e">
        <f>VLOOKUP(Balancete_Oficial[[#This Row],[Conta]],'Balancete MLN_WebPosto'!C:E,3,0)</f>
        <v>#N/A</v>
      </c>
      <c r="C252" s="3" t="str">
        <f t="shared" si="12"/>
        <v>Sintética</v>
      </c>
      <c r="D252" s="6" t="str">
        <f t="shared" si="13"/>
        <v>R</v>
      </c>
      <c r="E252" s="6" t="str">
        <f t="shared" si="14"/>
        <v/>
      </c>
      <c r="F252" s="6"/>
      <c r="G252" s="6"/>
      <c r="H252" s="6"/>
      <c r="I252" s="6"/>
      <c r="J252" s="4" t="str">
        <f>IF(Balancete_Oficial[[#Headers],[Janeiro]]='Balancete MLN_WebPosto'!$G$2,
SUMIFS('Balancete MLN_WebPosto'!$J:$J,'Balancete MLN_WebPosto'!$C:$C,$A252,'Balancete MLN_WebPosto'!$B:$B,$B$2),
  "0"
)</f>
        <v>0</v>
      </c>
      <c r="K252" s="4" t="str">
        <f>IF(Balancete_Oficial[[#Headers],[Fevereiro]]='Balancete MLN_WebPosto'!$G$2,
SUMIFS('Balancete MLN_WebPosto'!$J:$J,'Balancete MLN_WebPosto'!$C:$C,$A252,'Balancete MLN_WebPosto'!$B:$B,$B$2),
  "0"
)</f>
        <v>0</v>
      </c>
      <c r="L252" s="4" t="str">
        <f>IF(Balancete_Oficial[[#Headers],[Março]]='Balancete MLN_WebPosto'!$G$2,
SUMIFS('Balancete MLN_WebPosto'!$J:$J,'Balancete MLN_WebPosto'!$C:$C,$A252,'Balancete MLN_WebPosto'!$B:$B,$B$2),
  "0"
)</f>
        <v>0</v>
      </c>
      <c r="M252" s="4" t="str">
        <f>IF(Balancete_Oficial[[#Headers],[Abril]]='Balancete MLN_WebPosto'!$G$2,
SUMIFS('Balancete MLN_WebPosto'!$J:$J,'Balancete MLN_WebPosto'!$C:$C,$A252,'Balancete MLN_WebPosto'!$B:$B,$B$2),
  "0"
)</f>
        <v>0</v>
      </c>
      <c r="N252" s="4" t="str">
        <f>IF(Balancete_Oficial[[#Headers],[Maio]]='Balancete MLN_WebPosto'!$G$2,
SUMIFS('Balancete MLN_WebPosto'!$I:$I,'Balancete MLN_WebPosto'!$C:$C,$A252,'Balancete MLN_WebPosto'!$B:$B,$B$2),
  "0"
)</f>
        <v>0</v>
      </c>
      <c r="O252" s="4" t="str">
        <f>IF(Balancete_Oficial[[#Headers],[Junho]]='Balancete MLN_WebPosto'!$G$2,
SUMIFS('Balancete MLN_WebPosto'!$I:$I,'Balancete MLN_WebPosto'!$C:$C,$A252,'Balancete MLN_WebPosto'!$B:$B,$B$2),
  "0"
)</f>
        <v>0</v>
      </c>
      <c r="P252" s="4" t="str">
        <f>IF(Balancete_Oficial[[#Headers],[Julho]]='Balancete MLN_WebPosto'!$G$2,
SUMIFS('Balancete MLN_WebPosto'!$I:$I,'Balancete MLN_WebPosto'!$C:$C,$A252,'Balancete MLN_WebPosto'!$B:$B,$B$2),
  "0"
)</f>
        <v>0</v>
      </c>
      <c r="Q252" s="4" t="str">
        <f>IF(Balancete_Oficial[[#Headers],[Agosto]]='Balancete MLN_WebPosto'!$G$2,
SUMIFS('Balancete MLN_WebPosto'!$I:$I,'Balancete MLN_WebPosto'!$C:$C,$A252,'Balancete MLN_WebPosto'!$B:$B,$B$2),
  "0"
)</f>
        <v>0</v>
      </c>
      <c r="R252" s="4">
        <f>IF(Balancete_Oficial[[#Headers],[Setembro]]='Balancete MLN_WebPosto'!$G$2,
SUMIFS('Balancete MLN_WebPosto'!$I:$I,'Balancete MLN_WebPosto'!$C:$C,$A252,'Balancete MLN_WebPosto'!$B:$B,$B$2),
  "0"
)</f>
        <v>0</v>
      </c>
      <c r="S252" s="4" t="str">
        <f>IF(Balancete_Oficial[[#Headers],[Outubro]]='Balancete MLN_WebPosto'!$G$2,
SUMIFS('Balancete MLN_WebPosto'!$I:$I,'Balancete MLN_WebPosto'!$C:$C,$A252,'Balancete MLN_WebPosto'!$B:$B,$B$2),
  "0"
)</f>
        <v>0</v>
      </c>
      <c r="T252" s="4" t="str">
        <f>IF(Balancete_Oficial[[#Headers],[Novembro]]='Balancete MLN_WebPosto'!$G$2,
SUMIFS('Balancete MLN_WebPosto'!$I:$I,'Balancete MLN_WebPosto'!$C:$C,$A252,'Balancete MLN_WebPosto'!$B:$B,$B$2),
  "0"
)</f>
        <v>0</v>
      </c>
      <c r="U252" s="4" t="str">
        <f>IF(Balancete_Oficial[[#Headers],[Dezembro]]='Balancete MLN_WebPosto'!$G$2,
SUMIFS('Balancete MLN_WebPosto'!$I:$I,'Balancete MLN_WebPosto'!$C:$C,$A252,'Balancete MLN_WebPosto'!$B:$B,$B$2),
  "0"
)</f>
        <v>0</v>
      </c>
    </row>
    <row r="253" spans="1:21" x14ac:dyDescent="0.25">
      <c r="A253" s="2" t="str">
        <f>IF(Dados!H250="","",Dados!H250)</f>
        <v/>
      </c>
      <c r="B253" s="2" t="e">
        <f>VLOOKUP(Balancete_Oficial[[#This Row],[Conta]],'Balancete MLN_WebPosto'!C:E,3,0)</f>
        <v>#N/A</v>
      </c>
      <c r="C253" s="3" t="str">
        <f t="shared" si="12"/>
        <v>Sintética</v>
      </c>
      <c r="D253" s="6" t="str">
        <f t="shared" si="13"/>
        <v>R</v>
      </c>
      <c r="E253" s="6" t="str">
        <f t="shared" si="14"/>
        <v/>
      </c>
      <c r="F253" s="6"/>
      <c r="G253" s="6"/>
      <c r="H253" s="6"/>
      <c r="I253" s="6"/>
      <c r="J253" s="4" t="str">
        <f>IF(Balancete_Oficial[[#Headers],[Janeiro]]='Balancete MLN_WebPosto'!$G$2,
SUMIFS('Balancete MLN_WebPosto'!$J:$J,'Balancete MLN_WebPosto'!$C:$C,$A253,'Balancete MLN_WebPosto'!$B:$B,$B$2),
  "0"
)</f>
        <v>0</v>
      </c>
      <c r="K253" s="4" t="str">
        <f>IF(Balancete_Oficial[[#Headers],[Fevereiro]]='Balancete MLN_WebPosto'!$G$2,
SUMIFS('Balancete MLN_WebPosto'!$J:$J,'Balancete MLN_WebPosto'!$C:$C,$A253,'Balancete MLN_WebPosto'!$B:$B,$B$2),
  "0"
)</f>
        <v>0</v>
      </c>
      <c r="L253" s="4" t="str">
        <f>IF(Balancete_Oficial[[#Headers],[Março]]='Balancete MLN_WebPosto'!$G$2,
SUMIFS('Balancete MLN_WebPosto'!$J:$J,'Balancete MLN_WebPosto'!$C:$C,$A253,'Balancete MLN_WebPosto'!$B:$B,$B$2),
  "0"
)</f>
        <v>0</v>
      </c>
      <c r="M253" s="4" t="str">
        <f>IF(Balancete_Oficial[[#Headers],[Abril]]='Balancete MLN_WebPosto'!$G$2,
SUMIFS('Balancete MLN_WebPosto'!$J:$J,'Balancete MLN_WebPosto'!$C:$C,$A253,'Balancete MLN_WebPosto'!$B:$B,$B$2),
  "0"
)</f>
        <v>0</v>
      </c>
      <c r="N253" s="4" t="str">
        <f>IF(Balancete_Oficial[[#Headers],[Maio]]='Balancete MLN_WebPosto'!$G$2,
SUMIFS('Balancete MLN_WebPosto'!$I:$I,'Balancete MLN_WebPosto'!$C:$C,$A253,'Balancete MLN_WebPosto'!$B:$B,$B$2),
  "0"
)</f>
        <v>0</v>
      </c>
      <c r="O253" s="4" t="str">
        <f>IF(Balancete_Oficial[[#Headers],[Junho]]='Balancete MLN_WebPosto'!$G$2,
SUMIFS('Balancete MLN_WebPosto'!$I:$I,'Balancete MLN_WebPosto'!$C:$C,$A253,'Balancete MLN_WebPosto'!$B:$B,$B$2),
  "0"
)</f>
        <v>0</v>
      </c>
      <c r="P253" s="4" t="str">
        <f>IF(Balancete_Oficial[[#Headers],[Julho]]='Balancete MLN_WebPosto'!$G$2,
SUMIFS('Balancete MLN_WebPosto'!$I:$I,'Balancete MLN_WebPosto'!$C:$C,$A253,'Balancete MLN_WebPosto'!$B:$B,$B$2),
  "0"
)</f>
        <v>0</v>
      </c>
      <c r="Q253" s="4" t="str">
        <f>IF(Balancete_Oficial[[#Headers],[Agosto]]='Balancete MLN_WebPosto'!$G$2,
SUMIFS('Balancete MLN_WebPosto'!$I:$I,'Balancete MLN_WebPosto'!$C:$C,$A253,'Balancete MLN_WebPosto'!$B:$B,$B$2),
  "0"
)</f>
        <v>0</v>
      </c>
      <c r="R253" s="4">
        <f>IF(Balancete_Oficial[[#Headers],[Setembro]]='Balancete MLN_WebPosto'!$G$2,
SUMIFS('Balancete MLN_WebPosto'!$I:$I,'Balancete MLN_WebPosto'!$C:$C,$A253,'Balancete MLN_WebPosto'!$B:$B,$B$2),
  "0"
)</f>
        <v>0</v>
      </c>
      <c r="S253" s="4" t="str">
        <f>IF(Balancete_Oficial[[#Headers],[Outubro]]='Balancete MLN_WebPosto'!$G$2,
SUMIFS('Balancete MLN_WebPosto'!$I:$I,'Balancete MLN_WebPosto'!$C:$C,$A253,'Balancete MLN_WebPosto'!$B:$B,$B$2),
  "0"
)</f>
        <v>0</v>
      </c>
      <c r="T253" s="4" t="str">
        <f>IF(Balancete_Oficial[[#Headers],[Novembro]]='Balancete MLN_WebPosto'!$G$2,
SUMIFS('Balancete MLN_WebPosto'!$I:$I,'Balancete MLN_WebPosto'!$C:$C,$A253,'Balancete MLN_WebPosto'!$B:$B,$B$2),
  "0"
)</f>
        <v>0</v>
      </c>
      <c r="U253" s="4" t="str">
        <f>IF(Balancete_Oficial[[#Headers],[Dezembro]]='Balancete MLN_WebPosto'!$G$2,
SUMIFS('Balancete MLN_WebPosto'!$I:$I,'Balancete MLN_WebPosto'!$C:$C,$A253,'Balancete MLN_WebPosto'!$B:$B,$B$2),
  "0"
)</f>
        <v>0</v>
      </c>
    </row>
    <row r="254" spans="1:21" x14ac:dyDescent="0.25">
      <c r="A254" s="2" t="str">
        <f>IF(Dados!H251="","",Dados!H251)</f>
        <v/>
      </c>
      <c r="B254" s="2" t="e">
        <f>VLOOKUP(Balancete_Oficial[[#This Row],[Conta]],'Balancete MLN_WebPosto'!C:E,3,0)</f>
        <v>#N/A</v>
      </c>
      <c r="C254" s="3" t="str">
        <f t="shared" si="12"/>
        <v>Sintética</v>
      </c>
      <c r="D254" s="6" t="str">
        <f t="shared" si="13"/>
        <v>R</v>
      </c>
      <c r="E254" s="6" t="str">
        <f t="shared" si="14"/>
        <v/>
      </c>
      <c r="F254" s="6"/>
      <c r="G254" s="6"/>
      <c r="H254" s="6"/>
      <c r="I254" s="6"/>
      <c r="J254" s="4" t="str">
        <f>IF(Balancete_Oficial[[#Headers],[Janeiro]]='Balancete MLN_WebPosto'!$G$2,
SUMIFS('Balancete MLN_WebPosto'!$J:$J,'Balancete MLN_WebPosto'!$C:$C,$A254,'Balancete MLN_WebPosto'!$B:$B,$B$2),
  "0"
)</f>
        <v>0</v>
      </c>
      <c r="K254" s="4" t="str">
        <f>IF(Balancete_Oficial[[#Headers],[Fevereiro]]='Balancete MLN_WebPosto'!$G$2,
SUMIFS('Balancete MLN_WebPosto'!$J:$J,'Balancete MLN_WebPosto'!$C:$C,$A254,'Balancete MLN_WebPosto'!$B:$B,$B$2),
  "0"
)</f>
        <v>0</v>
      </c>
      <c r="L254" s="4" t="str">
        <f>IF(Balancete_Oficial[[#Headers],[Março]]='Balancete MLN_WebPosto'!$G$2,
SUMIFS('Balancete MLN_WebPosto'!$J:$J,'Balancete MLN_WebPosto'!$C:$C,$A254,'Balancete MLN_WebPosto'!$B:$B,$B$2),
  "0"
)</f>
        <v>0</v>
      </c>
      <c r="M254" s="4" t="str">
        <f>IF(Balancete_Oficial[[#Headers],[Abril]]='Balancete MLN_WebPosto'!$G$2,
SUMIFS('Balancete MLN_WebPosto'!$J:$J,'Balancete MLN_WebPosto'!$C:$C,$A254,'Balancete MLN_WebPosto'!$B:$B,$B$2),
  "0"
)</f>
        <v>0</v>
      </c>
      <c r="N254" s="4" t="str">
        <f>IF(Balancete_Oficial[[#Headers],[Maio]]='Balancete MLN_WebPosto'!$G$2,
SUMIFS('Balancete MLN_WebPosto'!$I:$I,'Balancete MLN_WebPosto'!$C:$C,$A254,'Balancete MLN_WebPosto'!$B:$B,$B$2),
  "0"
)</f>
        <v>0</v>
      </c>
      <c r="O254" s="4" t="str">
        <f>IF(Balancete_Oficial[[#Headers],[Junho]]='Balancete MLN_WebPosto'!$G$2,
SUMIFS('Balancete MLN_WebPosto'!$I:$I,'Balancete MLN_WebPosto'!$C:$C,$A254,'Balancete MLN_WebPosto'!$B:$B,$B$2),
  "0"
)</f>
        <v>0</v>
      </c>
      <c r="P254" s="4" t="str">
        <f>IF(Balancete_Oficial[[#Headers],[Julho]]='Balancete MLN_WebPosto'!$G$2,
SUMIFS('Balancete MLN_WebPosto'!$I:$I,'Balancete MLN_WebPosto'!$C:$C,$A254,'Balancete MLN_WebPosto'!$B:$B,$B$2),
  "0"
)</f>
        <v>0</v>
      </c>
      <c r="Q254" s="4" t="str">
        <f>IF(Balancete_Oficial[[#Headers],[Agosto]]='Balancete MLN_WebPosto'!$G$2,
SUMIFS('Balancete MLN_WebPosto'!$I:$I,'Balancete MLN_WebPosto'!$C:$C,$A254,'Balancete MLN_WebPosto'!$B:$B,$B$2),
  "0"
)</f>
        <v>0</v>
      </c>
      <c r="R254" s="4">
        <f>IF(Balancete_Oficial[[#Headers],[Setembro]]='Balancete MLN_WebPosto'!$G$2,
SUMIFS('Balancete MLN_WebPosto'!$I:$I,'Balancete MLN_WebPosto'!$C:$C,$A254,'Balancete MLN_WebPosto'!$B:$B,$B$2),
  "0"
)</f>
        <v>0</v>
      </c>
      <c r="S254" s="4" t="str">
        <f>IF(Balancete_Oficial[[#Headers],[Outubro]]='Balancete MLN_WebPosto'!$G$2,
SUMIFS('Balancete MLN_WebPosto'!$I:$I,'Balancete MLN_WebPosto'!$C:$C,$A254,'Balancete MLN_WebPosto'!$B:$B,$B$2),
  "0"
)</f>
        <v>0</v>
      </c>
      <c r="T254" s="4" t="str">
        <f>IF(Balancete_Oficial[[#Headers],[Novembro]]='Balancete MLN_WebPosto'!$G$2,
SUMIFS('Balancete MLN_WebPosto'!$I:$I,'Balancete MLN_WebPosto'!$C:$C,$A254,'Balancete MLN_WebPosto'!$B:$B,$B$2),
  "0"
)</f>
        <v>0</v>
      </c>
      <c r="U254" s="4" t="str">
        <f>IF(Balancete_Oficial[[#Headers],[Dezembro]]='Balancete MLN_WebPosto'!$G$2,
SUMIFS('Balancete MLN_WebPosto'!$I:$I,'Balancete MLN_WebPosto'!$C:$C,$A254,'Balancete MLN_WebPosto'!$B:$B,$B$2),
  "0"
)</f>
        <v>0</v>
      </c>
    </row>
    <row r="255" spans="1:21" x14ac:dyDescent="0.25">
      <c r="A255" s="2" t="str">
        <f>IF(Dados!H252="","",Dados!H252)</f>
        <v/>
      </c>
      <c r="B255" s="2" t="e">
        <f>VLOOKUP(Balancete_Oficial[[#This Row],[Conta]],'Balancete MLN_WebPosto'!C:E,3,0)</f>
        <v>#N/A</v>
      </c>
      <c r="C255" s="3" t="str">
        <f t="shared" si="12"/>
        <v>Sintética</v>
      </c>
      <c r="D255" s="6" t="str">
        <f t="shared" si="13"/>
        <v>R</v>
      </c>
      <c r="E255" s="6" t="str">
        <f t="shared" si="14"/>
        <v/>
      </c>
      <c r="F255" s="6"/>
      <c r="G255" s="6"/>
      <c r="H255" s="6"/>
      <c r="I255" s="6"/>
      <c r="J255" s="4" t="str">
        <f>IF(Balancete_Oficial[[#Headers],[Janeiro]]='Balancete MLN_WebPosto'!$G$2,
SUMIFS('Balancete MLN_WebPosto'!$J:$J,'Balancete MLN_WebPosto'!$C:$C,$A255,'Balancete MLN_WebPosto'!$B:$B,$B$2),
  "0"
)</f>
        <v>0</v>
      </c>
      <c r="K255" s="4" t="str">
        <f>IF(Balancete_Oficial[[#Headers],[Fevereiro]]='Balancete MLN_WebPosto'!$G$2,
SUMIFS('Balancete MLN_WebPosto'!$J:$J,'Balancete MLN_WebPosto'!$C:$C,$A255,'Balancete MLN_WebPosto'!$B:$B,$B$2),
  "0"
)</f>
        <v>0</v>
      </c>
      <c r="L255" s="4" t="str">
        <f>IF(Balancete_Oficial[[#Headers],[Março]]='Balancete MLN_WebPosto'!$G$2,
SUMIFS('Balancete MLN_WebPosto'!$J:$J,'Balancete MLN_WebPosto'!$C:$C,$A255,'Balancete MLN_WebPosto'!$B:$B,$B$2),
  "0"
)</f>
        <v>0</v>
      </c>
      <c r="M255" s="4" t="str">
        <f>IF(Balancete_Oficial[[#Headers],[Abril]]='Balancete MLN_WebPosto'!$G$2,
SUMIFS('Balancete MLN_WebPosto'!$J:$J,'Balancete MLN_WebPosto'!$C:$C,$A255,'Balancete MLN_WebPosto'!$B:$B,$B$2),
  "0"
)</f>
        <v>0</v>
      </c>
      <c r="N255" s="4" t="str">
        <f>IF(Balancete_Oficial[[#Headers],[Maio]]='Balancete MLN_WebPosto'!$G$2,
SUMIFS('Balancete MLN_WebPosto'!$I:$I,'Balancete MLN_WebPosto'!$C:$C,$A255,'Balancete MLN_WebPosto'!$B:$B,$B$2),
  "0"
)</f>
        <v>0</v>
      </c>
      <c r="O255" s="4" t="str">
        <f>IF(Balancete_Oficial[[#Headers],[Junho]]='Balancete MLN_WebPosto'!$G$2,
SUMIFS('Balancete MLN_WebPosto'!$I:$I,'Balancete MLN_WebPosto'!$C:$C,$A255,'Balancete MLN_WebPosto'!$B:$B,$B$2),
  "0"
)</f>
        <v>0</v>
      </c>
      <c r="P255" s="4" t="str">
        <f>IF(Balancete_Oficial[[#Headers],[Julho]]='Balancete MLN_WebPosto'!$G$2,
SUMIFS('Balancete MLN_WebPosto'!$I:$I,'Balancete MLN_WebPosto'!$C:$C,$A255,'Balancete MLN_WebPosto'!$B:$B,$B$2),
  "0"
)</f>
        <v>0</v>
      </c>
      <c r="Q255" s="4" t="str">
        <f>IF(Balancete_Oficial[[#Headers],[Agosto]]='Balancete MLN_WebPosto'!$G$2,
SUMIFS('Balancete MLN_WebPosto'!$I:$I,'Balancete MLN_WebPosto'!$C:$C,$A255,'Balancete MLN_WebPosto'!$B:$B,$B$2),
  "0"
)</f>
        <v>0</v>
      </c>
      <c r="R255" s="4">
        <f>IF(Balancete_Oficial[[#Headers],[Setembro]]='Balancete MLN_WebPosto'!$G$2,
SUMIFS('Balancete MLN_WebPosto'!$I:$I,'Balancete MLN_WebPosto'!$C:$C,$A255,'Balancete MLN_WebPosto'!$B:$B,$B$2),
  "0"
)</f>
        <v>0</v>
      </c>
      <c r="S255" s="4" t="str">
        <f>IF(Balancete_Oficial[[#Headers],[Outubro]]='Balancete MLN_WebPosto'!$G$2,
SUMIFS('Balancete MLN_WebPosto'!$I:$I,'Balancete MLN_WebPosto'!$C:$C,$A255,'Balancete MLN_WebPosto'!$B:$B,$B$2),
  "0"
)</f>
        <v>0</v>
      </c>
      <c r="T255" s="4" t="str">
        <f>IF(Balancete_Oficial[[#Headers],[Novembro]]='Balancete MLN_WebPosto'!$G$2,
SUMIFS('Balancete MLN_WebPosto'!$I:$I,'Balancete MLN_WebPosto'!$C:$C,$A255,'Balancete MLN_WebPosto'!$B:$B,$B$2),
  "0"
)</f>
        <v>0</v>
      </c>
      <c r="U255" s="4" t="str">
        <f>IF(Balancete_Oficial[[#Headers],[Dezembro]]='Balancete MLN_WebPosto'!$G$2,
SUMIFS('Balancete MLN_WebPosto'!$I:$I,'Balancete MLN_WebPosto'!$C:$C,$A255,'Balancete MLN_WebPosto'!$B:$B,$B$2),
  "0"
)</f>
        <v>0</v>
      </c>
    </row>
    <row r="256" spans="1:21" x14ac:dyDescent="0.25">
      <c r="A256" s="2" t="str">
        <f>IF(Dados!H253="","",Dados!H253)</f>
        <v/>
      </c>
      <c r="B256" s="2" t="e">
        <f>VLOOKUP(Balancete_Oficial[[#This Row],[Conta]],'Balancete MLN_WebPosto'!C:E,3,0)</f>
        <v>#N/A</v>
      </c>
      <c r="C256" s="3" t="str">
        <f t="shared" si="12"/>
        <v>Sintética</v>
      </c>
      <c r="D256" s="6" t="str">
        <f t="shared" si="13"/>
        <v>R</v>
      </c>
      <c r="E256" s="6" t="str">
        <f t="shared" si="14"/>
        <v/>
      </c>
      <c r="F256" s="6"/>
      <c r="G256" s="6"/>
      <c r="H256" s="6"/>
      <c r="I256" s="6"/>
      <c r="J256" s="4" t="str">
        <f>IF(Balancete_Oficial[[#Headers],[Janeiro]]='Balancete MLN_WebPosto'!$G$2,
SUMIFS('Balancete MLN_WebPosto'!$J:$J,'Balancete MLN_WebPosto'!$C:$C,$A256,'Balancete MLN_WebPosto'!$B:$B,$B$2),
  "0"
)</f>
        <v>0</v>
      </c>
      <c r="K256" s="4" t="str">
        <f>IF(Balancete_Oficial[[#Headers],[Fevereiro]]='Balancete MLN_WebPosto'!$G$2,
SUMIFS('Balancete MLN_WebPosto'!$J:$J,'Balancete MLN_WebPosto'!$C:$C,$A256,'Balancete MLN_WebPosto'!$B:$B,$B$2),
  "0"
)</f>
        <v>0</v>
      </c>
      <c r="L256" s="4" t="str">
        <f>IF(Balancete_Oficial[[#Headers],[Março]]='Balancete MLN_WebPosto'!$G$2,
SUMIFS('Balancete MLN_WebPosto'!$J:$J,'Balancete MLN_WebPosto'!$C:$C,$A256,'Balancete MLN_WebPosto'!$B:$B,$B$2),
  "0"
)</f>
        <v>0</v>
      </c>
      <c r="M256" s="4" t="str">
        <f>IF(Balancete_Oficial[[#Headers],[Abril]]='Balancete MLN_WebPosto'!$G$2,
SUMIFS('Balancete MLN_WebPosto'!$J:$J,'Balancete MLN_WebPosto'!$C:$C,$A256,'Balancete MLN_WebPosto'!$B:$B,$B$2),
  "0"
)</f>
        <v>0</v>
      </c>
      <c r="N256" s="4" t="str">
        <f>IF(Balancete_Oficial[[#Headers],[Maio]]='Balancete MLN_WebPosto'!$G$2,
SUMIFS('Balancete MLN_WebPosto'!$I:$I,'Balancete MLN_WebPosto'!$C:$C,$A256,'Balancete MLN_WebPosto'!$B:$B,$B$2),
  "0"
)</f>
        <v>0</v>
      </c>
      <c r="O256" s="4" t="str">
        <f>IF(Balancete_Oficial[[#Headers],[Junho]]='Balancete MLN_WebPosto'!$G$2,
SUMIFS('Balancete MLN_WebPosto'!$I:$I,'Balancete MLN_WebPosto'!$C:$C,$A256,'Balancete MLN_WebPosto'!$B:$B,$B$2),
  "0"
)</f>
        <v>0</v>
      </c>
      <c r="P256" s="4" t="str">
        <f>IF(Balancete_Oficial[[#Headers],[Julho]]='Balancete MLN_WebPosto'!$G$2,
SUMIFS('Balancete MLN_WebPosto'!$I:$I,'Balancete MLN_WebPosto'!$C:$C,$A256,'Balancete MLN_WebPosto'!$B:$B,$B$2),
  "0"
)</f>
        <v>0</v>
      </c>
      <c r="Q256" s="4" t="str">
        <f>IF(Balancete_Oficial[[#Headers],[Agosto]]='Balancete MLN_WebPosto'!$G$2,
SUMIFS('Balancete MLN_WebPosto'!$I:$I,'Balancete MLN_WebPosto'!$C:$C,$A256,'Balancete MLN_WebPosto'!$B:$B,$B$2),
  "0"
)</f>
        <v>0</v>
      </c>
      <c r="R256" s="4">
        <f>IF(Balancete_Oficial[[#Headers],[Setembro]]='Balancete MLN_WebPosto'!$G$2,
SUMIFS('Balancete MLN_WebPosto'!$I:$I,'Balancete MLN_WebPosto'!$C:$C,$A256,'Balancete MLN_WebPosto'!$B:$B,$B$2),
  "0"
)</f>
        <v>0</v>
      </c>
      <c r="S256" s="4" t="str">
        <f>IF(Balancete_Oficial[[#Headers],[Outubro]]='Balancete MLN_WebPosto'!$G$2,
SUMIFS('Balancete MLN_WebPosto'!$I:$I,'Balancete MLN_WebPosto'!$C:$C,$A256,'Balancete MLN_WebPosto'!$B:$B,$B$2),
  "0"
)</f>
        <v>0</v>
      </c>
      <c r="T256" s="4" t="str">
        <f>IF(Balancete_Oficial[[#Headers],[Novembro]]='Balancete MLN_WebPosto'!$G$2,
SUMIFS('Balancete MLN_WebPosto'!$I:$I,'Balancete MLN_WebPosto'!$C:$C,$A256,'Balancete MLN_WebPosto'!$B:$B,$B$2),
  "0"
)</f>
        <v>0</v>
      </c>
      <c r="U256" s="4" t="str">
        <f>IF(Balancete_Oficial[[#Headers],[Dezembro]]='Balancete MLN_WebPosto'!$G$2,
SUMIFS('Balancete MLN_WebPosto'!$I:$I,'Balancete MLN_WebPosto'!$C:$C,$A256,'Balancete MLN_WebPosto'!$B:$B,$B$2),
  "0"
)</f>
        <v>0</v>
      </c>
    </row>
    <row r="257" spans="1:21" x14ac:dyDescent="0.25">
      <c r="A257" s="2" t="str">
        <f>IF(Dados!H254="","",Dados!H254)</f>
        <v/>
      </c>
      <c r="B257" s="2" t="e">
        <f>VLOOKUP(Balancete_Oficial[[#This Row],[Conta]],'Balancete MLN_WebPosto'!C:E,3,0)</f>
        <v>#N/A</v>
      </c>
      <c r="C257" s="3" t="str">
        <f t="shared" si="12"/>
        <v>Sintética</v>
      </c>
      <c r="D257" s="6" t="str">
        <f t="shared" si="13"/>
        <v>R</v>
      </c>
      <c r="E257" s="6" t="str">
        <f t="shared" si="14"/>
        <v/>
      </c>
      <c r="F257" s="6"/>
      <c r="G257" s="6"/>
      <c r="H257" s="6"/>
      <c r="I257" s="6"/>
      <c r="J257" s="4" t="str">
        <f>IF(Balancete_Oficial[[#Headers],[Janeiro]]='Balancete MLN_WebPosto'!$G$2,
SUMIFS('Balancete MLN_WebPosto'!$J:$J,'Balancete MLN_WebPosto'!$C:$C,$A257,'Balancete MLN_WebPosto'!$B:$B,$B$2),
  "0"
)</f>
        <v>0</v>
      </c>
      <c r="K257" s="4" t="str">
        <f>IF(Balancete_Oficial[[#Headers],[Fevereiro]]='Balancete MLN_WebPosto'!$G$2,
SUMIFS('Balancete MLN_WebPosto'!$J:$J,'Balancete MLN_WebPosto'!$C:$C,$A257,'Balancete MLN_WebPosto'!$B:$B,$B$2),
  "0"
)</f>
        <v>0</v>
      </c>
      <c r="L257" s="4" t="str">
        <f>IF(Balancete_Oficial[[#Headers],[Março]]='Balancete MLN_WebPosto'!$G$2,
SUMIFS('Balancete MLN_WebPosto'!$J:$J,'Balancete MLN_WebPosto'!$C:$C,$A257,'Balancete MLN_WebPosto'!$B:$B,$B$2),
  "0"
)</f>
        <v>0</v>
      </c>
      <c r="M257" s="4" t="str">
        <f>IF(Balancete_Oficial[[#Headers],[Abril]]='Balancete MLN_WebPosto'!$G$2,
SUMIFS('Balancete MLN_WebPosto'!$J:$J,'Balancete MLN_WebPosto'!$C:$C,$A257,'Balancete MLN_WebPosto'!$B:$B,$B$2),
  "0"
)</f>
        <v>0</v>
      </c>
      <c r="N257" s="4" t="str">
        <f>IF(Balancete_Oficial[[#Headers],[Maio]]='Balancete MLN_WebPosto'!$G$2,
SUMIFS('Balancete MLN_WebPosto'!$I:$I,'Balancete MLN_WebPosto'!$C:$C,$A257,'Balancete MLN_WebPosto'!$B:$B,$B$2),
  "0"
)</f>
        <v>0</v>
      </c>
      <c r="O257" s="4" t="str">
        <f>IF(Balancete_Oficial[[#Headers],[Junho]]='Balancete MLN_WebPosto'!$G$2,
SUMIFS('Balancete MLN_WebPosto'!$I:$I,'Balancete MLN_WebPosto'!$C:$C,$A257,'Balancete MLN_WebPosto'!$B:$B,$B$2),
  "0"
)</f>
        <v>0</v>
      </c>
      <c r="P257" s="4" t="str">
        <f>IF(Balancete_Oficial[[#Headers],[Julho]]='Balancete MLN_WebPosto'!$G$2,
SUMIFS('Balancete MLN_WebPosto'!$I:$I,'Balancete MLN_WebPosto'!$C:$C,$A257,'Balancete MLN_WebPosto'!$B:$B,$B$2),
  "0"
)</f>
        <v>0</v>
      </c>
      <c r="Q257" s="4" t="str">
        <f>IF(Balancete_Oficial[[#Headers],[Agosto]]='Balancete MLN_WebPosto'!$G$2,
SUMIFS('Balancete MLN_WebPosto'!$I:$I,'Balancete MLN_WebPosto'!$C:$C,$A257,'Balancete MLN_WebPosto'!$B:$B,$B$2),
  "0"
)</f>
        <v>0</v>
      </c>
      <c r="R257" s="4">
        <f>IF(Balancete_Oficial[[#Headers],[Setembro]]='Balancete MLN_WebPosto'!$G$2,
SUMIFS('Balancete MLN_WebPosto'!$I:$I,'Balancete MLN_WebPosto'!$C:$C,$A257,'Balancete MLN_WebPosto'!$B:$B,$B$2),
  "0"
)</f>
        <v>0</v>
      </c>
      <c r="S257" s="4" t="str">
        <f>IF(Balancete_Oficial[[#Headers],[Outubro]]='Balancete MLN_WebPosto'!$G$2,
SUMIFS('Balancete MLN_WebPosto'!$I:$I,'Balancete MLN_WebPosto'!$C:$C,$A257,'Balancete MLN_WebPosto'!$B:$B,$B$2),
  "0"
)</f>
        <v>0</v>
      </c>
      <c r="T257" s="4" t="str">
        <f>IF(Balancete_Oficial[[#Headers],[Novembro]]='Balancete MLN_WebPosto'!$G$2,
SUMIFS('Balancete MLN_WebPosto'!$I:$I,'Balancete MLN_WebPosto'!$C:$C,$A257,'Balancete MLN_WebPosto'!$B:$B,$B$2),
  "0"
)</f>
        <v>0</v>
      </c>
      <c r="U257" s="4" t="str">
        <f>IF(Balancete_Oficial[[#Headers],[Dezembro]]='Balancete MLN_WebPosto'!$G$2,
SUMIFS('Balancete MLN_WebPosto'!$I:$I,'Balancete MLN_WebPosto'!$C:$C,$A257,'Balancete MLN_WebPosto'!$B:$B,$B$2),
  "0"
)</f>
        <v>0</v>
      </c>
    </row>
    <row r="258" spans="1:21" x14ac:dyDescent="0.25">
      <c r="A258" s="2" t="str">
        <f>IF(Dados!H255="","",Dados!H255)</f>
        <v/>
      </c>
      <c r="B258" s="2" t="e">
        <f>VLOOKUP(Balancete_Oficial[[#This Row],[Conta]],'Balancete MLN_WebPosto'!C:E,3,0)</f>
        <v>#N/A</v>
      </c>
      <c r="C258" s="3" t="str">
        <f t="shared" si="12"/>
        <v>Sintética</v>
      </c>
      <c r="D258" s="6" t="str">
        <f t="shared" si="13"/>
        <v>R</v>
      </c>
      <c r="E258" s="6" t="str">
        <f t="shared" si="14"/>
        <v/>
      </c>
      <c r="F258" s="6"/>
      <c r="G258" s="6"/>
      <c r="H258" s="6"/>
      <c r="I258" s="6"/>
      <c r="J258" s="4" t="str">
        <f>IF(Balancete_Oficial[[#Headers],[Janeiro]]='Balancete MLN_WebPosto'!$G$2,
SUMIFS('Balancete MLN_WebPosto'!$J:$J,'Balancete MLN_WebPosto'!$C:$C,$A258,'Balancete MLN_WebPosto'!$B:$B,$B$2),
  "0"
)</f>
        <v>0</v>
      </c>
      <c r="K258" s="4" t="str">
        <f>IF(Balancete_Oficial[[#Headers],[Fevereiro]]='Balancete MLN_WebPosto'!$G$2,
SUMIFS('Balancete MLN_WebPosto'!$J:$J,'Balancete MLN_WebPosto'!$C:$C,$A258,'Balancete MLN_WebPosto'!$B:$B,$B$2),
  "0"
)</f>
        <v>0</v>
      </c>
      <c r="L258" s="4" t="str">
        <f>IF(Balancete_Oficial[[#Headers],[Março]]='Balancete MLN_WebPosto'!$G$2,
SUMIFS('Balancete MLN_WebPosto'!$J:$J,'Balancete MLN_WebPosto'!$C:$C,$A258,'Balancete MLN_WebPosto'!$B:$B,$B$2),
  "0"
)</f>
        <v>0</v>
      </c>
      <c r="M258" s="4" t="str">
        <f>IF(Balancete_Oficial[[#Headers],[Abril]]='Balancete MLN_WebPosto'!$G$2,
SUMIFS('Balancete MLN_WebPosto'!$J:$J,'Balancete MLN_WebPosto'!$C:$C,$A258,'Balancete MLN_WebPosto'!$B:$B,$B$2),
  "0"
)</f>
        <v>0</v>
      </c>
      <c r="N258" s="4" t="str">
        <f>IF(Balancete_Oficial[[#Headers],[Maio]]='Balancete MLN_WebPosto'!$G$2,
SUMIFS('Balancete MLN_WebPosto'!$I:$I,'Balancete MLN_WebPosto'!$C:$C,$A258,'Balancete MLN_WebPosto'!$B:$B,$B$2),
  "0"
)</f>
        <v>0</v>
      </c>
      <c r="O258" s="4" t="str">
        <f>IF(Balancete_Oficial[[#Headers],[Junho]]='Balancete MLN_WebPosto'!$G$2,
SUMIFS('Balancete MLN_WebPosto'!$I:$I,'Balancete MLN_WebPosto'!$C:$C,$A258,'Balancete MLN_WebPosto'!$B:$B,$B$2),
  "0"
)</f>
        <v>0</v>
      </c>
      <c r="P258" s="4" t="str">
        <f>IF(Balancete_Oficial[[#Headers],[Julho]]='Balancete MLN_WebPosto'!$G$2,
SUMIFS('Balancete MLN_WebPosto'!$I:$I,'Balancete MLN_WebPosto'!$C:$C,$A258,'Balancete MLN_WebPosto'!$B:$B,$B$2),
  "0"
)</f>
        <v>0</v>
      </c>
      <c r="Q258" s="4" t="str">
        <f>IF(Balancete_Oficial[[#Headers],[Agosto]]='Balancete MLN_WebPosto'!$G$2,
SUMIFS('Balancete MLN_WebPosto'!$I:$I,'Balancete MLN_WebPosto'!$C:$C,$A258,'Balancete MLN_WebPosto'!$B:$B,$B$2),
  "0"
)</f>
        <v>0</v>
      </c>
      <c r="R258" s="4">
        <f>IF(Balancete_Oficial[[#Headers],[Setembro]]='Balancete MLN_WebPosto'!$G$2,
SUMIFS('Balancete MLN_WebPosto'!$I:$I,'Balancete MLN_WebPosto'!$C:$C,$A258,'Balancete MLN_WebPosto'!$B:$B,$B$2),
  "0"
)</f>
        <v>0</v>
      </c>
      <c r="S258" s="4" t="str">
        <f>IF(Balancete_Oficial[[#Headers],[Outubro]]='Balancete MLN_WebPosto'!$G$2,
SUMIFS('Balancete MLN_WebPosto'!$I:$I,'Balancete MLN_WebPosto'!$C:$C,$A258,'Balancete MLN_WebPosto'!$B:$B,$B$2),
  "0"
)</f>
        <v>0</v>
      </c>
      <c r="T258" s="4" t="str">
        <f>IF(Balancete_Oficial[[#Headers],[Novembro]]='Balancete MLN_WebPosto'!$G$2,
SUMIFS('Balancete MLN_WebPosto'!$I:$I,'Balancete MLN_WebPosto'!$C:$C,$A258,'Balancete MLN_WebPosto'!$B:$B,$B$2),
  "0"
)</f>
        <v>0</v>
      </c>
      <c r="U258" s="4" t="str">
        <f>IF(Balancete_Oficial[[#Headers],[Dezembro]]='Balancete MLN_WebPosto'!$G$2,
SUMIFS('Balancete MLN_WebPosto'!$I:$I,'Balancete MLN_WebPosto'!$C:$C,$A258,'Balancete MLN_WebPosto'!$B:$B,$B$2),
  "0"
)</f>
        <v>0</v>
      </c>
    </row>
    <row r="259" spans="1:21" x14ac:dyDescent="0.25">
      <c r="A259" s="2" t="str">
        <f>IF(Dados!H256="","",Dados!H256)</f>
        <v/>
      </c>
      <c r="B259" s="2" t="e">
        <f>VLOOKUP(Balancete_Oficial[[#This Row],[Conta]],'Balancete MLN_WebPosto'!C:E,3,0)</f>
        <v>#N/A</v>
      </c>
      <c r="C259" s="3" t="str">
        <f t="shared" si="12"/>
        <v>Sintética</v>
      </c>
      <c r="D259" s="6" t="str">
        <f t="shared" si="13"/>
        <v>R</v>
      </c>
      <c r="E259" s="6" t="str">
        <f t="shared" si="14"/>
        <v/>
      </c>
      <c r="F259" s="6"/>
      <c r="G259" s="6"/>
      <c r="H259" s="6"/>
      <c r="I259" s="6"/>
      <c r="J259" s="4" t="str">
        <f>IF(Balancete_Oficial[[#Headers],[Janeiro]]='Balancete MLN_WebPosto'!$G$2,
SUMIFS('Balancete MLN_WebPosto'!$J:$J,'Balancete MLN_WebPosto'!$C:$C,$A259,'Balancete MLN_WebPosto'!$B:$B,$B$2),
  "0"
)</f>
        <v>0</v>
      </c>
      <c r="K259" s="4" t="str">
        <f>IF(Balancete_Oficial[[#Headers],[Fevereiro]]='Balancete MLN_WebPosto'!$G$2,
SUMIFS('Balancete MLN_WebPosto'!$J:$J,'Balancete MLN_WebPosto'!$C:$C,$A259,'Balancete MLN_WebPosto'!$B:$B,$B$2),
  "0"
)</f>
        <v>0</v>
      </c>
      <c r="L259" s="4" t="str">
        <f>IF(Balancete_Oficial[[#Headers],[Março]]='Balancete MLN_WebPosto'!$G$2,
SUMIFS('Balancete MLN_WebPosto'!$J:$J,'Balancete MLN_WebPosto'!$C:$C,$A259,'Balancete MLN_WebPosto'!$B:$B,$B$2),
  "0"
)</f>
        <v>0</v>
      </c>
      <c r="M259" s="4" t="str">
        <f>IF(Balancete_Oficial[[#Headers],[Abril]]='Balancete MLN_WebPosto'!$G$2,
SUMIFS('Balancete MLN_WebPosto'!$J:$J,'Balancete MLN_WebPosto'!$C:$C,$A259,'Balancete MLN_WebPosto'!$B:$B,$B$2),
  "0"
)</f>
        <v>0</v>
      </c>
      <c r="N259" s="4" t="str">
        <f>IF(Balancete_Oficial[[#Headers],[Maio]]='Balancete MLN_WebPosto'!$G$2,
SUMIFS('Balancete MLN_WebPosto'!$I:$I,'Balancete MLN_WebPosto'!$C:$C,$A259,'Balancete MLN_WebPosto'!$B:$B,$B$2),
  "0"
)</f>
        <v>0</v>
      </c>
      <c r="O259" s="4" t="str">
        <f>IF(Balancete_Oficial[[#Headers],[Junho]]='Balancete MLN_WebPosto'!$G$2,
SUMIFS('Balancete MLN_WebPosto'!$I:$I,'Balancete MLN_WebPosto'!$C:$C,$A259,'Balancete MLN_WebPosto'!$B:$B,$B$2),
  "0"
)</f>
        <v>0</v>
      </c>
      <c r="P259" s="4" t="str">
        <f>IF(Balancete_Oficial[[#Headers],[Julho]]='Balancete MLN_WebPosto'!$G$2,
SUMIFS('Balancete MLN_WebPosto'!$I:$I,'Balancete MLN_WebPosto'!$C:$C,$A259,'Balancete MLN_WebPosto'!$B:$B,$B$2),
  "0"
)</f>
        <v>0</v>
      </c>
      <c r="Q259" s="4" t="str">
        <f>IF(Balancete_Oficial[[#Headers],[Agosto]]='Balancete MLN_WebPosto'!$G$2,
SUMIFS('Balancete MLN_WebPosto'!$I:$I,'Balancete MLN_WebPosto'!$C:$C,$A259,'Balancete MLN_WebPosto'!$B:$B,$B$2),
  "0"
)</f>
        <v>0</v>
      </c>
      <c r="R259" s="4">
        <f>IF(Balancete_Oficial[[#Headers],[Setembro]]='Balancete MLN_WebPosto'!$G$2,
SUMIFS('Balancete MLN_WebPosto'!$I:$I,'Balancete MLN_WebPosto'!$C:$C,$A259,'Balancete MLN_WebPosto'!$B:$B,$B$2),
  "0"
)</f>
        <v>0</v>
      </c>
      <c r="S259" s="4" t="str">
        <f>IF(Balancete_Oficial[[#Headers],[Outubro]]='Balancete MLN_WebPosto'!$G$2,
SUMIFS('Balancete MLN_WebPosto'!$I:$I,'Balancete MLN_WebPosto'!$C:$C,$A259,'Balancete MLN_WebPosto'!$B:$B,$B$2),
  "0"
)</f>
        <v>0</v>
      </c>
      <c r="T259" s="4" t="str">
        <f>IF(Balancete_Oficial[[#Headers],[Novembro]]='Balancete MLN_WebPosto'!$G$2,
SUMIFS('Balancete MLN_WebPosto'!$I:$I,'Balancete MLN_WebPosto'!$C:$C,$A259,'Balancete MLN_WebPosto'!$B:$B,$B$2),
  "0"
)</f>
        <v>0</v>
      </c>
      <c r="U259" s="4" t="str">
        <f>IF(Balancete_Oficial[[#Headers],[Dezembro]]='Balancete MLN_WebPosto'!$G$2,
SUMIFS('Balancete MLN_WebPosto'!$I:$I,'Balancete MLN_WebPosto'!$C:$C,$A259,'Balancete MLN_WebPosto'!$B:$B,$B$2),
  "0"
)</f>
        <v>0</v>
      </c>
    </row>
    <row r="260" spans="1:21" x14ac:dyDescent="0.25">
      <c r="A260" s="2" t="str">
        <f>IF(Dados!H257="","",Dados!H257)</f>
        <v/>
      </c>
      <c r="B260" s="2" t="e">
        <f>VLOOKUP(Balancete_Oficial[[#This Row],[Conta]],'Balancete MLN_WebPosto'!C:E,3,0)</f>
        <v>#N/A</v>
      </c>
      <c r="C260" s="3" t="str">
        <f t="shared" si="12"/>
        <v>Sintética</v>
      </c>
      <c r="D260" s="6" t="str">
        <f t="shared" si="13"/>
        <v>R</v>
      </c>
      <c r="E260" s="6" t="str">
        <f t="shared" si="14"/>
        <v/>
      </c>
      <c r="F260" s="6"/>
      <c r="G260" s="6"/>
      <c r="H260" s="6"/>
      <c r="I260" s="6"/>
      <c r="J260" s="4" t="str">
        <f>IF(Balancete_Oficial[[#Headers],[Janeiro]]='Balancete MLN_WebPosto'!$G$2,
SUMIFS('Balancete MLN_WebPosto'!$J:$J,'Balancete MLN_WebPosto'!$C:$C,$A260,'Balancete MLN_WebPosto'!$B:$B,$B$2),
  "0"
)</f>
        <v>0</v>
      </c>
      <c r="K260" s="4" t="str">
        <f>IF(Balancete_Oficial[[#Headers],[Fevereiro]]='Balancete MLN_WebPosto'!$G$2,
SUMIFS('Balancete MLN_WebPosto'!$J:$J,'Balancete MLN_WebPosto'!$C:$C,$A260,'Balancete MLN_WebPosto'!$B:$B,$B$2),
  "0"
)</f>
        <v>0</v>
      </c>
      <c r="L260" s="4" t="str">
        <f>IF(Balancete_Oficial[[#Headers],[Março]]='Balancete MLN_WebPosto'!$G$2,
SUMIFS('Balancete MLN_WebPosto'!$J:$J,'Balancete MLN_WebPosto'!$C:$C,$A260,'Balancete MLN_WebPosto'!$B:$B,$B$2),
  "0"
)</f>
        <v>0</v>
      </c>
      <c r="M260" s="4" t="str">
        <f>IF(Balancete_Oficial[[#Headers],[Abril]]='Balancete MLN_WebPosto'!$G$2,
SUMIFS('Balancete MLN_WebPosto'!$J:$J,'Balancete MLN_WebPosto'!$C:$C,$A260,'Balancete MLN_WebPosto'!$B:$B,$B$2),
  "0"
)</f>
        <v>0</v>
      </c>
      <c r="N260" s="4" t="str">
        <f>IF(Balancete_Oficial[[#Headers],[Maio]]='Balancete MLN_WebPosto'!$G$2,
SUMIFS('Balancete MLN_WebPosto'!$I:$I,'Balancete MLN_WebPosto'!$C:$C,$A260,'Balancete MLN_WebPosto'!$B:$B,$B$2),
  "0"
)</f>
        <v>0</v>
      </c>
      <c r="O260" s="4" t="str">
        <f>IF(Balancete_Oficial[[#Headers],[Junho]]='Balancete MLN_WebPosto'!$G$2,
SUMIFS('Balancete MLN_WebPosto'!$I:$I,'Balancete MLN_WebPosto'!$C:$C,$A260,'Balancete MLN_WebPosto'!$B:$B,$B$2),
  "0"
)</f>
        <v>0</v>
      </c>
      <c r="P260" s="4" t="str">
        <f>IF(Balancete_Oficial[[#Headers],[Julho]]='Balancete MLN_WebPosto'!$G$2,
SUMIFS('Balancete MLN_WebPosto'!$I:$I,'Balancete MLN_WebPosto'!$C:$C,$A260,'Balancete MLN_WebPosto'!$B:$B,$B$2),
  "0"
)</f>
        <v>0</v>
      </c>
      <c r="Q260" s="4" t="str">
        <f>IF(Balancete_Oficial[[#Headers],[Agosto]]='Balancete MLN_WebPosto'!$G$2,
SUMIFS('Balancete MLN_WebPosto'!$I:$I,'Balancete MLN_WebPosto'!$C:$C,$A260,'Balancete MLN_WebPosto'!$B:$B,$B$2),
  "0"
)</f>
        <v>0</v>
      </c>
      <c r="R260" s="4">
        <f>IF(Balancete_Oficial[[#Headers],[Setembro]]='Balancete MLN_WebPosto'!$G$2,
SUMIFS('Balancete MLN_WebPosto'!$I:$I,'Balancete MLN_WebPosto'!$C:$C,$A260,'Balancete MLN_WebPosto'!$B:$B,$B$2),
  "0"
)</f>
        <v>0</v>
      </c>
      <c r="S260" s="4" t="str">
        <f>IF(Balancete_Oficial[[#Headers],[Outubro]]='Balancete MLN_WebPosto'!$G$2,
SUMIFS('Balancete MLN_WebPosto'!$I:$I,'Balancete MLN_WebPosto'!$C:$C,$A260,'Balancete MLN_WebPosto'!$B:$B,$B$2),
  "0"
)</f>
        <v>0</v>
      </c>
      <c r="T260" s="4" t="str">
        <f>IF(Balancete_Oficial[[#Headers],[Novembro]]='Balancete MLN_WebPosto'!$G$2,
SUMIFS('Balancete MLN_WebPosto'!$I:$I,'Balancete MLN_WebPosto'!$C:$C,$A260,'Balancete MLN_WebPosto'!$B:$B,$B$2),
  "0"
)</f>
        <v>0</v>
      </c>
      <c r="U260" s="4" t="str">
        <f>IF(Balancete_Oficial[[#Headers],[Dezembro]]='Balancete MLN_WebPosto'!$G$2,
SUMIFS('Balancete MLN_WebPosto'!$I:$I,'Balancete MLN_WebPosto'!$C:$C,$A260,'Balancete MLN_WebPosto'!$B:$B,$B$2),
  "0"
)</f>
        <v>0</v>
      </c>
    </row>
    <row r="261" spans="1:21" x14ac:dyDescent="0.25">
      <c r="A261" s="2" t="str">
        <f>IF(Dados!H258="","",Dados!H258)</f>
        <v/>
      </c>
      <c r="B261" s="2" t="e">
        <f>VLOOKUP(Balancete_Oficial[[#This Row],[Conta]],'Balancete MLN_WebPosto'!C:E,3,0)</f>
        <v>#N/A</v>
      </c>
      <c r="C261" s="3" t="str">
        <f t="shared" si="12"/>
        <v>Sintética</v>
      </c>
      <c r="D261" s="6" t="str">
        <f t="shared" si="13"/>
        <v>R</v>
      </c>
      <c r="E261" s="6" t="str">
        <f t="shared" si="14"/>
        <v/>
      </c>
      <c r="F261" s="6"/>
      <c r="G261" s="6"/>
      <c r="H261" s="6"/>
      <c r="I261" s="6"/>
      <c r="J261" s="4" t="str">
        <f>IF(Balancete_Oficial[[#Headers],[Janeiro]]='Balancete MLN_WebPosto'!$G$2,
SUMIFS('Balancete MLN_WebPosto'!$J:$J,'Balancete MLN_WebPosto'!$C:$C,$A261,'Balancete MLN_WebPosto'!$B:$B,$B$2),
  "0"
)</f>
        <v>0</v>
      </c>
      <c r="K261" s="4" t="str">
        <f>IF(Balancete_Oficial[[#Headers],[Fevereiro]]='Balancete MLN_WebPosto'!$G$2,
SUMIFS('Balancete MLN_WebPosto'!$J:$J,'Balancete MLN_WebPosto'!$C:$C,$A261,'Balancete MLN_WebPosto'!$B:$B,$B$2),
  "0"
)</f>
        <v>0</v>
      </c>
      <c r="L261" s="4" t="str">
        <f>IF(Balancete_Oficial[[#Headers],[Março]]='Balancete MLN_WebPosto'!$G$2,
SUMIFS('Balancete MLN_WebPosto'!$J:$J,'Balancete MLN_WebPosto'!$C:$C,$A261,'Balancete MLN_WebPosto'!$B:$B,$B$2),
  "0"
)</f>
        <v>0</v>
      </c>
      <c r="M261" s="4" t="str">
        <f>IF(Balancete_Oficial[[#Headers],[Abril]]='Balancete MLN_WebPosto'!$G$2,
SUMIFS('Balancete MLN_WebPosto'!$J:$J,'Balancete MLN_WebPosto'!$C:$C,$A261,'Balancete MLN_WebPosto'!$B:$B,$B$2),
  "0"
)</f>
        <v>0</v>
      </c>
      <c r="N261" s="4" t="str">
        <f>IF(Balancete_Oficial[[#Headers],[Maio]]='Balancete MLN_WebPosto'!$G$2,
SUMIFS('Balancete MLN_WebPosto'!$I:$I,'Balancete MLN_WebPosto'!$C:$C,$A261,'Balancete MLN_WebPosto'!$B:$B,$B$2),
  "0"
)</f>
        <v>0</v>
      </c>
      <c r="O261" s="4" t="str">
        <f>IF(Balancete_Oficial[[#Headers],[Junho]]='Balancete MLN_WebPosto'!$G$2,
SUMIFS('Balancete MLN_WebPosto'!$I:$I,'Balancete MLN_WebPosto'!$C:$C,$A261,'Balancete MLN_WebPosto'!$B:$B,$B$2),
  "0"
)</f>
        <v>0</v>
      </c>
      <c r="P261" s="4" t="str">
        <f>IF(Balancete_Oficial[[#Headers],[Julho]]='Balancete MLN_WebPosto'!$G$2,
SUMIFS('Balancete MLN_WebPosto'!$I:$I,'Balancete MLN_WebPosto'!$C:$C,$A261,'Balancete MLN_WebPosto'!$B:$B,$B$2),
  "0"
)</f>
        <v>0</v>
      </c>
      <c r="Q261" s="4" t="str">
        <f>IF(Balancete_Oficial[[#Headers],[Agosto]]='Balancete MLN_WebPosto'!$G$2,
SUMIFS('Balancete MLN_WebPosto'!$I:$I,'Balancete MLN_WebPosto'!$C:$C,$A261,'Balancete MLN_WebPosto'!$B:$B,$B$2),
  "0"
)</f>
        <v>0</v>
      </c>
      <c r="R261" s="4">
        <f>IF(Balancete_Oficial[[#Headers],[Setembro]]='Balancete MLN_WebPosto'!$G$2,
SUMIFS('Balancete MLN_WebPosto'!$I:$I,'Balancete MLN_WebPosto'!$C:$C,$A261,'Balancete MLN_WebPosto'!$B:$B,$B$2),
  "0"
)</f>
        <v>0</v>
      </c>
      <c r="S261" s="4" t="str">
        <f>IF(Balancete_Oficial[[#Headers],[Outubro]]='Balancete MLN_WebPosto'!$G$2,
SUMIFS('Balancete MLN_WebPosto'!$I:$I,'Balancete MLN_WebPosto'!$C:$C,$A261,'Balancete MLN_WebPosto'!$B:$B,$B$2),
  "0"
)</f>
        <v>0</v>
      </c>
      <c r="T261" s="4" t="str">
        <f>IF(Balancete_Oficial[[#Headers],[Novembro]]='Balancete MLN_WebPosto'!$G$2,
SUMIFS('Balancete MLN_WebPosto'!$I:$I,'Balancete MLN_WebPosto'!$C:$C,$A261,'Balancete MLN_WebPosto'!$B:$B,$B$2),
  "0"
)</f>
        <v>0</v>
      </c>
      <c r="U261" s="4" t="str">
        <f>IF(Balancete_Oficial[[#Headers],[Dezembro]]='Balancete MLN_WebPosto'!$G$2,
SUMIFS('Balancete MLN_WebPosto'!$I:$I,'Balancete MLN_WebPosto'!$C:$C,$A261,'Balancete MLN_WebPosto'!$B:$B,$B$2),
  "0"
)</f>
        <v>0</v>
      </c>
    </row>
    <row r="262" spans="1:21" x14ac:dyDescent="0.25">
      <c r="A262" s="2" t="str">
        <f>IF(Dados!H259="","",Dados!H259)</f>
        <v/>
      </c>
      <c r="B262" s="2" t="e">
        <f>VLOOKUP(Balancete_Oficial[[#This Row],[Conta]],'Balancete MLN_WebPosto'!C:E,3,0)</f>
        <v>#N/A</v>
      </c>
      <c r="C262" s="3" t="str">
        <f t="shared" si="12"/>
        <v>Sintética</v>
      </c>
      <c r="D262" s="6" t="str">
        <f t="shared" si="13"/>
        <v>R</v>
      </c>
      <c r="E262" s="6" t="str">
        <f t="shared" si="14"/>
        <v/>
      </c>
      <c r="F262" s="6"/>
      <c r="G262" s="6"/>
      <c r="H262" s="6"/>
      <c r="I262" s="6"/>
      <c r="J262" s="4" t="str">
        <f>IF(Balancete_Oficial[[#Headers],[Janeiro]]='Balancete MLN_WebPosto'!$G$2,
SUMIFS('Balancete MLN_WebPosto'!$J:$J,'Balancete MLN_WebPosto'!$C:$C,$A262,'Balancete MLN_WebPosto'!$B:$B,$B$2),
  "0"
)</f>
        <v>0</v>
      </c>
      <c r="K262" s="4" t="str">
        <f>IF(Balancete_Oficial[[#Headers],[Fevereiro]]='Balancete MLN_WebPosto'!$G$2,
SUMIFS('Balancete MLN_WebPosto'!$J:$J,'Balancete MLN_WebPosto'!$C:$C,$A262,'Balancete MLN_WebPosto'!$B:$B,$B$2),
  "0"
)</f>
        <v>0</v>
      </c>
      <c r="L262" s="4" t="str">
        <f>IF(Balancete_Oficial[[#Headers],[Março]]='Balancete MLN_WebPosto'!$G$2,
SUMIFS('Balancete MLN_WebPosto'!$J:$J,'Balancete MLN_WebPosto'!$C:$C,$A262,'Balancete MLN_WebPosto'!$B:$B,$B$2),
  "0"
)</f>
        <v>0</v>
      </c>
      <c r="M262" s="4" t="str">
        <f>IF(Balancete_Oficial[[#Headers],[Abril]]='Balancete MLN_WebPosto'!$G$2,
SUMIFS('Balancete MLN_WebPosto'!$J:$J,'Balancete MLN_WebPosto'!$C:$C,$A262,'Balancete MLN_WebPosto'!$B:$B,$B$2),
  "0"
)</f>
        <v>0</v>
      </c>
      <c r="N262" s="4" t="str">
        <f>IF(Balancete_Oficial[[#Headers],[Maio]]='Balancete MLN_WebPosto'!$G$2,
SUMIFS('Balancete MLN_WebPosto'!$I:$I,'Balancete MLN_WebPosto'!$C:$C,$A262,'Balancete MLN_WebPosto'!$B:$B,$B$2),
  "0"
)</f>
        <v>0</v>
      </c>
      <c r="O262" s="4" t="str">
        <f>IF(Balancete_Oficial[[#Headers],[Junho]]='Balancete MLN_WebPosto'!$G$2,
SUMIFS('Balancete MLN_WebPosto'!$I:$I,'Balancete MLN_WebPosto'!$C:$C,$A262,'Balancete MLN_WebPosto'!$B:$B,$B$2),
  "0"
)</f>
        <v>0</v>
      </c>
      <c r="P262" s="4" t="str">
        <f>IF(Balancete_Oficial[[#Headers],[Julho]]='Balancete MLN_WebPosto'!$G$2,
SUMIFS('Balancete MLN_WebPosto'!$I:$I,'Balancete MLN_WebPosto'!$C:$C,$A262,'Balancete MLN_WebPosto'!$B:$B,$B$2),
  "0"
)</f>
        <v>0</v>
      </c>
      <c r="Q262" s="4" t="str">
        <f>IF(Balancete_Oficial[[#Headers],[Agosto]]='Balancete MLN_WebPosto'!$G$2,
SUMIFS('Balancete MLN_WebPosto'!$I:$I,'Balancete MLN_WebPosto'!$C:$C,$A262,'Balancete MLN_WebPosto'!$B:$B,$B$2),
  "0"
)</f>
        <v>0</v>
      </c>
      <c r="R262" s="4">
        <f>IF(Balancete_Oficial[[#Headers],[Setembro]]='Balancete MLN_WebPosto'!$G$2,
SUMIFS('Balancete MLN_WebPosto'!$I:$I,'Balancete MLN_WebPosto'!$C:$C,$A262,'Balancete MLN_WebPosto'!$B:$B,$B$2),
  "0"
)</f>
        <v>0</v>
      </c>
      <c r="S262" s="4" t="str">
        <f>IF(Balancete_Oficial[[#Headers],[Outubro]]='Balancete MLN_WebPosto'!$G$2,
SUMIFS('Balancete MLN_WebPosto'!$I:$I,'Balancete MLN_WebPosto'!$C:$C,$A262,'Balancete MLN_WebPosto'!$B:$B,$B$2),
  "0"
)</f>
        <v>0</v>
      </c>
      <c r="T262" s="4" t="str">
        <f>IF(Balancete_Oficial[[#Headers],[Novembro]]='Balancete MLN_WebPosto'!$G$2,
SUMIFS('Balancete MLN_WebPosto'!$I:$I,'Balancete MLN_WebPosto'!$C:$C,$A262,'Balancete MLN_WebPosto'!$B:$B,$B$2),
  "0"
)</f>
        <v>0</v>
      </c>
      <c r="U262" s="4" t="str">
        <f>IF(Balancete_Oficial[[#Headers],[Dezembro]]='Balancete MLN_WebPosto'!$G$2,
SUMIFS('Balancete MLN_WebPosto'!$I:$I,'Balancete MLN_WebPosto'!$C:$C,$A262,'Balancete MLN_WebPosto'!$B:$B,$B$2),
  "0"
)</f>
        <v>0</v>
      </c>
    </row>
    <row r="263" spans="1:21" x14ac:dyDescent="0.25">
      <c r="A263" s="2" t="str">
        <f>IF(Dados!H260="","",Dados!H260)</f>
        <v/>
      </c>
      <c r="B263" s="2" t="e">
        <f>VLOOKUP(Balancete_Oficial[[#This Row],[Conta]],'Balancete MLN_WebPosto'!C:E,3,0)</f>
        <v>#N/A</v>
      </c>
      <c r="C263" s="3" t="str">
        <f t="shared" si="12"/>
        <v>Sintética</v>
      </c>
      <c r="D263" s="6" t="str">
        <f t="shared" si="13"/>
        <v>R</v>
      </c>
      <c r="E263" s="6" t="str">
        <f t="shared" si="14"/>
        <v/>
      </c>
      <c r="F263" s="6"/>
      <c r="G263" s="6"/>
      <c r="H263" s="6"/>
      <c r="I263" s="6"/>
      <c r="J263" s="4" t="str">
        <f>IF(Balancete_Oficial[[#Headers],[Janeiro]]='Balancete MLN_WebPosto'!$G$2,
SUMIFS('Balancete MLN_WebPosto'!$J:$J,'Balancete MLN_WebPosto'!$C:$C,$A263,'Balancete MLN_WebPosto'!$B:$B,$B$2),
  "0"
)</f>
        <v>0</v>
      </c>
      <c r="K263" s="4" t="str">
        <f>IF(Balancete_Oficial[[#Headers],[Fevereiro]]='Balancete MLN_WebPosto'!$G$2,
SUMIFS('Balancete MLN_WebPosto'!$J:$J,'Balancete MLN_WebPosto'!$C:$C,$A263,'Balancete MLN_WebPosto'!$B:$B,$B$2),
  "0"
)</f>
        <v>0</v>
      </c>
      <c r="L263" s="4" t="str">
        <f>IF(Balancete_Oficial[[#Headers],[Março]]='Balancete MLN_WebPosto'!$G$2,
SUMIFS('Balancete MLN_WebPosto'!$J:$J,'Balancete MLN_WebPosto'!$C:$C,$A263,'Balancete MLN_WebPosto'!$B:$B,$B$2),
  "0"
)</f>
        <v>0</v>
      </c>
      <c r="M263" s="4" t="str">
        <f>IF(Balancete_Oficial[[#Headers],[Abril]]='Balancete MLN_WebPosto'!$G$2,
SUMIFS('Balancete MLN_WebPosto'!$J:$J,'Balancete MLN_WebPosto'!$C:$C,$A263,'Balancete MLN_WebPosto'!$B:$B,$B$2),
  "0"
)</f>
        <v>0</v>
      </c>
      <c r="N263" s="4" t="str">
        <f>IF(Balancete_Oficial[[#Headers],[Maio]]='Balancete MLN_WebPosto'!$G$2,
SUMIFS('Balancete MLN_WebPosto'!$I:$I,'Balancete MLN_WebPosto'!$C:$C,$A263,'Balancete MLN_WebPosto'!$B:$B,$B$2),
  "0"
)</f>
        <v>0</v>
      </c>
      <c r="O263" s="4" t="str">
        <f>IF(Balancete_Oficial[[#Headers],[Junho]]='Balancete MLN_WebPosto'!$G$2,
SUMIFS('Balancete MLN_WebPosto'!$I:$I,'Balancete MLN_WebPosto'!$C:$C,$A263,'Balancete MLN_WebPosto'!$B:$B,$B$2),
  "0"
)</f>
        <v>0</v>
      </c>
      <c r="P263" s="4" t="str">
        <f>IF(Balancete_Oficial[[#Headers],[Julho]]='Balancete MLN_WebPosto'!$G$2,
SUMIFS('Balancete MLN_WebPosto'!$I:$I,'Balancete MLN_WebPosto'!$C:$C,$A263,'Balancete MLN_WebPosto'!$B:$B,$B$2),
  "0"
)</f>
        <v>0</v>
      </c>
      <c r="Q263" s="4" t="str">
        <f>IF(Balancete_Oficial[[#Headers],[Agosto]]='Balancete MLN_WebPosto'!$G$2,
SUMIFS('Balancete MLN_WebPosto'!$I:$I,'Balancete MLN_WebPosto'!$C:$C,$A263,'Balancete MLN_WebPosto'!$B:$B,$B$2),
  "0"
)</f>
        <v>0</v>
      </c>
      <c r="R263" s="4">
        <f>IF(Balancete_Oficial[[#Headers],[Setembro]]='Balancete MLN_WebPosto'!$G$2,
SUMIFS('Balancete MLN_WebPosto'!$I:$I,'Balancete MLN_WebPosto'!$C:$C,$A263,'Balancete MLN_WebPosto'!$B:$B,$B$2),
  "0"
)</f>
        <v>0</v>
      </c>
      <c r="S263" s="4" t="str">
        <f>IF(Balancete_Oficial[[#Headers],[Outubro]]='Balancete MLN_WebPosto'!$G$2,
SUMIFS('Balancete MLN_WebPosto'!$I:$I,'Balancete MLN_WebPosto'!$C:$C,$A263,'Balancete MLN_WebPosto'!$B:$B,$B$2),
  "0"
)</f>
        <v>0</v>
      </c>
      <c r="T263" s="4" t="str">
        <f>IF(Balancete_Oficial[[#Headers],[Novembro]]='Balancete MLN_WebPosto'!$G$2,
SUMIFS('Balancete MLN_WebPosto'!$I:$I,'Balancete MLN_WebPosto'!$C:$C,$A263,'Balancete MLN_WebPosto'!$B:$B,$B$2),
  "0"
)</f>
        <v>0</v>
      </c>
      <c r="U263" s="4" t="str">
        <f>IF(Balancete_Oficial[[#Headers],[Dezembro]]='Balancete MLN_WebPosto'!$G$2,
SUMIFS('Balancete MLN_WebPosto'!$I:$I,'Balancete MLN_WebPosto'!$C:$C,$A263,'Balancete MLN_WebPosto'!$B:$B,$B$2),
  "0"
)</f>
        <v>0</v>
      </c>
    </row>
    <row r="264" spans="1:21" x14ac:dyDescent="0.25">
      <c r="A264" s="2" t="str">
        <f>IF(Dados!H261="","",Dados!H261)</f>
        <v/>
      </c>
      <c r="B264" s="2" t="e">
        <f>VLOOKUP(Balancete_Oficial[[#This Row],[Conta]],'Balancete MLN_WebPosto'!C:E,3,0)</f>
        <v>#N/A</v>
      </c>
      <c r="C264" s="3" t="str">
        <f t="shared" si="12"/>
        <v>Sintética</v>
      </c>
      <c r="D264" s="6" t="str">
        <f t="shared" si="13"/>
        <v>R</v>
      </c>
      <c r="E264" s="6" t="str">
        <f t="shared" si="14"/>
        <v/>
      </c>
      <c r="F264" s="6"/>
      <c r="G264" s="6"/>
      <c r="H264" s="6"/>
      <c r="I264" s="6"/>
      <c r="J264" s="4" t="str">
        <f>IF(Balancete_Oficial[[#Headers],[Janeiro]]='Balancete MLN_WebPosto'!$G$2,
SUMIFS('Balancete MLN_WebPosto'!$J:$J,'Balancete MLN_WebPosto'!$C:$C,$A264,'Balancete MLN_WebPosto'!$B:$B,$B$2),
  "0"
)</f>
        <v>0</v>
      </c>
      <c r="K264" s="4" t="str">
        <f>IF(Balancete_Oficial[[#Headers],[Fevereiro]]='Balancete MLN_WebPosto'!$G$2,
SUMIFS('Balancete MLN_WebPosto'!$J:$J,'Balancete MLN_WebPosto'!$C:$C,$A264,'Balancete MLN_WebPosto'!$B:$B,$B$2),
  "0"
)</f>
        <v>0</v>
      </c>
      <c r="L264" s="4" t="str">
        <f>IF(Balancete_Oficial[[#Headers],[Março]]='Balancete MLN_WebPosto'!$G$2,
SUMIFS('Balancete MLN_WebPosto'!$J:$J,'Balancete MLN_WebPosto'!$C:$C,$A264,'Balancete MLN_WebPosto'!$B:$B,$B$2),
  "0"
)</f>
        <v>0</v>
      </c>
      <c r="M264" s="4" t="str">
        <f>IF(Balancete_Oficial[[#Headers],[Abril]]='Balancete MLN_WebPosto'!$G$2,
SUMIFS('Balancete MLN_WebPosto'!$J:$J,'Balancete MLN_WebPosto'!$C:$C,$A264,'Balancete MLN_WebPosto'!$B:$B,$B$2),
  "0"
)</f>
        <v>0</v>
      </c>
      <c r="N264" s="4" t="str">
        <f>IF(Balancete_Oficial[[#Headers],[Maio]]='Balancete MLN_WebPosto'!$G$2,
SUMIFS('Balancete MLN_WebPosto'!$I:$I,'Balancete MLN_WebPosto'!$C:$C,$A264,'Balancete MLN_WebPosto'!$B:$B,$B$2),
  "0"
)</f>
        <v>0</v>
      </c>
      <c r="O264" s="4" t="str">
        <f>IF(Balancete_Oficial[[#Headers],[Junho]]='Balancete MLN_WebPosto'!$G$2,
SUMIFS('Balancete MLN_WebPosto'!$I:$I,'Balancete MLN_WebPosto'!$C:$C,$A264,'Balancete MLN_WebPosto'!$B:$B,$B$2),
  "0"
)</f>
        <v>0</v>
      </c>
      <c r="P264" s="4" t="str">
        <f>IF(Balancete_Oficial[[#Headers],[Julho]]='Balancete MLN_WebPosto'!$G$2,
SUMIFS('Balancete MLN_WebPosto'!$I:$I,'Balancete MLN_WebPosto'!$C:$C,$A264,'Balancete MLN_WebPosto'!$B:$B,$B$2),
  "0"
)</f>
        <v>0</v>
      </c>
      <c r="Q264" s="4" t="str">
        <f>IF(Balancete_Oficial[[#Headers],[Agosto]]='Balancete MLN_WebPosto'!$G$2,
SUMIFS('Balancete MLN_WebPosto'!$I:$I,'Balancete MLN_WebPosto'!$C:$C,$A264,'Balancete MLN_WebPosto'!$B:$B,$B$2),
  "0"
)</f>
        <v>0</v>
      </c>
      <c r="R264" s="4">
        <f>IF(Balancete_Oficial[[#Headers],[Setembro]]='Balancete MLN_WebPosto'!$G$2,
SUMIFS('Balancete MLN_WebPosto'!$I:$I,'Balancete MLN_WebPosto'!$C:$C,$A264,'Balancete MLN_WebPosto'!$B:$B,$B$2),
  "0"
)</f>
        <v>0</v>
      </c>
      <c r="S264" s="4" t="str">
        <f>IF(Balancete_Oficial[[#Headers],[Outubro]]='Balancete MLN_WebPosto'!$G$2,
SUMIFS('Balancete MLN_WebPosto'!$I:$I,'Balancete MLN_WebPosto'!$C:$C,$A264,'Balancete MLN_WebPosto'!$B:$B,$B$2),
  "0"
)</f>
        <v>0</v>
      </c>
      <c r="T264" s="4" t="str">
        <f>IF(Balancete_Oficial[[#Headers],[Novembro]]='Balancete MLN_WebPosto'!$G$2,
SUMIFS('Balancete MLN_WebPosto'!$I:$I,'Balancete MLN_WebPosto'!$C:$C,$A264,'Balancete MLN_WebPosto'!$B:$B,$B$2),
  "0"
)</f>
        <v>0</v>
      </c>
      <c r="U264" s="4" t="str">
        <f>IF(Balancete_Oficial[[#Headers],[Dezembro]]='Balancete MLN_WebPosto'!$G$2,
SUMIFS('Balancete MLN_WebPosto'!$I:$I,'Balancete MLN_WebPosto'!$C:$C,$A264,'Balancete MLN_WebPosto'!$B:$B,$B$2),
  "0"
)</f>
        <v>0</v>
      </c>
    </row>
    <row r="265" spans="1:21" x14ac:dyDescent="0.25">
      <c r="A265" s="2" t="str">
        <f>IF(Dados!H262="","",Dados!H262)</f>
        <v/>
      </c>
      <c r="B265" s="2" t="e">
        <f>VLOOKUP(Balancete_Oficial[[#This Row],[Conta]],'Balancete MLN_WebPosto'!C:E,3,0)</f>
        <v>#N/A</v>
      </c>
      <c r="C265" s="3" t="str">
        <f t="shared" ref="C265:C277" si="15">IF(LEN(A265)=17,"Analítica","Sintética")</f>
        <v>Sintética</v>
      </c>
      <c r="D265" s="6" t="str">
        <f t="shared" ref="D265:D277" si="16">IF(LEFT(A265,1)="1","A",IF(LEFT(A265,1)="2","P","R"))</f>
        <v>R</v>
      </c>
      <c r="E265" s="6" t="str">
        <f t="shared" ref="E265:E277" si="17">LEFT(A265,1)</f>
        <v/>
      </c>
      <c r="F265" s="6"/>
      <c r="G265" s="6"/>
      <c r="H265" s="6"/>
      <c r="I265" s="6"/>
      <c r="J265" s="4" t="str">
        <f>IF(Balancete_Oficial[[#Headers],[Janeiro]]='Balancete MLN_WebPosto'!$G$2,
SUMIFS('Balancete MLN_WebPosto'!$J:$J,'Balancete MLN_WebPosto'!$C:$C,$A265,'Balancete MLN_WebPosto'!$B:$B,$B$2),
  "0"
)</f>
        <v>0</v>
      </c>
      <c r="K265" s="4" t="str">
        <f>IF(Balancete_Oficial[[#Headers],[Fevereiro]]='Balancete MLN_WebPosto'!$G$2,
SUMIFS('Balancete MLN_WebPosto'!$J:$J,'Balancete MLN_WebPosto'!$C:$C,$A265,'Balancete MLN_WebPosto'!$B:$B,$B$2),
  "0"
)</f>
        <v>0</v>
      </c>
      <c r="L265" s="4" t="str">
        <f>IF(Balancete_Oficial[[#Headers],[Março]]='Balancete MLN_WebPosto'!$G$2,
SUMIFS('Balancete MLN_WebPosto'!$J:$J,'Balancete MLN_WebPosto'!$C:$C,$A265,'Balancete MLN_WebPosto'!$B:$B,$B$2),
  "0"
)</f>
        <v>0</v>
      </c>
      <c r="M265" s="4" t="str">
        <f>IF(Balancete_Oficial[[#Headers],[Abril]]='Balancete MLN_WebPosto'!$G$2,
SUMIFS('Balancete MLN_WebPosto'!$J:$J,'Balancete MLN_WebPosto'!$C:$C,$A265,'Balancete MLN_WebPosto'!$B:$B,$B$2),
  "0"
)</f>
        <v>0</v>
      </c>
      <c r="N265" s="4" t="str">
        <f>IF(Balancete_Oficial[[#Headers],[Maio]]='Balancete MLN_WebPosto'!$G$2,
SUMIFS('Balancete MLN_WebPosto'!$I:$I,'Balancete MLN_WebPosto'!$C:$C,$A265,'Balancete MLN_WebPosto'!$B:$B,$B$2),
  "0"
)</f>
        <v>0</v>
      </c>
      <c r="O265" s="4" t="str">
        <f>IF(Balancete_Oficial[[#Headers],[Junho]]='Balancete MLN_WebPosto'!$G$2,
SUMIFS('Balancete MLN_WebPosto'!$I:$I,'Balancete MLN_WebPosto'!$C:$C,$A265,'Balancete MLN_WebPosto'!$B:$B,$B$2),
  "0"
)</f>
        <v>0</v>
      </c>
      <c r="P265" s="4" t="str">
        <f>IF(Balancete_Oficial[[#Headers],[Julho]]='Balancete MLN_WebPosto'!$G$2,
SUMIFS('Balancete MLN_WebPosto'!$I:$I,'Balancete MLN_WebPosto'!$C:$C,$A265,'Balancete MLN_WebPosto'!$B:$B,$B$2),
  "0"
)</f>
        <v>0</v>
      </c>
      <c r="Q265" s="4" t="str">
        <f>IF(Balancete_Oficial[[#Headers],[Agosto]]='Balancete MLN_WebPosto'!$G$2,
SUMIFS('Balancete MLN_WebPosto'!$I:$I,'Balancete MLN_WebPosto'!$C:$C,$A265,'Balancete MLN_WebPosto'!$B:$B,$B$2),
  "0"
)</f>
        <v>0</v>
      </c>
      <c r="R265" s="4">
        <f>IF(Balancete_Oficial[[#Headers],[Setembro]]='Balancete MLN_WebPosto'!$G$2,
SUMIFS('Balancete MLN_WebPosto'!$I:$I,'Balancete MLN_WebPosto'!$C:$C,$A265,'Balancete MLN_WebPosto'!$B:$B,$B$2),
  "0"
)</f>
        <v>0</v>
      </c>
      <c r="S265" s="4" t="str">
        <f>IF(Balancete_Oficial[[#Headers],[Outubro]]='Balancete MLN_WebPosto'!$G$2,
SUMIFS('Balancete MLN_WebPosto'!$I:$I,'Balancete MLN_WebPosto'!$C:$C,$A265,'Balancete MLN_WebPosto'!$B:$B,$B$2),
  "0"
)</f>
        <v>0</v>
      </c>
      <c r="T265" s="4" t="str">
        <f>IF(Balancete_Oficial[[#Headers],[Novembro]]='Balancete MLN_WebPosto'!$G$2,
SUMIFS('Balancete MLN_WebPosto'!$I:$I,'Balancete MLN_WebPosto'!$C:$C,$A265,'Balancete MLN_WebPosto'!$B:$B,$B$2),
  "0"
)</f>
        <v>0</v>
      </c>
      <c r="U265" s="4" t="str">
        <f>IF(Balancete_Oficial[[#Headers],[Dezembro]]='Balancete MLN_WebPosto'!$G$2,
SUMIFS('Balancete MLN_WebPosto'!$I:$I,'Balancete MLN_WebPosto'!$C:$C,$A265,'Balancete MLN_WebPosto'!$B:$B,$B$2),
  "0"
)</f>
        <v>0</v>
      </c>
    </row>
    <row r="266" spans="1:21" x14ac:dyDescent="0.25">
      <c r="A266" s="2" t="str">
        <f>IF(Dados!H263="","",Dados!H263)</f>
        <v/>
      </c>
      <c r="B266" s="2" t="e">
        <f>VLOOKUP(Balancete_Oficial[[#This Row],[Conta]],'Balancete MLN_WebPosto'!C:E,3,0)</f>
        <v>#N/A</v>
      </c>
      <c r="C266" s="3" t="str">
        <f t="shared" si="15"/>
        <v>Sintética</v>
      </c>
      <c r="D266" s="6" t="str">
        <f t="shared" si="16"/>
        <v>R</v>
      </c>
      <c r="E266" s="6" t="str">
        <f t="shared" si="17"/>
        <v/>
      </c>
      <c r="F266" s="6"/>
      <c r="G266" s="6"/>
      <c r="H266" s="6"/>
      <c r="I266" s="6"/>
      <c r="J266" s="4" t="str">
        <f>IF(Balancete_Oficial[[#Headers],[Janeiro]]='Balancete MLN_WebPosto'!$G$2,
SUMIFS('Balancete MLN_WebPosto'!$J:$J,'Balancete MLN_WebPosto'!$C:$C,$A266,'Balancete MLN_WebPosto'!$B:$B,$B$2),
  "0"
)</f>
        <v>0</v>
      </c>
      <c r="K266" s="4" t="str">
        <f>IF(Balancete_Oficial[[#Headers],[Fevereiro]]='Balancete MLN_WebPosto'!$G$2,
SUMIFS('Balancete MLN_WebPosto'!$J:$J,'Balancete MLN_WebPosto'!$C:$C,$A266,'Balancete MLN_WebPosto'!$B:$B,$B$2),
  "0"
)</f>
        <v>0</v>
      </c>
      <c r="L266" s="4" t="str">
        <f>IF(Balancete_Oficial[[#Headers],[Março]]='Balancete MLN_WebPosto'!$G$2,
SUMIFS('Balancete MLN_WebPosto'!$J:$J,'Balancete MLN_WebPosto'!$C:$C,$A266,'Balancete MLN_WebPosto'!$B:$B,$B$2),
  "0"
)</f>
        <v>0</v>
      </c>
      <c r="M266" s="4" t="str">
        <f>IF(Balancete_Oficial[[#Headers],[Abril]]='Balancete MLN_WebPosto'!$G$2,
SUMIFS('Balancete MLN_WebPosto'!$J:$J,'Balancete MLN_WebPosto'!$C:$C,$A266,'Balancete MLN_WebPosto'!$B:$B,$B$2),
  "0"
)</f>
        <v>0</v>
      </c>
      <c r="N266" s="4" t="str">
        <f>IF(Balancete_Oficial[[#Headers],[Maio]]='Balancete MLN_WebPosto'!$G$2,
SUMIFS('Balancete MLN_WebPosto'!$I:$I,'Balancete MLN_WebPosto'!$C:$C,$A266,'Balancete MLN_WebPosto'!$B:$B,$B$2),
  "0"
)</f>
        <v>0</v>
      </c>
      <c r="O266" s="4" t="str">
        <f>IF(Balancete_Oficial[[#Headers],[Junho]]='Balancete MLN_WebPosto'!$G$2,
SUMIFS('Balancete MLN_WebPosto'!$I:$I,'Balancete MLN_WebPosto'!$C:$C,$A266,'Balancete MLN_WebPosto'!$B:$B,$B$2),
  "0"
)</f>
        <v>0</v>
      </c>
      <c r="P266" s="4" t="str">
        <f>IF(Balancete_Oficial[[#Headers],[Julho]]='Balancete MLN_WebPosto'!$G$2,
SUMIFS('Balancete MLN_WebPosto'!$I:$I,'Balancete MLN_WebPosto'!$C:$C,$A266,'Balancete MLN_WebPosto'!$B:$B,$B$2),
  "0"
)</f>
        <v>0</v>
      </c>
      <c r="Q266" s="4" t="str">
        <f>IF(Balancete_Oficial[[#Headers],[Agosto]]='Balancete MLN_WebPosto'!$G$2,
SUMIFS('Balancete MLN_WebPosto'!$I:$I,'Balancete MLN_WebPosto'!$C:$C,$A266,'Balancete MLN_WebPosto'!$B:$B,$B$2),
  "0"
)</f>
        <v>0</v>
      </c>
      <c r="R266" s="4">
        <f>IF(Balancete_Oficial[[#Headers],[Setembro]]='Balancete MLN_WebPosto'!$G$2,
SUMIFS('Balancete MLN_WebPosto'!$I:$I,'Balancete MLN_WebPosto'!$C:$C,$A266,'Balancete MLN_WebPosto'!$B:$B,$B$2),
  "0"
)</f>
        <v>0</v>
      </c>
      <c r="S266" s="4" t="str">
        <f>IF(Balancete_Oficial[[#Headers],[Outubro]]='Balancete MLN_WebPosto'!$G$2,
SUMIFS('Balancete MLN_WebPosto'!$I:$I,'Balancete MLN_WebPosto'!$C:$C,$A266,'Balancete MLN_WebPosto'!$B:$B,$B$2),
  "0"
)</f>
        <v>0</v>
      </c>
      <c r="T266" s="4" t="str">
        <f>IF(Balancete_Oficial[[#Headers],[Novembro]]='Balancete MLN_WebPosto'!$G$2,
SUMIFS('Balancete MLN_WebPosto'!$I:$I,'Balancete MLN_WebPosto'!$C:$C,$A266,'Balancete MLN_WebPosto'!$B:$B,$B$2),
  "0"
)</f>
        <v>0</v>
      </c>
      <c r="U266" s="4" t="str">
        <f>IF(Balancete_Oficial[[#Headers],[Dezembro]]='Balancete MLN_WebPosto'!$G$2,
SUMIFS('Balancete MLN_WebPosto'!$I:$I,'Balancete MLN_WebPosto'!$C:$C,$A266,'Balancete MLN_WebPosto'!$B:$B,$B$2),
  "0"
)</f>
        <v>0</v>
      </c>
    </row>
    <row r="267" spans="1:21" x14ac:dyDescent="0.25">
      <c r="A267" s="2" t="str">
        <f>IF(Dados!H264="","",Dados!H264)</f>
        <v/>
      </c>
      <c r="B267" s="2" t="e">
        <f>VLOOKUP(Balancete_Oficial[[#This Row],[Conta]],'Balancete MLN_WebPosto'!C:E,3,0)</f>
        <v>#N/A</v>
      </c>
      <c r="C267" s="3" t="str">
        <f t="shared" si="15"/>
        <v>Sintética</v>
      </c>
      <c r="D267" s="6" t="str">
        <f t="shared" si="16"/>
        <v>R</v>
      </c>
      <c r="E267" s="6" t="str">
        <f t="shared" si="17"/>
        <v/>
      </c>
      <c r="F267" s="6"/>
      <c r="G267" s="6"/>
      <c r="H267" s="6"/>
      <c r="I267" s="6"/>
      <c r="J267" s="4" t="str">
        <f>IF(Balancete_Oficial[[#Headers],[Janeiro]]='Balancete MLN_WebPosto'!$G$2,
SUMIFS('Balancete MLN_WebPosto'!$J:$J,'Balancete MLN_WebPosto'!$C:$C,$A267,'Balancete MLN_WebPosto'!$B:$B,$B$2),
  "0"
)</f>
        <v>0</v>
      </c>
      <c r="K267" s="4" t="str">
        <f>IF(Balancete_Oficial[[#Headers],[Fevereiro]]='Balancete MLN_WebPosto'!$G$2,
SUMIFS('Balancete MLN_WebPosto'!$J:$J,'Balancete MLN_WebPosto'!$C:$C,$A267,'Balancete MLN_WebPosto'!$B:$B,$B$2),
  "0"
)</f>
        <v>0</v>
      </c>
      <c r="L267" s="4" t="str">
        <f>IF(Balancete_Oficial[[#Headers],[Março]]='Balancete MLN_WebPosto'!$G$2,
SUMIFS('Balancete MLN_WebPosto'!$J:$J,'Balancete MLN_WebPosto'!$C:$C,$A267,'Balancete MLN_WebPosto'!$B:$B,$B$2),
  "0"
)</f>
        <v>0</v>
      </c>
      <c r="M267" s="4" t="str">
        <f>IF(Balancete_Oficial[[#Headers],[Abril]]='Balancete MLN_WebPosto'!$G$2,
SUMIFS('Balancete MLN_WebPosto'!$J:$J,'Balancete MLN_WebPosto'!$C:$C,$A267,'Balancete MLN_WebPosto'!$B:$B,$B$2),
  "0"
)</f>
        <v>0</v>
      </c>
      <c r="N267" s="4" t="str">
        <f>IF(Balancete_Oficial[[#Headers],[Maio]]='Balancete MLN_WebPosto'!$G$2,
SUMIFS('Balancete MLN_WebPosto'!$I:$I,'Balancete MLN_WebPosto'!$C:$C,$A267,'Balancete MLN_WebPosto'!$B:$B,$B$2),
  "0"
)</f>
        <v>0</v>
      </c>
      <c r="O267" s="4" t="str">
        <f>IF(Balancete_Oficial[[#Headers],[Junho]]='Balancete MLN_WebPosto'!$G$2,
SUMIFS('Balancete MLN_WebPosto'!$I:$I,'Balancete MLN_WebPosto'!$C:$C,$A267,'Balancete MLN_WebPosto'!$B:$B,$B$2),
  "0"
)</f>
        <v>0</v>
      </c>
      <c r="P267" s="4" t="str">
        <f>IF(Balancete_Oficial[[#Headers],[Julho]]='Balancete MLN_WebPosto'!$G$2,
SUMIFS('Balancete MLN_WebPosto'!$I:$I,'Balancete MLN_WebPosto'!$C:$C,$A267,'Balancete MLN_WebPosto'!$B:$B,$B$2),
  "0"
)</f>
        <v>0</v>
      </c>
      <c r="Q267" s="4" t="str">
        <f>IF(Balancete_Oficial[[#Headers],[Agosto]]='Balancete MLN_WebPosto'!$G$2,
SUMIFS('Balancete MLN_WebPosto'!$I:$I,'Balancete MLN_WebPosto'!$C:$C,$A267,'Balancete MLN_WebPosto'!$B:$B,$B$2),
  "0"
)</f>
        <v>0</v>
      </c>
      <c r="R267" s="4">
        <f>IF(Balancete_Oficial[[#Headers],[Setembro]]='Balancete MLN_WebPosto'!$G$2,
SUMIFS('Balancete MLN_WebPosto'!$I:$I,'Balancete MLN_WebPosto'!$C:$C,$A267,'Balancete MLN_WebPosto'!$B:$B,$B$2),
  "0"
)</f>
        <v>0</v>
      </c>
      <c r="S267" s="4" t="str">
        <f>IF(Balancete_Oficial[[#Headers],[Outubro]]='Balancete MLN_WebPosto'!$G$2,
SUMIFS('Balancete MLN_WebPosto'!$I:$I,'Balancete MLN_WebPosto'!$C:$C,$A267,'Balancete MLN_WebPosto'!$B:$B,$B$2),
  "0"
)</f>
        <v>0</v>
      </c>
      <c r="T267" s="4" t="str">
        <f>IF(Balancete_Oficial[[#Headers],[Novembro]]='Balancete MLN_WebPosto'!$G$2,
SUMIFS('Balancete MLN_WebPosto'!$I:$I,'Balancete MLN_WebPosto'!$C:$C,$A267,'Balancete MLN_WebPosto'!$B:$B,$B$2),
  "0"
)</f>
        <v>0</v>
      </c>
      <c r="U267" s="4" t="str">
        <f>IF(Balancete_Oficial[[#Headers],[Dezembro]]='Balancete MLN_WebPosto'!$G$2,
SUMIFS('Balancete MLN_WebPosto'!$I:$I,'Balancete MLN_WebPosto'!$C:$C,$A267,'Balancete MLN_WebPosto'!$B:$B,$B$2),
  "0"
)</f>
        <v>0</v>
      </c>
    </row>
    <row r="268" spans="1:21" x14ac:dyDescent="0.25">
      <c r="A268" s="2" t="str">
        <f>IF(Dados!H265="","",Dados!H265)</f>
        <v/>
      </c>
      <c r="B268" s="2" t="e">
        <f>VLOOKUP(Balancete_Oficial[[#This Row],[Conta]],'Balancete MLN_WebPosto'!C:E,3,0)</f>
        <v>#N/A</v>
      </c>
      <c r="C268" s="3" t="str">
        <f t="shared" si="15"/>
        <v>Sintética</v>
      </c>
      <c r="D268" s="6" t="str">
        <f t="shared" si="16"/>
        <v>R</v>
      </c>
      <c r="E268" s="6" t="str">
        <f t="shared" si="17"/>
        <v/>
      </c>
      <c r="F268" s="6"/>
      <c r="G268" s="6"/>
      <c r="H268" s="6"/>
      <c r="I268" s="6"/>
      <c r="J268" s="4" t="str">
        <f>IF(Balancete_Oficial[[#Headers],[Janeiro]]='Balancete MLN_WebPosto'!$G$2,
SUMIFS('Balancete MLN_WebPosto'!$J:$J,'Balancete MLN_WebPosto'!$C:$C,$A268,'Balancete MLN_WebPosto'!$B:$B,$B$2),
  "0"
)</f>
        <v>0</v>
      </c>
      <c r="K268" s="4" t="str">
        <f>IF(Balancete_Oficial[[#Headers],[Fevereiro]]='Balancete MLN_WebPosto'!$G$2,
SUMIFS('Balancete MLN_WebPosto'!$J:$J,'Balancete MLN_WebPosto'!$C:$C,$A268,'Balancete MLN_WebPosto'!$B:$B,$B$2),
  "0"
)</f>
        <v>0</v>
      </c>
      <c r="L268" s="4" t="str">
        <f>IF(Balancete_Oficial[[#Headers],[Março]]='Balancete MLN_WebPosto'!$G$2,
SUMIFS('Balancete MLN_WebPosto'!$J:$J,'Balancete MLN_WebPosto'!$C:$C,$A268,'Balancete MLN_WebPosto'!$B:$B,$B$2),
  "0"
)</f>
        <v>0</v>
      </c>
      <c r="M268" s="4" t="str">
        <f>IF(Balancete_Oficial[[#Headers],[Abril]]='Balancete MLN_WebPosto'!$G$2,
SUMIFS('Balancete MLN_WebPosto'!$J:$J,'Balancete MLN_WebPosto'!$C:$C,$A268,'Balancete MLN_WebPosto'!$B:$B,$B$2),
  "0"
)</f>
        <v>0</v>
      </c>
      <c r="N268" s="4" t="str">
        <f>IF(Balancete_Oficial[[#Headers],[Maio]]='Balancete MLN_WebPosto'!$G$2,
SUMIFS('Balancete MLN_WebPosto'!$I:$I,'Balancete MLN_WebPosto'!$C:$C,$A268,'Balancete MLN_WebPosto'!$B:$B,$B$2),
  "0"
)</f>
        <v>0</v>
      </c>
      <c r="O268" s="4" t="str">
        <f>IF(Balancete_Oficial[[#Headers],[Junho]]='Balancete MLN_WebPosto'!$G$2,
SUMIFS('Balancete MLN_WebPosto'!$I:$I,'Balancete MLN_WebPosto'!$C:$C,$A268,'Balancete MLN_WebPosto'!$B:$B,$B$2),
  "0"
)</f>
        <v>0</v>
      </c>
      <c r="P268" s="4" t="str">
        <f>IF(Balancete_Oficial[[#Headers],[Julho]]='Balancete MLN_WebPosto'!$G$2,
SUMIFS('Balancete MLN_WebPosto'!$I:$I,'Balancete MLN_WebPosto'!$C:$C,$A268,'Balancete MLN_WebPosto'!$B:$B,$B$2),
  "0"
)</f>
        <v>0</v>
      </c>
      <c r="Q268" s="4" t="str">
        <f>IF(Balancete_Oficial[[#Headers],[Agosto]]='Balancete MLN_WebPosto'!$G$2,
SUMIFS('Balancete MLN_WebPosto'!$I:$I,'Balancete MLN_WebPosto'!$C:$C,$A268,'Balancete MLN_WebPosto'!$B:$B,$B$2),
  "0"
)</f>
        <v>0</v>
      </c>
      <c r="R268" s="4">
        <f>IF(Balancete_Oficial[[#Headers],[Setembro]]='Balancete MLN_WebPosto'!$G$2,
SUMIFS('Balancete MLN_WebPosto'!$I:$I,'Balancete MLN_WebPosto'!$C:$C,$A268,'Balancete MLN_WebPosto'!$B:$B,$B$2),
  "0"
)</f>
        <v>0</v>
      </c>
      <c r="S268" s="4" t="str">
        <f>IF(Balancete_Oficial[[#Headers],[Outubro]]='Balancete MLN_WebPosto'!$G$2,
SUMIFS('Balancete MLN_WebPosto'!$I:$I,'Balancete MLN_WebPosto'!$C:$C,$A268,'Balancete MLN_WebPosto'!$B:$B,$B$2),
  "0"
)</f>
        <v>0</v>
      </c>
      <c r="T268" s="4" t="str">
        <f>IF(Balancete_Oficial[[#Headers],[Novembro]]='Balancete MLN_WebPosto'!$G$2,
SUMIFS('Balancete MLN_WebPosto'!$I:$I,'Balancete MLN_WebPosto'!$C:$C,$A268,'Balancete MLN_WebPosto'!$B:$B,$B$2),
  "0"
)</f>
        <v>0</v>
      </c>
      <c r="U268" s="4" t="str">
        <f>IF(Balancete_Oficial[[#Headers],[Dezembro]]='Balancete MLN_WebPosto'!$G$2,
SUMIFS('Balancete MLN_WebPosto'!$I:$I,'Balancete MLN_WebPosto'!$C:$C,$A268,'Balancete MLN_WebPosto'!$B:$B,$B$2),
  "0"
)</f>
        <v>0</v>
      </c>
    </row>
    <row r="269" spans="1:21" x14ac:dyDescent="0.25">
      <c r="A269" s="2" t="str">
        <f>IF(Dados!H266="","",Dados!H266)</f>
        <v/>
      </c>
      <c r="B269" s="2" t="e">
        <f>VLOOKUP(Balancete_Oficial[[#This Row],[Conta]],'Balancete MLN_WebPosto'!C:E,3,0)</f>
        <v>#N/A</v>
      </c>
      <c r="C269" s="3" t="str">
        <f t="shared" si="15"/>
        <v>Sintética</v>
      </c>
      <c r="D269" s="6" t="str">
        <f t="shared" si="16"/>
        <v>R</v>
      </c>
      <c r="E269" s="6" t="str">
        <f t="shared" si="17"/>
        <v/>
      </c>
      <c r="F269" s="6"/>
      <c r="G269" s="6"/>
      <c r="H269" s="6"/>
      <c r="I269" s="6"/>
      <c r="J269" s="4" t="str">
        <f>IF(Balancete_Oficial[[#Headers],[Janeiro]]='Balancete MLN_WebPosto'!$G$2,
SUMIFS('Balancete MLN_WebPosto'!$J:$J,'Balancete MLN_WebPosto'!$C:$C,$A269,'Balancete MLN_WebPosto'!$B:$B,$B$2),
  "0"
)</f>
        <v>0</v>
      </c>
      <c r="K269" s="4" t="str">
        <f>IF(Balancete_Oficial[[#Headers],[Fevereiro]]='Balancete MLN_WebPosto'!$G$2,
SUMIFS('Balancete MLN_WebPosto'!$J:$J,'Balancete MLN_WebPosto'!$C:$C,$A269,'Balancete MLN_WebPosto'!$B:$B,$B$2),
  "0"
)</f>
        <v>0</v>
      </c>
      <c r="L269" s="4" t="str">
        <f>IF(Balancete_Oficial[[#Headers],[Março]]='Balancete MLN_WebPosto'!$G$2,
SUMIFS('Balancete MLN_WebPosto'!$J:$J,'Balancete MLN_WebPosto'!$C:$C,$A269,'Balancete MLN_WebPosto'!$B:$B,$B$2),
  "0"
)</f>
        <v>0</v>
      </c>
      <c r="M269" s="4" t="str">
        <f>IF(Balancete_Oficial[[#Headers],[Abril]]='Balancete MLN_WebPosto'!$G$2,
SUMIFS('Balancete MLN_WebPosto'!$J:$J,'Balancete MLN_WebPosto'!$C:$C,$A269,'Balancete MLN_WebPosto'!$B:$B,$B$2),
  "0"
)</f>
        <v>0</v>
      </c>
      <c r="N269" s="4" t="str">
        <f>IF(Balancete_Oficial[[#Headers],[Maio]]='Balancete MLN_WebPosto'!$G$2,
SUMIFS('Balancete MLN_WebPosto'!$I:$I,'Balancete MLN_WebPosto'!$C:$C,$A269,'Balancete MLN_WebPosto'!$B:$B,$B$2),
  "0"
)</f>
        <v>0</v>
      </c>
      <c r="O269" s="4" t="str">
        <f>IF(Balancete_Oficial[[#Headers],[Junho]]='Balancete MLN_WebPosto'!$G$2,
SUMIFS('Balancete MLN_WebPosto'!$I:$I,'Balancete MLN_WebPosto'!$C:$C,$A269,'Balancete MLN_WebPosto'!$B:$B,$B$2),
  "0"
)</f>
        <v>0</v>
      </c>
      <c r="P269" s="4" t="str">
        <f>IF(Balancete_Oficial[[#Headers],[Julho]]='Balancete MLN_WebPosto'!$G$2,
SUMIFS('Balancete MLN_WebPosto'!$I:$I,'Balancete MLN_WebPosto'!$C:$C,$A269,'Balancete MLN_WebPosto'!$B:$B,$B$2),
  "0"
)</f>
        <v>0</v>
      </c>
      <c r="Q269" s="4" t="str">
        <f>IF(Balancete_Oficial[[#Headers],[Agosto]]='Balancete MLN_WebPosto'!$G$2,
SUMIFS('Balancete MLN_WebPosto'!$I:$I,'Balancete MLN_WebPosto'!$C:$C,$A269,'Balancete MLN_WebPosto'!$B:$B,$B$2),
  "0"
)</f>
        <v>0</v>
      </c>
      <c r="R269" s="4">
        <f>IF(Balancete_Oficial[[#Headers],[Setembro]]='Balancete MLN_WebPosto'!$G$2,
SUMIFS('Balancete MLN_WebPosto'!$I:$I,'Balancete MLN_WebPosto'!$C:$C,$A269,'Balancete MLN_WebPosto'!$B:$B,$B$2),
  "0"
)</f>
        <v>0</v>
      </c>
      <c r="S269" s="4" t="str">
        <f>IF(Balancete_Oficial[[#Headers],[Outubro]]='Balancete MLN_WebPosto'!$G$2,
SUMIFS('Balancete MLN_WebPosto'!$I:$I,'Balancete MLN_WebPosto'!$C:$C,$A269,'Balancete MLN_WebPosto'!$B:$B,$B$2),
  "0"
)</f>
        <v>0</v>
      </c>
      <c r="T269" s="4" t="str">
        <f>IF(Balancete_Oficial[[#Headers],[Novembro]]='Balancete MLN_WebPosto'!$G$2,
SUMIFS('Balancete MLN_WebPosto'!$I:$I,'Balancete MLN_WebPosto'!$C:$C,$A269,'Balancete MLN_WebPosto'!$B:$B,$B$2),
  "0"
)</f>
        <v>0</v>
      </c>
      <c r="U269" s="4" t="str">
        <f>IF(Balancete_Oficial[[#Headers],[Dezembro]]='Balancete MLN_WebPosto'!$G$2,
SUMIFS('Balancete MLN_WebPosto'!$I:$I,'Balancete MLN_WebPosto'!$C:$C,$A269,'Balancete MLN_WebPosto'!$B:$B,$B$2),
  "0"
)</f>
        <v>0</v>
      </c>
    </row>
    <row r="270" spans="1:21" x14ac:dyDescent="0.25">
      <c r="A270" s="2" t="str">
        <f>IF(Dados!H267="","",Dados!H267)</f>
        <v/>
      </c>
      <c r="B270" s="2" t="e">
        <f>VLOOKUP(Balancete_Oficial[[#This Row],[Conta]],'Balancete MLN_WebPosto'!C:E,3,0)</f>
        <v>#N/A</v>
      </c>
      <c r="C270" s="3" t="str">
        <f t="shared" si="15"/>
        <v>Sintética</v>
      </c>
      <c r="D270" s="6" t="str">
        <f t="shared" si="16"/>
        <v>R</v>
      </c>
      <c r="E270" s="6" t="str">
        <f t="shared" si="17"/>
        <v/>
      </c>
      <c r="F270" s="6"/>
      <c r="G270" s="6"/>
      <c r="H270" s="6"/>
      <c r="I270" s="6"/>
      <c r="J270" s="4" t="str">
        <f>IF(Balancete_Oficial[[#Headers],[Janeiro]]='Balancete MLN_WebPosto'!$G$2,
SUMIFS('Balancete MLN_WebPosto'!$J:$J,'Balancete MLN_WebPosto'!$C:$C,$A270,'Balancete MLN_WebPosto'!$B:$B,$B$2),
  "0"
)</f>
        <v>0</v>
      </c>
      <c r="K270" s="4" t="str">
        <f>IF(Balancete_Oficial[[#Headers],[Fevereiro]]='Balancete MLN_WebPosto'!$G$2,
SUMIFS('Balancete MLN_WebPosto'!$J:$J,'Balancete MLN_WebPosto'!$C:$C,$A270,'Balancete MLN_WebPosto'!$B:$B,$B$2),
  "0"
)</f>
        <v>0</v>
      </c>
      <c r="L270" s="4" t="str">
        <f>IF(Balancete_Oficial[[#Headers],[Março]]='Balancete MLN_WebPosto'!$G$2,
SUMIFS('Balancete MLN_WebPosto'!$J:$J,'Balancete MLN_WebPosto'!$C:$C,$A270,'Balancete MLN_WebPosto'!$B:$B,$B$2),
  "0"
)</f>
        <v>0</v>
      </c>
      <c r="M270" s="4" t="str">
        <f>IF(Balancete_Oficial[[#Headers],[Abril]]='Balancete MLN_WebPosto'!$G$2,
SUMIFS('Balancete MLN_WebPosto'!$J:$J,'Balancete MLN_WebPosto'!$C:$C,$A270,'Balancete MLN_WebPosto'!$B:$B,$B$2),
  "0"
)</f>
        <v>0</v>
      </c>
      <c r="N270" s="4" t="str">
        <f>IF(Balancete_Oficial[[#Headers],[Maio]]='Balancete MLN_WebPosto'!$G$2,
SUMIFS('Balancete MLN_WebPosto'!$I:$I,'Balancete MLN_WebPosto'!$C:$C,$A270,'Balancete MLN_WebPosto'!$B:$B,$B$2),
  "0"
)</f>
        <v>0</v>
      </c>
      <c r="O270" s="4" t="str">
        <f>IF(Balancete_Oficial[[#Headers],[Junho]]='Balancete MLN_WebPosto'!$G$2,
SUMIFS('Balancete MLN_WebPosto'!$I:$I,'Balancete MLN_WebPosto'!$C:$C,$A270,'Balancete MLN_WebPosto'!$B:$B,$B$2),
  "0"
)</f>
        <v>0</v>
      </c>
      <c r="P270" s="4" t="str">
        <f>IF(Balancete_Oficial[[#Headers],[Julho]]='Balancete MLN_WebPosto'!$G$2,
SUMIFS('Balancete MLN_WebPosto'!$I:$I,'Balancete MLN_WebPosto'!$C:$C,$A270,'Balancete MLN_WebPosto'!$B:$B,$B$2),
  "0"
)</f>
        <v>0</v>
      </c>
      <c r="Q270" s="4" t="str">
        <f>IF(Balancete_Oficial[[#Headers],[Agosto]]='Balancete MLN_WebPosto'!$G$2,
SUMIFS('Balancete MLN_WebPosto'!$I:$I,'Balancete MLN_WebPosto'!$C:$C,$A270,'Balancete MLN_WebPosto'!$B:$B,$B$2),
  "0"
)</f>
        <v>0</v>
      </c>
      <c r="R270" s="4">
        <f>IF(Balancete_Oficial[[#Headers],[Setembro]]='Balancete MLN_WebPosto'!$G$2,
SUMIFS('Balancete MLN_WebPosto'!$I:$I,'Balancete MLN_WebPosto'!$C:$C,$A270,'Balancete MLN_WebPosto'!$B:$B,$B$2),
  "0"
)</f>
        <v>0</v>
      </c>
      <c r="S270" s="4" t="str">
        <f>IF(Balancete_Oficial[[#Headers],[Outubro]]='Balancete MLN_WebPosto'!$G$2,
SUMIFS('Balancete MLN_WebPosto'!$I:$I,'Balancete MLN_WebPosto'!$C:$C,$A270,'Balancete MLN_WebPosto'!$B:$B,$B$2),
  "0"
)</f>
        <v>0</v>
      </c>
      <c r="T270" s="4" t="str">
        <f>IF(Balancete_Oficial[[#Headers],[Novembro]]='Balancete MLN_WebPosto'!$G$2,
SUMIFS('Balancete MLN_WebPosto'!$I:$I,'Balancete MLN_WebPosto'!$C:$C,$A270,'Balancete MLN_WebPosto'!$B:$B,$B$2),
  "0"
)</f>
        <v>0</v>
      </c>
      <c r="U270" s="4" t="str">
        <f>IF(Balancete_Oficial[[#Headers],[Dezembro]]='Balancete MLN_WebPosto'!$G$2,
SUMIFS('Balancete MLN_WebPosto'!$I:$I,'Balancete MLN_WebPosto'!$C:$C,$A270,'Balancete MLN_WebPosto'!$B:$B,$B$2),
  "0"
)</f>
        <v>0</v>
      </c>
    </row>
    <row r="271" spans="1:21" x14ac:dyDescent="0.25">
      <c r="A271" s="2" t="str">
        <f>IF(Dados!H268="","",Dados!H268)</f>
        <v/>
      </c>
      <c r="B271" s="2" t="e">
        <f>VLOOKUP(Balancete_Oficial[[#This Row],[Conta]],'Balancete MLN_WebPosto'!C:E,3,0)</f>
        <v>#N/A</v>
      </c>
      <c r="C271" s="3" t="str">
        <f t="shared" si="15"/>
        <v>Sintética</v>
      </c>
      <c r="D271" s="6" t="str">
        <f t="shared" si="16"/>
        <v>R</v>
      </c>
      <c r="E271" s="6" t="str">
        <f t="shared" si="17"/>
        <v/>
      </c>
      <c r="F271" s="6"/>
      <c r="G271" s="6"/>
      <c r="H271" s="6"/>
      <c r="I271" s="6"/>
      <c r="J271" s="4" t="str">
        <f>IF(Balancete_Oficial[[#Headers],[Janeiro]]='Balancete MLN_WebPosto'!$G$2,
SUMIFS('Balancete MLN_WebPosto'!$J:$J,'Balancete MLN_WebPosto'!$C:$C,$A271,'Balancete MLN_WebPosto'!$B:$B,$B$2),
  "0"
)</f>
        <v>0</v>
      </c>
      <c r="K271" s="4" t="str">
        <f>IF(Balancete_Oficial[[#Headers],[Fevereiro]]='Balancete MLN_WebPosto'!$G$2,
SUMIFS('Balancete MLN_WebPosto'!$J:$J,'Balancete MLN_WebPosto'!$C:$C,$A271,'Balancete MLN_WebPosto'!$B:$B,$B$2),
  "0"
)</f>
        <v>0</v>
      </c>
      <c r="L271" s="4" t="str">
        <f>IF(Balancete_Oficial[[#Headers],[Março]]='Balancete MLN_WebPosto'!$G$2,
SUMIFS('Balancete MLN_WebPosto'!$J:$J,'Balancete MLN_WebPosto'!$C:$C,$A271,'Balancete MLN_WebPosto'!$B:$B,$B$2),
  "0"
)</f>
        <v>0</v>
      </c>
      <c r="M271" s="4" t="str">
        <f>IF(Balancete_Oficial[[#Headers],[Abril]]='Balancete MLN_WebPosto'!$G$2,
SUMIFS('Balancete MLN_WebPosto'!$J:$J,'Balancete MLN_WebPosto'!$C:$C,$A271,'Balancete MLN_WebPosto'!$B:$B,$B$2),
  "0"
)</f>
        <v>0</v>
      </c>
      <c r="N271" s="4" t="str">
        <f>IF(Balancete_Oficial[[#Headers],[Maio]]='Balancete MLN_WebPosto'!$G$2,
SUMIFS('Balancete MLN_WebPosto'!$I:$I,'Balancete MLN_WebPosto'!$C:$C,$A271,'Balancete MLN_WebPosto'!$B:$B,$B$2),
  "0"
)</f>
        <v>0</v>
      </c>
      <c r="O271" s="4" t="str">
        <f>IF(Balancete_Oficial[[#Headers],[Junho]]='Balancete MLN_WebPosto'!$G$2,
SUMIFS('Balancete MLN_WebPosto'!$I:$I,'Balancete MLN_WebPosto'!$C:$C,$A271,'Balancete MLN_WebPosto'!$B:$B,$B$2),
  "0"
)</f>
        <v>0</v>
      </c>
      <c r="P271" s="4" t="str">
        <f>IF(Balancete_Oficial[[#Headers],[Julho]]='Balancete MLN_WebPosto'!$G$2,
SUMIFS('Balancete MLN_WebPosto'!$I:$I,'Balancete MLN_WebPosto'!$C:$C,$A271,'Balancete MLN_WebPosto'!$B:$B,$B$2),
  "0"
)</f>
        <v>0</v>
      </c>
      <c r="Q271" s="4" t="str">
        <f>IF(Balancete_Oficial[[#Headers],[Agosto]]='Balancete MLN_WebPosto'!$G$2,
SUMIFS('Balancete MLN_WebPosto'!$I:$I,'Balancete MLN_WebPosto'!$C:$C,$A271,'Balancete MLN_WebPosto'!$B:$B,$B$2),
  "0"
)</f>
        <v>0</v>
      </c>
      <c r="R271" s="4">
        <f>IF(Balancete_Oficial[[#Headers],[Setembro]]='Balancete MLN_WebPosto'!$G$2,
SUMIFS('Balancete MLN_WebPosto'!$I:$I,'Balancete MLN_WebPosto'!$C:$C,$A271,'Balancete MLN_WebPosto'!$B:$B,$B$2),
  "0"
)</f>
        <v>0</v>
      </c>
      <c r="S271" s="4" t="str">
        <f>IF(Balancete_Oficial[[#Headers],[Outubro]]='Balancete MLN_WebPosto'!$G$2,
SUMIFS('Balancete MLN_WebPosto'!$I:$I,'Balancete MLN_WebPosto'!$C:$C,$A271,'Balancete MLN_WebPosto'!$B:$B,$B$2),
  "0"
)</f>
        <v>0</v>
      </c>
      <c r="T271" s="4" t="str">
        <f>IF(Balancete_Oficial[[#Headers],[Novembro]]='Balancete MLN_WebPosto'!$G$2,
SUMIFS('Balancete MLN_WebPosto'!$I:$I,'Balancete MLN_WebPosto'!$C:$C,$A271,'Balancete MLN_WebPosto'!$B:$B,$B$2),
  "0"
)</f>
        <v>0</v>
      </c>
      <c r="U271" s="4" t="str">
        <f>IF(Balancete_Oficial[[#Headers],[Dezembro]]='Balancete MLN_WebPosto'!$G$2,
SUMIFS('Balancete MLN_WebPosto'!$I:$I,'Balancete MLN_WebPosto'!$C:$C,$A271,'Balancete MLN_WebPosto'!$B:$B,$B$2),
  "0"
)</f>
        <v>0</v>
      </c>
    </row>
    <row r="272" spans="1:21" x14ac:dyDescent="0.25">
      <c r="A272" s="2" t="str">
        <f>IF(Dados!H269="","",Dados!H269)</f>
        <v/>
      </c>
      <c r="B272" s="2" t="e">
        <f>VLOOKUP(Balancete_Oficial[[#This Row],[Conta]],'Balancete MLN_WebPosto'!C:E,3,0)</f>
        <v>#N/A</v>
      </c>
      <c r="C272" s="3" t="str">
        <f t="shared" si="15"/>
        <v>Sintética</v>
      </c>
      <c r="D272" s="6" t="str">
        <f t="shared" si="16"/>
        <v>R</v>
      </c>
      <c r="E272" s="6" t="str">
        <f t="shared" si="17"/>
        <v/>
      </c>
      <c r="F272" s="6"/>
      <c r="G272" s="6"/>
      <c r="H272" s="6"/>
      <c r="I272" s="6"/>
      <c r="J272" s="4" t="str">
        <f>IF(Balancete_Oficial[[#Headers],[Janeiro]]='Balancete MLN_WebPosto'!$G$2,
SUMIFS('Balancete MLN_WebPosto'!$J:$J,'Balancete MLN_WebPosto'!$C:$C,$A272,'Balancete MLN_WebPosto'!$B:$B,$B$2),
  "0"
)</f>
        <v>0</v>
      </c>
      <c r="K272" s="4" t="str">
        <f>IF(Balancete_Oficial[[#Headers],[Fevereiro]]='Balancete MLN_WebPosto'!$G$2,
SUMIFS('Balancete MLN_WebPosto'!$J:$J,'Balancete MLN_WebPosto'!$C:$C,$A272,'Balancete MLN_WebPosto'!$B:$B,$B$2),
  "0"
)</f>
        <v>0</v>
      </c>
      <c r="L272" s="4" t="str">
        <f>IF(Balancete_Oficial[[#Headers],[Março]]='Balancete MLN_WebPosto'!$G$2,
SUMIFS('Balancete MLN_WebPosto'!$J:$J,'Balancete MLN_WebPosto'!$C:$C,$A272,'Balancete MLN_WebPosto'!$B:$B,$B$2),
  "0"
)</f>
        <v>0</v>
      </c>
      <c r="M272" s="4" t="str">
        <f>IF(Balancete_Oficial[[#Headers],[Abril]]='Balancete MLN_WebPosto'!$G$2,
SUMIFS('Balancete MLN_WebPosto'!$J:$J,'Balancete MLN_WebPosto'!$C:$C,$A272,'Balancete MLN_WebPosto'!$B:$B,$B$2),
  "0"
)</f>
        <v>0</v>
      </c>
      <c r="N272" s="4" t="str">
        <f>IF(Balancete_Oficial[[#Headers],[Maio]]='Balancete MLN_WebPosto'!$G$2,
SUMIFS('Balancete MLN_WebPosto'!$I:$I,'Balancete MLN_WebPosto'!$C:$C,$A272,'Balancete MLN_WebPosto'!$B:$B,$B$2),
  "0"
)</f>
        <v>0</v>
      </c>
      <c r="O272" s="4" t="str">
        <f>IF(Balancete_Oficial[[#Headers],[Junho]]='Balancete MLN_WebPosto'!$G$2,
SUMIFS('Balancete MLN_WebPosto'!$I:$I,'Balancete MLN_WebPosto'!$C:$C,$A272,'Balancete MLN_WebPosto'!$B:$B,$B$2),
  "0"
)</f>
        <v>0</v>
      </c>
      <c r="P272" s="4" t="str">
        <f>IF(Balancete_Oficial[[#Headers],[Julho]]='Balancete MLN_WebPosto'!$G$2,
SUMIFS('Balancete MLN_WebPosto'!$I:$I,'Balancete MLN_WebPosto'!$C:$C,$A272,'Balancete MLN_WebPosto'!$B:$B,$B$2),
  "0"
)</f>
        <v>0</v>
      </c>
      <c r="Q272" s="4" t="str">
        <f>IF(Balancete_Oficial[[#Headers],[Agosto]]='Balancete MLN_WebPosto'!$G$2,
SUMIFS('Balancete MLN_WebPosto'!$I:$I,'Balancete MLN_WebPosto'!$C:$C,$A272,'Balancete MLN_WebPosto'!$B:$B,$B$2),
  "0"
)</f>
        <v>0</v>
      </c>
      <c r="R272" s="4">
        <f>IF(Balancete_Oficial[[#Headers],[Setembro]]='Balancete MLN_WebPosto'!$G$2,
SUMIFS('Balancete MLN_WebPosto'!$I:$I,'Balancete MLN_WebPosto'!$C:$C,$A272,'Balancete MLN_WebPosto'!$B:$B,$B$2),
  "0"
)</f>
        <v>0</v>
      </c>
      <c r="S272" s="4" t="str">
        <f>IF(Balancete_Oficial[[#Headers],[Outubro]]='Balancete MLN_WebPosto'!$G$2,
SUMIFS('Balancete MLN_WebPosto'!$I:$I,'Balancete MLN_WebPosto'!$C:$C,$A272,'Balancete MLN_WebPosto'!$B:$B,$B$2),
  "0"
)</f>
        <v>0</v>
      </c>
      <c r="T272" s="4" t="str">
        <f>IF(Balancete_Oficial[[#Headers],[Novembro]]='Balancete MLN_WebPosto'!$G$2,
SUMIFS('Balancete MLN_WebPosto'!$I:$I,'Balancete MLN_WebPosto'!$C:$C,$A272,'Balancete MLN_WebPosto'!$B:$B,$B$2),
  "0"
)</f>
        <v>0</v>
      </c>
      <c r="U272" s="4" t="str">
        <f>IF(Balancete_Oficial[[#Headers],[Dezembro]]='Balancete MLN_WebPosto'!$G$2,
SUMIFS('Balancete MLN_WebPosto'!$I:$I,'Balancete MLN_WebPosto'!$C:$C,$A272,'Balancete MLN_WebPosto'!$B:$B,$B$2),
  "0"
)</f>
        <v>0</v>
      </c>
    </row>
    <row r="273" spans="1:21" x14ac:dyDescent="0.25">
      <c r="A273" s="2" t="str">
        <f>IF(Dados!H270="","",Dados!H270)</f>
        <v/>
      </c>
      <c r="B273" s="2" t="e">
        <f>VLOOKUP(Balancete_Oficial[[#This Row],[Conta]],'Balancete MLN_WebPosto'!C:E,3,0)</f>
        <v>#N/A</v>
      </c>
      <c r="C273" s="3" t="str">
        <f t="shared" si="15"/>
        <v>Sintética</v>
      </c>
      <c r="D273" s="6" t="str">
        <f t="shared" si="16"/>
        <v>R</v>
      </c>
      <c r="E273" s="6" t="str">
        <f t="shared" si="17"/>
        <v/>
      </c>
      <c r="F273" s="6"/>
      <c r="G273" s="6"/>
      <c r="H273" s="6"/>
      <c r="I273" s="6"/>
      <c r="J273" s="4" t="str">
        <f>IF(Balancete_Oficial[[#Headers],[Janeiro]]='Balancete MLN_WebPosto'!$G$2,
SUMIFS('Balancete MLN_WebPosto'!$J:$J,'Balancete MLN_WebPosto'!$C:$C,$A273,'Balancete MLN_WebPosto'!$B:$B,$B$2),
  "0"
)</f>
        <v>0</v>
      </c>
      <c r="K273" s="4" t="str">
        <f>IF(Balancete_Oficial[[#Headers],[Fevereiro]]='Balancete MLN_WebPosto'!$G$2,
SUMIFS('Balancete MLN_WebPosto'!$J:$J,'Balancete MLN_WebPosto'!$C:$C,$A273,'Balancete MLN_WebPosto'!$B:$B,$B$2),
  "0"
)</f>
        <v>0</v>
      </c>
      <c r="L273" s="4" t="str">
        <f>IF(Balancete_Oficial[[#Headers],[Março]]='Balancete MLN_WebPosto'!$G$2,
SUMIFS('Balancete MLN_WebPosto'!$J:$J,'Balancete MLN_WebPosto'!$C:$C,$A273,'Balancete MLN_WebPosto'!$B:$B,$B$2),
  "0"
)</f>
        <v>0</v>
      </c>
      <c r="M273" s="4" t="str">
        <f>IF(Balancete_Oficial[[#Headers],[Abril]]='Balancete MLN_WebPosto'!$G$2,
SUMIFS('Balancete MLN_WebPosto'!$J:$J,'Balancete MLN_WebPosto'!$C:$C,$A273,'Balancete MLN_WebPosto'!$B:$B,$B$2),
  "0"
)</f>
        <v>0</v>
      </c>
      <c r="N273" s="4" t="str">
        <f>IF(Balancete_Oficial[[#Headers],[Maio]]='Balancete MLN_WebPosto'!$G$2,
SUMIFS('Balancete MLN_WebPosto'!$I:$I,'Balancete MLN_WebPosto'!$C:$C,$A273,'Balancete MLN_WebPosto'!$B:$B,$B$2),
  "0"
)</f>
        <v>0</v>
      </c>
      <c r="O273" s="4" t="str">
        <f>IF(Balancete_Oficial[[#Headers],[Junho]]='Balancete MLN_WebPosto'!$G$2,
SUMIFS('Balancete MLN_WebPosto'!$I:$I,'Balancete MLN_WebPosto'!$C:$C,$A273,'Balancete MLN_WebPosto'!$B:$B,$B$2),
  "0"
)</f>
        <v>0</v>
      </c>
      <c r="P273" s="4" t="str">
        <f>IF(Balancete_Oficial[[#Headers],[Julho]]='Balancete MLN_WebPosto'!$G$2,
SUMIFS('Balancete MLN_WebPosto'!$I:$I,'Balancete MLN_WebPosto'!$C:$C,$A273,'Balancete MLN_WebPosto'!$B:$B,$B$2),
  "0"
)</f>
        <v>0</v>
      </c>
      <c r="Q273" s="4" t="str">
        <f>IF(Balancete_Oficial[[#Headers],[Agosto]]='Balancete MLN_WebPosto'!$G$2,
SUMIFS('Balancete MLN_WebPosto'!$I:$I,'Balancete MLN_WebPosto'!$C:$C,$A273,'Balancete MLN_WebPosto'!$B:$B,$B$2),
  "0"
)</f>
        <v>0</v>
      </c>
      <c r="R273" s="4">
        <f>IF(Balancete_Oficial[[#Headers],[Setembro]]='Balancete MLN_WebPosto'!$G$2,
SUMIFS('Balancete MLN_WebPosto'!$I:$I,'Balancete MLN_WebPosto'!$C:$C,$A273,'Balancete MLN_WebPosto'!$B:$B,$B$2),
  "0"
)</f>
        <v>0</v>
      </c>
      <c r="S273" s="4" t="str">
        <f>IF(Balancete_Oficial[[#Headers],[Outubro]]='Balancete MLN_WebPosto'!$G$2,
SUMIFS('Balancete MLN_WebPosto'!$I:$I,'Balancete MLN_WebPosto'!$C:$C,$A273,'Balancete MLN_WebPosto'!$B:$B,$B$2),
  "0"
)</f>
        <v>0</v>
      </c>
      <c r="T273" s="4" t="str">
        <f>IF(Balancete_Oficial[[#Headers],[Novembro]]='Balancete MLN_WebPosto'!$G$2,
SUMIFS('Balancete MLN_WebPosto'!$I:$I,'Balancete MLN_WebPosto'!$C:$C,$A273,'Balancete MLN_WebPosto'!$B:$B,$B$2),
  "0"
)</f>
        <v>0</v>
      </c>
      <c r="U273" s="4" t="str">
        <f>IF(Balancete_Oficial[[#Headers],[Dezembro]]='Balancete MLN_WebPosto'!$G$2,
SUMIFS('Balancete MLN_WebPosto'!$I:$I,'Balancete MLN_WebPosto'!$C:$C,$A273,'Balancete MLN_WebPosto'!$B:$B,$B$2),
  "0"
)</f>
        <v>0</v>
      </c>
    </row>
    <row r="274" spans="1:21" x14ac:dyDescent="0.25">
      <c r="A274" s="2" t="str">
        <f>IF(Dados!H271="","",Dados!H271)</f>
        <v/>
      </c>
      <c r="B274" s="2" t="e">
        <f>VLOOKUP(Balancete_Oficial[[#This Row],[Conta]],'Balancete MLN_WebPosto'!C:E,3,0)</f>
        <v>#N/A</v>
      </c>
      <c r="C274" s="3" t="str">
        <f t="shared" si="15"/>
        <v>Sintética</v>
      </c>
      <c r="D274" s="6" t="str">
        <f t="shared" si="16"/>
        <v>R</v>
      </c>
      <c r="E274" s="6" t="str">
        <f t="shared" si="17"/>
        <v/>
      </c>
      <c r="F274" s="6"/>
      <c r="G274" s="6"/>
      <c r="H274" s="6"/>
      <c r="I274" s="6"/>
      <c r="J274" s="4" t="str">
        <f>IF(Balancete_Oficial[[#Headers],[Janeiro]]='Balancete MLN_WebPosto'!$G$2,
SUMIFS('Balancete MLN_WebPosto'!$J:$J,'Balancete MLN_WebPosto'!$C:$C,$A274,'Balancete MLN_WebPosto'!$B:$B,$B$2),
  "0"
)</f>
        <v>0</v>
      </c>
      <c r="K274" s="4" t="str">
        <f>IF(Balancete_Oficial[[#Headers],[Fevereiro]]='Balancete MLN_WebPosto'!$G$2,
SUMIFS('Balancete MLN_WebPosto'!$J:$J,'Balancete MLN_WebPosto'!$C:$C,$A274,'Balancete MLN_WebPosto'!$B:$B,$B$2),
  "0"
)</f>
        <v>0</v>
      </c>
      <c r="L274" s="4" t="str">
        <f>IF(Balancete_Oficial[[#Headers],[Março]]='Balancete MLN_WebPosto'!$G$2,
SUMIFS('Balancete MLN_WebPosto'!$J:$J,'Balancete MLN_WebPosto'!$C:$C,$A274,'Balancete MLN_WebPosto'!$B:$B,$B$2),
  "0"
)</f>
        <v>0</v>
      </c>
      <c r="M274" s="4" t="str">
        <f>IF(Balancete_Oficial[[#Headers],[Abril]]='Balancete MLN_WebPosto'!$G$2,
SUMIFS('Balancete MLN_WebPosto'!$J:$J,'Balancete MLN_WebPosto'!$C:$C,$A274,'Balancete MLN_WebPosto'!$B:$B,$B$2),
  "0"
)</f>
        <v>0</v>
      </c>
      <c r="N274" s="4" t="str">
        <f>IF(Balancete_Oficial[[#Headers],[Maio]]='Balancete MLN_WebPosto'!$G$2,
SUMIFS('Balancete MLN_WebPosto'!$I:$I,'Balancete MLN_WebPosto'!$C:$C,$A274,'Balancete MLN_WebPosto'!$B:$B,$B$2),
  "0"
)</f>
        <v>0</v>
      </c>
      <c r="O274" s="4" t="str">
        <f>IF(Balancete_Oficial[[#Headers],[Junho]]='Balancete MLN_WebPosto'!$G$2,
SUMIFS('Balancete MLN_WebPosto'!$I:$I,'Balancete MLN_WebPosto'!$C:$C,$A274,'Balancete MLN_WebPosto'!$B:$B,$B$2),
  "0"
)</f>
        <v>0</v>
      </c>
      <c r="P274" s="4" t="str">
        <f>IF(Balancete_Oficial[[#Headers],[Julho]]='Balancete MLN_WebPosto'!$G$2,
SUMIFS('Balancete MLN_WebPosto'!$I:$I,'Balancete MLN_WebPosto'!$C:$C,$A274,'Balancete MLN_WebPosto'!$B:$B,$B$2),
  "0"
)</f>
        <v>0</v>
      </c>
      <c r="Q274" s="4" t="str">
        <f>IF(Balancete_Oficial[[#Headers],[Agosto]]='Balancete MLN_WebPosto'!$G$2,
SUMIFS('Balancete MLN_WebPosto'!$I:$I,'Balancete MLN_WebPosto'!$C:$C,$A274,'Balancete MLN_WebPosto'!$B:$B,$B$2),
  "0"
)</f>
        <v>0</v>
      </c>
      <c r="R274" s="4">
        <f>IF(Balancete_Oficial[[#Headers],[Setembro]]='Balancete MLN_WebPosto'!$G$2,
SUMIFS('Balancete MLN_WebPosto'!$I:$I,'Balancete MLN_WebPosto'!$C:$C,$A274,'Balancete MLN_WebPosto'!$B:$B,$B$2),
  "0"
)</f>
        <v>0</v>
      </c>
      <c r="S274" s="4" t="str">
        <f>IF(Balancete_Oficial[[#Headers],[Outubro]]='Balancete MLN_WebPosto'!$G$2,
SUMIFS('Balancete MLN_WebPosto'!$I:$I,'Balancete MLN_WebPosto'!$C:$C,$A274,'Balancete MLN_WebPosto'!$B:$B,$B$2),
  "0"
)</f>
        <v>0</v>
      </c>
      <c r="T274" s="4" t="str">
        <f>IF(Balancete_Oficial[[#Headers],[Novembro]]='Balancete MLN_WebPosto'!$G$2,
SUMIFS('Balancete MLN_WebPosto'!$I:$I,'Balancete MLN_WebPosto'!$C:$C,$A274,'Balancete MLN_WebPosto'!$B:$B,$B$2),
  "0"
)</f>
        <v>0</v>
      </c>
      <c r="U274" s="4" t="str">
        <f>IF(Balancete_Oficial[[#Headers],[Dezembro]]='Balancete MLN_WebPosto'!$G$2,
SUMIFS('Balancete MLN_WebPosto'!$I:$I,'Balancete MLN_WebPosto'!$C:$C,$A274,'Balancete MLN_WebPosto'!$B:$B,$B$2),
  "0"
)</f>
        <v>0</v>
      </c>
    </row>
    <row r="275" spans="1:21" x14ac:dyDescent="0.25">
      <c r="A275" s="2" t="str">
        <f>IF(Dados!H272="","",Dados!H272)</f>
        <v/>
      </c>
      <c r="B275" s="2" t="e">
        <f>VLOOKUP(Balancete_Oficial[[#This Row],[Conta]],'Balancete MLN_WebPosto'!C:E,3,0)</f>
        <v>#N/A</v>
      </c>
      <c r="C275" s="3" t="str">
        <f t="shared" si="15"/>
        <v>Sintética</v>
      </c>
      <c r="D275" s="6" t="str">
        <f t="shared" si="16"/>
        <v>R</v>
      </c>
      <c r="E275" s="6" t="str">
        <f t="shared" si="17"/>
        <v/>
      </c>
      <c r="F275" s="6"/>
      <c r="G275" s="6"/>
      <c r="H275" s="6"/>
      <c r="I275" s="6"/>
      <c r="J275" s="4" t="str">
        <f>IF(Balancete_Oficial[[#Headers],[Janeiro]]='Balancete MLN_WebPosto'!$G$2,
SUMIFS('Balancete MLN_WebPosto'!$J:$J,'Balancete MLN_WebPosto'!$C:$C,$A275,'Balancete MLN_WebPosto'!$B:$B,$B$2),
  "0"
)</f>
        <v>0</v>
      </c>
      <c r="K275" s="4" t="str">
        <f>IF(Balancete_Oficial[[#Headers],[Fevereiro]]='Balancete MLN_WebPosto'!$G$2,
SUMIFS('Balancete MLN_WebPosto'!$J:$J,'Balancete MLN_WebPosto'!$C:$C,$A275,'Balancete MLN_WebPosto'!$B:$B,$B$2),
  "0"
)</f>
        <v>0</v>
      </c>
      <c r="L275" s="4" t="str">
        <f>IF(Balancete_Oficial[[#Headers],[Março]]='Balancete MLN_WebPosto'!$G$2,
SUMIFS('Balancete MLN_WebPosto'!$J:$J,'Balancete MLN_WebPosto'!$C:$C,$A275,'Balancete MLN_WebPosto'!$B:$B,$B$2),
  "0"
)</f>
        <v>0</v>
      </c>
      <c r="M275" s="4" t="str">
        <f>IF(Balancete_Oficial[[#Headers],[Abril]]='Balancete MLN_WebPosto'!$G$2,
SUMIFS('Balancete MLN_WebPosto'!$J:$J,'Balancete MLN_WebPosto'!$C:$C,$A275,'Balancete MLN_WebPosto'!$B:$B,$B$2),
  "0"
)</f>
        <v>0</v>
      </c>
      <c r="N275" s="4" t="str">
        <f>IF(Balancete_Oficial[[#Headers],[Maio]]='Balancete MLN_WebPosto'!$G$2,
SUMIFS('Balancete MLN_WebPosto'!$I:$I,'Balancete MLN_WebPosto'!$C:$C,$A275,'Balancete MLN_WebPosto'!$B:$B,$B$2),
  "0"
)</f>
        <v>0</v>
      </c>
      <c r="O275" s="4" t="str">
        <f>IF(Balancete_Oficial[[#Headers],[Junho]]='Balancete MLN_WebPosto'!$G$2,
SUMIFS('Balancete MLN_WebPosto'!$I:$I,'Balancete MLN_WebPosto'!$C:$C,$A275,'Balancete MLN_WebPosto'!$B:$B,$B$2),
  "0"
)</f>
        <v>0</v>
      </c>
      <c r="P275" s="4" t="str">
        <f>IF(Balancete_Oficial[[#Headers],[Julho]]='Balancete MLN_WebPosto'!$G$2,
SUMIFS('Balancete MLN_WebPosto'!$I:$I,'Balancete MLN_WebPosto'!$C:$C,$A275,'Balancete MLN_WebPosto'!$B:$B,$B$2),
  "0"
)</f>
        <v>0</v>
      </c>
      <c r="Q275" s="4" t="str">
        <f>IF(Balancete_Oficial[[#Headers],[Agosto]]='Balancete MLN_WebPosto'!$G$2,
SUMIFS('Balancete MLN_WebPosto'!$I:$I,'Balancete MLN_WebPosto'!$C:$C,$A275,'Balancete MLN_WebPosto'!$B:$B,$B$2),
  "0"
)</f>
        <v>0</v>
      </c>
      <c r="R275" s="4">
        <f>IF(Balancete_Oficial[[#Headers],[Setembro]]='Balancete MLN_WebPosto'!$G$2,
SUMIFS('Balancete MLN_WebPosto'!$I:$I,'Balancete MLN_WebPosto'!$C:$C,$A275,'Balancete MLN_WebPosto'!$B:$B,$B$2),
  "0"
)</f>
        <v>0</v>
      </c>
      <c r="S275" s="4" t="str">
        <f>IF(Balancete_Oficial[[#Headers],[Outubro]]='Balancete MLN_WebPosto'!$G$2,
SUMIFS('Balancete MLN_WebPosto'!$I:$I,'Balancete MLN_WebPosto'!$C:$C,$A275,'Balancete MLN_WebPosto'!$B:$B,$B$2),
  "0"
)</f>
        <v>0</v>
      </c>
      <c r="T275" s="4" t="str">
        <f>IF(Balancete_Oficial[[#Headers],[Novembro]]='Balancete MLN_WebPosto'!$G$2,
SUMIFS('Balancete MLN_WebPosto'!$I:$I,'Balancete MLN_WebPosto'!$C:$C,$A275,'Balancete MLN_WebPosto'!$B:$B,$B$2),
  "0"
)</f>
        <v>0</v>
      </c>
      <c r="U275" s="4" t="str">
        <f>IF(Balancete_Oficial[[#Headers],[Dezembro]]='Balancete MLN_WebPosto'!$G$2,
SUMIFS('Balancete MLN_WebPosto'!$I:$I,'Balancete MLN_WebPosto'!$C:$C,$A275,'Balancete MLN_WebPosto'!$B:$B,$B$2),
  "0"
)</f>
        <v>0</v>
      </c>
    </row>
    <row r="276" spans="1:21" x14ac:dyDescent="0.25">
      <c r="A276" s="2" t="str">
        <f>IF(Dados!H273="","",Dados!H273)</f>
        <v/>
      </c>
      <c r="B276" s="2" t="e">
        <f>VLOOKUP(Balancete_Oficial[[#This Row],[Conta]],'Balancete MLN_WebPosto'!C:E,3,0)</f>
        <v>#N/A</v>
      </c>
      <c r="C276" s="3" t="str">
        <f t="shared" si="15"/>
        <v>Sintética</v>
      </c>
      <c r="D276" s="6" t="str">
        <f t="shared" si="16"/>
        <v>R</v>
      </c>
      <c r="E276" s="6" t="str">
        <f t="shared" si="17"/>
        <v/>
      </c>
      <c r="F276" s="6"/>
      <c r="G276" s="6"/>
      <c r="H276" s="6"/>
      <c r="I276" s="6"/>
      <c r="J276" s="4" t="str">
        <f>IF(Balancete_Oficial[[#Headers],[Janeiro]]='Balancete MLN_WebPosto'!$G$2,
SUMIFS('Balancete MLN_WebPosto'!$J:$J,'Balancete MLN_WebPosto'!$C:$C,$A276,'Balancete MLN_WebPosto'!$B:$B,$B$2),
  "0"
)</f>
        <v>0</v>
      </c>
      <c r="K276" s="4" t="str">
        <f>IF(Balancete_Oficial[[#Headers],[Fevereiro]]='Balancete MLN_WebPosto'!$G$2,
SUMIFS('Balancete MLN_WebPosto'!$J:$J,'Balancete MLN_WebPosto'!$C:$C,$A276,'Balancete MLN_WebPosto'!$B:$B,$B$2),
  "0"
)</f>
        <v>0</v>
      </c>
      <c r="L276" s="4" t="str">
        <f>IF(Balancete_Oficial[[#Headers],[Março]]='Balancete MLN_WebPosto'!$G$2,
SUMIFS('Balancete MLN_WebPosto'!$J:$J,'Balancete MLN_WebPosto'!$C:$C,$A276,'Balancete MLN_WebPosto'!$B:$B,$B$2),
  "0"
)</f>
        <v>0</v>
      </c>
      <c r="M276" s="4" t="str">
        <f>IF(Balancete_Oficial[[#Headers],[Abril]]='Balancete MLN_WebPosto'!$G$2,
SUMIFS('Balancete MLN_WebPosto'!$J:$J,'Balancete MLN_WebPosto'!$C:$C,$A276,'Balancete MLN_WebPosto'!$B:$B,$B$2),
  "0"
)</f>
        <v>0</v>
      </c>
      <c r="N276" s="4" t="str">
        <f>IF(Balancete_Oficial[[#Headers],[Maio]]='Balancete MLN_WebPosto'!$G$2,
SUMIFS('Balancete MLN_WebPosto'!$I:$I,'Balancete MLN_WebPosto'!$C:$C,$A276,'Balancete MLN_WebPosto'!$B:$B,$B$2),
  "0"
)</f>
        <v>0</v>
      </c>
      <c r="O276" s="4" t="str">
        <f>IF(Balancete_Oficial[[#Headers],[Junho]]='Balancete MLN_WebPosto'!$G$2,
SUMIFS('Balancete MLN_WebPosto'!$I:$I,'Balancete MLN_WebPosto'!$C:$C,$A276,'Balancete MLN_WebPosto'!$B:$B,$B$2),
  "0"
)</f>
        <v>0</v>
      </c>
      <c r="P276" s="4" t="str">
        <f>IF(Balancete_Oficial[[#Headers],[Julho]]='Balancete MLN_WebPosto'!$G$2,
SUMIFS('Balancete MLN_WebPosto'!$I:$I,'Balancete MLN_WebPosto'!$C:$C,$A276,'Balancete MLN_WebPosto'!$B:$B,$B$2),
  "0"
)</f>
        <v>0</v>
      </c>
      <c r="Q276" s="4" t="str">
        <f>IF(Balancete_Oficial[[#Headers],[Agosto]]='Balancete MLN_WebPosto'!$G$2,
SUMIFS('Balancete MLN_WebPosto'!$I:$I,'Balancete MLN_WebPosto'!$C:$C,$A276,'Balancete MLN_WebPosto'!$B:$B,$B$2),
  "0"
)</f>
        <v>0</v>
      </c>
      <c r="R276" s="4">
        <f>IF(Balancete_Oficial[[#Headers],[Setembro]]='Balancete MLN_WebPosto'!$G$2,
SUMIFS('Balancete MLN_WebPosto'!$I:$I,'Balancete MLN_WebPosto'!$C:$C,$A276,'Balancete MLN_WebPosto'!$B:$B,$B$2),
  "0"
)</f>
        <v>0</v>
      </c>
      <c r="S276" s="4" t="str">
        <f>IF(Balancete_Oficial[[#Headers],[Outubro]]='Balancete MLN_WebPosto'!$G$2,
SUMIFS('Balancete MLN_WebPosto'!$I:$I,'Balancete MLN_WebPosto'!$C:$C,$A276,'Balancete MLN_WebPosto'!$B:$B,$B$2),
  "0"
)</f>
        <v>0</v>
      </c>
      <c r="T276" s="4" t="str">
        <f>IF(Balancete_Oficial[[#Headers],[Novembro]]='Balancete MLN_WebPosto'!$G$2,
SUMIFS('Balancete MLN_WebPosto'!$I:$I,'Balancete MLN_WebPosto'!$C:$C,$A276,'Balancete MLN_WebPosto'!$B:$B,$B$2),
  "0"
)</f>
        <v>0</v>
      </c>
      <c r="U276" s="4" t="str">
        <f>IF(Balancete_Oficial[[#Headers],[Dezembro]]='Balancete MLN_WebPosto'!$G$2,
SUMIFS('Balancete MLN_WebPosto'!$I:$I,'Balancete MLN_WebPosto'!$C:$C,$A276,'Balancete MLN_WebPosto'!$B:$B,$B$2),
  "0"
)</f>
        <v>0</v>
      </c>
    </row>
    <row r="277" spans="1:21" x14ac:dyDescent="0.25">
      <c r="A277" s="2" t="str">
        <f>IF(Dados!H274="","",Dados!H274)</f>
        <v/>
      </c>
      <c r="B277" s="2" t="e">
        <f>VLOOKUP(Balancete_Oficial[[#This Row],[Conta]],'Balancete MLN_WebPosto'!C:E,3,0)</f>
        <v>#N/A</v>
      </c>
      <c r="C277" s="3" t="str">
        <f t="shared" si="15"/>
        <v>Sintética</v>
      </c>
      <c r="D277" s="6" t="str">
        <f t="shared" si="16"/>
        <v>R</v>
      </c>
      <c r="E277" s="6" t="str">
        <f t="shared" si="17"/>
        <v/>
      </c>
      <c r="F277" s="6"/>
      <c r="G277" s="6"/>
      <c r="H277" s="6"/>
      <c r="I277" s="6"/>
      <c r="J277" s="4" t="str">
        <f>IF(Balancete_Oficial[[#Headers],[Janeiro]]='Balancete MLN_WebPosto'!$G$2,
SUMIFS('Balancete MLN_WebPosto'!$J:$J,'Balancete MLN_WebPosto'!$C:$C,$A277,'Balancete MLN_WebPosto'!$B:$B,$B$2),
  "0"
)</f>
        <v>0</v>
      </c>
      <c r="K277" s="4" t="str">
        <f>IF(Balancete_Oficial[[#Headers],[Fevereiro]]='Balancete MLN_WebPosto'!$G$2,
SUMIFS('Balancete MLN_WebPosto'!$J:$J,'Balancete MLN_WebPosto'!$C:$C,$A277,'Balancete MLN_WebPosto'!$B:$B,$B$2),
  "0"
)</f>
        <v>0</v>
      </c>
      <c r="L277" s="4" t="str">
        <f>IF(Balancete_Oficial[[#Headers],[Março]]='Balancete MLN_WebPosto'!$G$2,
SUMIFS('Balancete MLN_WebPosto'!$J:$J,'Balancete MLN_WebPosto'!$C:$C,$A277,'Balancete MLN_WebPosto'!$B:$B,$B$2),
  "0"
)</f>
        <v>0</v>
      </c>
      <c r="M277" s="4" t="str">
        <f>IF(Balancete_Oficial[[#Headers],[Abril]]='Balancete MLN_WebPosto'!$G$2,
SUMIFS('Balancete MLN_WebPosto'!$J:$J,'Balancete MLN_WebPosto'!$C:$C,$A277,'Balancete MLN_WebPosto'!$B:$B,$B$2),
  "0"
)</f>
        <v>0</v>
      </c>
      <c r="N277" s="4" t="str">
        <f>IF(Balancete_Oficial[[#Headers],[Maio]]='Balancete MLN_WebPosto'!$G$2,
SUMIFS('Balancete MLN_WebPosto'!$I:$I,'Balancete MLN_WebPosto'!$C:$C,$A277,'Balancete MLN_WebPosto'!$B:$B,$B$2),
  "0"
)</f>
        <v>0</v>
      </c>
      <c r="O277" s="4" t="str">
        <f>IF(Balancete_Oficial[[#Headers],[Junho]]='Balancete MLN_WebPosto'!$G$2,
SUMIFS('Balancete MLN_WebPosto'!$I:$I,'Balancete MLN_WebPosto'!$C:$C,$A277,'Balancete MLN_WebPosto'!$B:$B,$B$2),
  "0"
)</f>
        <v>0</v>
      </c>
      <c r="P277" s="4" t="str">
        <f>IF(Balancete_Oficial[[#Headers],[Julho]]='Balancete MLN_WebPosto'!$G$2,
SUMIFS('Balancete MLN_WebPosto'!$I:$I,'Balancete MLN_WebPosto'!$C:$C,$A277,'Balancete MLN_WebPosto'!$B:$B,$B$2),
  "0"
)</f>
        <v>0</v>
      </c>
      <c r="Q277" s="4" t="str">
        <f>IF(Balancete_Oficial[[#Headers],[Agosto]]='Balancete MLN_WebPosto'!$G$2,
SUMIFS('Balancete MLN_WebPosto'!$I:$I,'Balancete MLN_WebPosto'!$C:$C,$A277,'Balancete MLN_WebPosto'!$B:$B,$B$2),
  "0"
)</f>
        <v>0</v>
      </c>
      <c r="R277" s="4">
        <f>IF(Balancete_Oficial[[#Headers],[Setembro]]='Balancete MLN_WebPosto'!$G$2,
SUMIFS('Balancete MLN_WebPosto'!$I:$I,'Balancete MLN_WebPosto'!$C:$C,$A277,'Balancete MLN_WebPosto'!$B:$B,$B$2),
  "0"
)</f>
        <v>0</v>
      </c>
      <c r="S277" s="4" t="str">
        <f>IF(Balancete_Oficial[[#Headers],[Outubro]]='Balancete MLN_WebPosto'!$G$2,
SUMIFS('Balancete MLN_WebPosto'!$I:$I,'Balancete MLN_WebPosto'!$C:$C,$A277,'Balancete MLN_WebPosto'!$B:$B,$B$2),
  "0"
)</f>
        <v>0</v>
      </c>
      <c r="T277" s="4" t="str">
        <f>IF(Balancete_Oficial[[#Headers],[Novembro]]='Balancete MLN_WebPosto'!$G$2,
SUMIFS('Balancete MLN_WebPosto'!$I:$I,'Balancete MLN_WebPosto'!$C:$C,$A277,'Balancete MLN_WebPosto'!$B:$B,$B$2),
  "0"
)</f>
        <v>0</v>
      </c>
      <c r="U277" s="4" t="str">
        <f>IF(Balancete_Oficial[[#Headers],[Dezembro]]='Balancete MLN_WebPosto'!$G$2,
SUMIFS('Balancete MLN_WebPosto'!$I:$I,'Balancete MLN_WebPosto'!$C:$C,$A277,'Balancete MLN_WebPosto'!$B:$B,$B$2),
  "0"
)</f>
        <v>0</v>
      </c>
    </row>
    <row r="278" spans="1:21" x14ac:dyDescent="0.25">
      <c r="A278" s="2" t="str">
        <f>IF(Dados!H275="","",Dados!H275)</f>
        <v/>
      </c>
      <c r="B278" s="2" t="e">
        <f>VLOOKUP(Balancete_Oficial[[#This Row],[Conta]],'Balancete MLN_WebPosto'!C:E,3,0)</f>
        <v>#N/A</v>
      </c>
      <c r="C278" s="3" t="str">
        <f t="shared" ref="C278:C280" si="18">IF(LEN(A278)=17,"Analítica","Sintética")</f>
        <v>Sintética</v>
      </c>
      <c r="D278" s="6" t="str">
        <f t="shared" ref="D278:D280" si="19">IF(LEFT(A278,1)="1","A",IF(LEFT(A278,1)="2","P","R"))</f>
        <v>R</v>
      </c>
      <c r="E278" s="6" t="str">
        <f t="shared" ref="E278:E280" si="20">LEFT(A278,1)</f>
        <v/>
      </c>
      <c r="F278" s="6"/>
      <c r="G278" s="6"/>
      <c r="H278" s="6"/>
      <c r="I278" s="6"/>
      <c r="J278" s="4" t="str">
        <f>IF(Balancete_Oficial[[#Headers],[Janeiro]]='Balancete MLN_WebPosto'!$G$2,
SUMIFS('Balancete MLN_WebPosto'!$J:$J,'Balancete MLN_WebPosto'!$C:$C,$A278,'Balancete MLN_WebPosto'!$B:$B,$B$2),
  "0"
)</f>
        <v>0</v>
      </c>
      <c r="K278" s="4" t="str">
        <f>IF(Balancete_Oficial[[#Headers],[Fevereiro]]='Balancete MLN_WebPosto'!$G$2,
SUMIFS('Balancete MLN_WebPosto'!$J:$J,'Balancete MLN_WebPosto'!$C:$C,$A278,'Balancete MLN_WebPosto'!$B:$B,$B$2),
  "0"
)</f>
        <v>0</v>
      </c>
      <c r="L278" s="4" t="str">
        <f>IF(Balancete_Oficial[[#Headers],[Março]]='Balancete MLN_WebPosto'!$G$2,
SUMIFS('Balancete MLN_WebPosto'!$J:$J,'Balancete MLN_WebPosto'!$C:$C,$A278,'Balancete MLN_WebPosto'!$B:$B,$B$2),
  "0"
)</f>
        <v>0</v>
      </c>
      <c r="M278" s="4" t="str">
        <f>IF(Balancete_Oficial[[#Headers],[Abril]]='Balancete MLN_WebPosto'!$G$2,
SUMIFS('Balancete MLN_WebPosto'!$J:$J,'Balancete MLN_WebPosto'!$C:$C,$A278,'Balancete MLN_WebPosto'!$B:$B,$B$2),
  "0"
)</f>
        <v>0</v>
      </c>
      <c r="N278" s="4" t="str">
        <f>IF(Balancete_Oficial[[#Headers],[Maio]]='Balancete MLN_WebPosto'!$G$2,
SUMIFS('Balancete MLN_WebPosto'!$I:$I,'Balancete MLN_WebPosto'!$C:$C,$A278,'Balancete MLN_WebPosto'!$B:$B,$B$2),
  "0"
)</f>
        <v>0</v>
      </c>
      <c r="O278" s="4" t="str">
        <f>IF(Balancete_Oficial[[#Headers],[Junho]]='Balancete MLN_WebPosto'!$G$2,
SUMIFS('Balancete MLN_WebPosto'!$I:$I,'Balancete MLN_WebPosto'!$C:$C,$A278,'Balancete MLN_WebPosto'!$B:$B,$B$2),
  "0"
)</f>
        <v>0</v>
      </c>
      <c r="P278" s="4" t="str">
        <f>IF(Balancete_Oficial[[#Headers],[Julho]]='Balancete MLN_WebPosto'!$G$2,
SUMIFS('Balancete MLN_WebPosto'!$I:$I,'Balancete MLN_WebPosto'!$C:$C,$A278,'Balancete MLN_WebPosto'!$B:$B,$B$2),
  "0"
)</f>
        <v>0</v>
      </c>
      <c r="Q278" s="4" t="str">
        <f>IF(Balancete_Oficial[[#Headers],[Agosto]]='Balancete MLN_WebPosto'!$G$2,
SUMIFS('Balancete MLN_WebPosto'!$I:$I,'Balancete MLN_WebPosto'!$C:$C,$A278,'Balancete MLN_WebPosto'!$B:$B,$B$2),
  "0"
)</f>
        <v>0</v>
      </c>
      <c r="R278" s="4">
        <f>IF(Balancete_Oficial[[#Headers],[Setembro]]='Balancete MLN_WebPosto'!$G$2,
SUMIFS('Balancete MLN_WebPosto'!$I:$I,'Balancete MLN_WebPosto'!$C:$C,$A278,'Balancete MLN_WebPosto'!$B:$B,$B$2),
  "0"
)</f>
        <v>0</v>
      </c>
      <c r="S278" s="4" t="str">
        <f>IF(Balancete_Oficial[[#Headers],[Outubro]]='Balancete MLN_WebPosto'!$G$2,
SUMIFS('Balancete MLN_WebPosto'!$I:$I,'Balancete MLN_WebPosto'!$C:$C,$A278,'Balancete MLN_WebPosto'!$B:$B,$B$2),
  "0"
)</f>
        <v>0</v>
      </c>
      <c r="T278" s="4" t="str">
        <f>IF(Balancete_Oficial[[#Headers],[Novembro]]='Balancete MLN_WebPosto'!$G$2,
SUMIFS('Balancete MLN_WebPosto'!$I:$I,'Balancete MLN_WebPosto'!$C:$C,$A278,'Balancete MLN_WebPosto'!$B:$B,$B$2),
  "0"
)</f>
        <v>0</v>
      </c>
      <c r="U278" s="4" t="str">
        <f>IF(Balancete_Oficial[[#Headers],[Dezembro]]='Balancete MLN_WebPosto'!$G$2,
SUMIFS('Balancete MLN_WebPosto'!$I:$I,'Balancete MLN_WebPosto'!$C:$C,$A278,'Balancete MLN_WebPosto'!$B:$B,$B$2),
  "0"
)</f>
        <v>0</v>
      </c>
    </row>
    <row r="279" spans="1:21" x14ac:dyDescent="0.25">
      <c r="A279" s="2" t="str">
        <f>IF(Dados!H276="","",Dados!H276)</f>
        <v/>
      </c>
      <c r="B279" s="2" t="e">
        <f>VLOOKUP(Balancete_Oficial[[#This Row],[Conta]],'Balancete MLN_WebPosto'!C:E,3,0)</f>
        <v>#N/A</v>
      </c>
      <c r="C279" s="3" t="str">
        <f t="shared" si="18"/>
        <v>Sintética</v>
      </c>
      <c r="D279" s="6" t="str">
        <f t="shared" si="19"/>
        <v>R</v>
      </c>
      <c r="E279" s="6" t="str">
        <f t="shared" si="20"/>
        <v/>
      </c>
      <c r="F279" s="6"/>
      <c r="G279" s="6"/>
      <c r="H279" s="6"/>
      <c r="I279" s="6"/>
      <c r="J279" s="4" t="str">
        <f>IF(Balancete_Oficial[[#Headers],[Janeiro]]='Balancete MLN_WebPosto'!$G$2,
SUMIFS('Balancete MLN_WebPosto'!$J:$J,'Balancete MLN_WebPosto'!$C:$C,$A279,'Balancete MLN_WebPosto'!$B:$B,$B$2),
  "0"
)</f>
        <v>0</v>
      </c>
      <c r="K279" s="4" t="str">
        <f>IF(Balancete_Oficial[[#Headers],[Fevereiro]]='Balancete MLN_WebPosto'!$G$2,
SUMIFS('Balancete MLN_WebPosto'!$J:$J,'Balancete MLN_WebPosto'!$C:$C,$A279,'Balancete MLN_WebPosto'!$B:$B,$B$2),
  "0"
)</f>
        <v>0</v>
      </c>
      <c r="L279" s="4" t="str">
        <f>IF(Balancete_Oficial[[#Headers],[Março]]='Balancete MLN_WebPosto'!$G$2,
SUMIFS('Balancete MLN_WebPosto'!$J:$J,'Balancete MLN_WebPosto'!$C:$C,$A279,'Balancete MLN_WebPosto'!$B:$B,$B$2),
  "0"
)</f>
        <v>0</v>
      </c>
      <c r="M279" s="4" t="str">
        <f>IF(Balancete_Oficial[[#Headers],[Abril]]='Balancete MLN_WebPosto'!$G$2,
SUMIFS('Balancete MLN_WebPosto'!$J:$J,'Balancete MLN_WebPosto'!$C:$C,$A279,'Balancete MLN_WebPosto'!$B:$B,$B$2),
  "0"
)</f>
        <v>0</v>
      </c>
      <c r="N279" s="4" t="str">
        <f>IF(Balancete_Oficial[[#Headers],[Maio]]='Balancete MLN_WebPosto'!$G$2,
SUMIFS('Balancete MLN_WebPosto'!$I:$I,'Balancete MLN_WebPosto'!$C:$C,$A279,'Balancete MLN_WebPosto'!$B:$B,$B$2),
  "0"
)</f>
        <v>0</v>
      </c>
      <c r="O279" s="4" t="str">
        <f>IF(Balancete_Oficial[[#Headers],[Junho]]='Balancete MLN_WebPosto'!$G$2,
SUMIFS('Balancete MLN_WebPosto'!$I:$I,'Balancete MLN_WebPosto'!$C:$C,$A279,'Balancete MLN_WebPosto'!$B:$B,$B$2),
  "0"
)</f>
        <v>0</v>
      </c>
      <c r="P279" s="4" t="str">
        <f>IF(Balancete_Oficial[[#Headers],[Julho]]='Balancete MLN_WebPosto'!$G$2,
SUMIFS('Balancete MLN_WebPosto'!$I:$I,'Balancete MLN_WebPosto'!$C:$C,$A279,'Balancete MLN_WebPosto'!$B:$B,$B$2),
  "0"
)</f>
        <v>0</v>
      </c>
      <c r="Q279" s="4" t="str">
        <f>IF(Balancete_Oficial[[#Headers],[Agosto]]='Balancete MLN_WebPosto'!$G$2,
SUMIFS('Balancete MLN_WebPosto'!$I:$I,'Balancete MLN_WebPosto'!$C:$C,$A279,'Balancete MLN_WebPosto'!$B:$B,$B$2),
  "0"
)</f>
        <v>0</v>
      </c>
      <c r="R279" s="4">
        <f>IF(Balancete_Oficial[[#Headers],[Setembro]]='Balancete MLN_WebPosto'!$G$2,
SUMIFS('Balancete MLN_WebPosto'!$I:$I,'Balancete MLN_WebPosto'!$C:$C,$A279,'Balancete MLN_WebPosto'!$B:$B,$B$2),
  "0"
)</f>
        <v>0</v>
      </c>
      <c r="S279" s="4" t="str">
        <f>IF(Balancete_Oficial[[#Headers],[Outubro]]='Balancete MLN_WebPosto'!$G$2,
SUMIFS('Balancete MLN_WebPosto'!$I:$I,'Balancete MLN_WebPosto'!$C:$C,$A279,'Balancete MLN_WebPosto'!$B:$B,$B$2),
  "0"
)</f>
        <v>0</v>
      </c>
      <c r="T279" s="4" t="str">
        <f>IF(Balancete_Oficial[[#Headers],[Novembro]]='Balancete MLN_WebPosto'!$G$2,
SUMIFS('Balancete MLN_WebPosto'!$I:$I,'Balancete MLN_WebPosto'!$C:$C,$A279,'Balancete MLN_WebPosto'!$B:$B,$B$2),
  "0"
)</f>
        <v>0</v>
      </c>
      <c r="U279" s="4" t="str">
        <f>IF(Balancete_Oficial[[#Headers],[Dezembro]]='Balancete MLN_WebPosto'!$G$2,
SUMIFS('Balancete MLN_WebPosto'!$I:$I,'Balancete MLN_WebPosto'!$C:$C,$A279,'Balancete MLN_WebPosto'!$B:$B,$B$2),
  "0"
)</f>
        <v>0</v>
      </c>
    </row>
    <row r="280" spans="1:21" x14ac:dyDescent="0.25">
      <c r="A280" s="2" t="str">
        <f>IF(Dados!H277="","",Dados!H277)</f>
        <v/>
      </c>
      <c r="B280" s="2" t="e">
        <f>VLOOKUP(Balancete_Oficial[[#This Row],[Conta]],'Balancete MLN_WebPosto'!C:E,3,0)</f>
        <v>#N/A</v>
      </c>
      <c r="C280" s="3" t="str">
        <f t="shared" si="18"/>
        <v>Sintética</v>
      </c>
      <c r="D280" s="6" t="str">
        <f t="shared" si="19"/>
        <v>R</v>
      </c>
      <c r="E280" s="6" t="str">
        <f t="shared" si="20"/>
        <v/>
      </c>
      <c r="F280" s="6"/>
      <c r="G280" s="6"/>
      <c r="H280" s="6"/>
      <c r="I280" s="6"/>
      <c r="J280" s="4" t="str">
        <f>IF(Balancete_Oficial[[#Headers],[Janeiro]]='Balancete MLN_WebPosto'!$G$2,
SUMIFS('Balancete MLN_WebPosto'!$J:$J,'Balancete MLN_WebPosto'!$C:$C,$A280,'Balancete MLN_WebPosto'!$B:$B,$B$2),
  "0"
)</f>
        <v>0</v>
      </c>
      <c r="K280" s="4" t="str">
        <f>IF(Balancete_Oficial[[#Headers],[Fevereiro]]='Balancete MLN_WebPosto'!$G$2,
SUMIFS('Balancete MLN_WebPosto'!$J:$J,'Balancete MLN_WebPosto'!$C:$C,$A280,'Balancete MLN_WebPosto'!$B:$B,$B$2),
  "0"
)</f>
        <v>0</v>
      </c>
      <c r="L280" s="4" t="str">
        <f>IF(Balancete_Oficial[[#Headers],[Março]]='Balancete MLN_WebPosto'!$G$2,
SUMIFS('Balancete MLN_WebPosto'!$J:$J,'Balancete MLN_WebPosto'!$C:$C,$A280,'Balancete MLN_WebPosto'!$B:$B,$B$2),
  "0"
)</f>
        <v>0</v>
      </c>
      <c r="M280" s="4" t="str">
        <f>IF(Balancete_Oficial[[#Headers],[Abril]]='Balancete MLN_WebPosto'!$G$2,
SUMIFS('Balancete MLN_WebPosto'!$J:$J,'Balancete MLN_WebPosto'!$C:$C,$A280,'Balancete MLN_WebPosto'!$B:$B,$B$2),
  "0"
)</f>
        <v>0</v>
      </c>
      <c r="N280" s="4" t="str">
        <f>IF(Balancete_Oficial[[#Headers],[Maio]]='Balancete MLN_WebPosto'!$G$2,
SUMIFS('Balancete MLN_WebPosto'!$I:$I,'Balancete MLN_WebPosto'!$C:$C,$A280,'Balancete MLN_WebPosto'!$B:$B,$B$2),
  "0"
)</f>
        <v>0</v>
      </c>
      <c r="O280" s="4" t="str">
        <f>IF(Balancete_Oficial[[#Headers],[Junho]]='Balancete MLN_WebPosto'!$G$2,
SUMIFS('Balancete MLN_WebPosto'!$I:$I,'Balancete MLN_WebPosto'!$C:$C,$A280,'Balancete MLN_WebPosto'!$B:$B,$B$2),
  "0"
)</f>
        <v>0</v>
      </c>
      <c r="P280" s="4" t="str">
        <f>IF(Balancete_Oficial[[#Headers],[Julho]]='Balancete MLN_WebPosto'!$G$2,
SUMIFS('Balancete MLN_WebPosto'!$I:$I,'Balancete MLN_WebPosto'!$C:$C,$A280,'Balancete MLN_WebPosto'!$B:$B,$B$2),
  "0"
)</f>
        <v>0</v>
      </c>
      <c r="Q280" s="4" t="str">
        <f>IF(Balancete_Oficial[[#Headers],[Agosto]]='Balancete MLN_WebPosto'!$G$2,
SUMIFS('Balancete MLN_WebPosto'!$I:$I,'Balancete MLN_WebPosto'!$C:$C,$A280,'Balancete MLN_WebPosto'!$B:$B,$B$2),
  "0"
)</f>
        <v>0</v>
      </c>
      <c r="R280" s="4">
        <f>IF(Balancete_Oficial[[#Headers],[Setembro]]='Balancete MLN_WebPosto'!$G$2,
SUMIFS('Balancete MLN_WebPosto'!$I:$I,'Balancete MLN_WebPosto'!$C:$C,$A280,'Balancete MLN_WebPosto'!$B:$B,$B$2),
  "0"
)</f>
        <v>0</v>
      </c>
      <c r="S280" s="4" t="str">
        <f>IF(Balancete_Oficial[[#Headers],[Outubro]]='Balancete MLN_WebPosto'!$G$2,
SUMIFS('Balancete MLN_WebPosto'!$I:$I,'Balancete MLN_WebPosto'!$C:$C,$A280,'Balancete MLN_WebPosto'!$B:$B,$B$2),
  "0"
)</f>
        <v>0</v>
      </c>
      <c r="T280" s="4" t="str">
        <f>IF(Balancete_Oficial[[#Headers],[Novembro]]='Balancete MLN_WebPosto'!$G$2,
SUMIFS('Balancete MLN_WebPosto'!$I:$I,'Balancete MLN_WebPosto'!$C:$C,$A280,'Balancete MLN_WebPosto'!$B:$B,$B$2),
  "0"
)</f>
        <v>0</v>
      </c>
      <c r="U280" s="4" t="str">
        <f>IF(Balancete_Oficial[[#Headers],[Dezembro]]='Balancete MLN_WebPosto'!$G$2,
SUMIFS('Balancete MLN_WebPosto'!$I:$I,'Balancete MLN_WebPosto'!$C:$C,$A280,'Balancete MLN_WebPosto'!$B:$B,$B$2),
  "0"
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73ACE0F-7868-4061-8A55-830827399314}">
          <x14:formula1>
            <xm:f>Dados!$D:$D</xm:f>
          </x14:formula1>
          <xm:sqref>B2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DC78742BE6DF14DB96C5C2AA0341CDB" ma:contentTypeVersion="16" ma:contentTypeDescription="Crie um novo documento." ma:contentTypeScope="" ma:versionID="c1c256ae0a65e4cc6a205fefb3fb399f">
  <xsd:schema xmlns:xsd="http://www.w3.org/2001/XMLSchema" xmlns:xs="http://www.w3.org/2001/XMLSchema" xmlns:p="http://schemas.microsoft.com/office/2006/metadata/properties" xmlns:ns2="3010e75d-2e43-4689-8843-d2711dbc5ef2" xmlns:ns3="0950136e-d504-4955-96d3-db9061d6f979" targetNamespace="http://schemas.microsoft.com/office/2006/metadata/properties" ma:root="true" ma:fieldsID="21a146ff46dce06e287de2a32bcc5bcb" ns2:_="" ns3:_="">
    <xsd:import namespace="3010e75d-2e43-4689-8843-d2711dbc5ef2"/>
    <xsd:import namespace="0950136e-d504-4955-96d3-db9061d6f9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10e75d-2e43-4689-8843-d2711dbc5e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390771b3-b1a5-4b15-b521-9e37bcc32dd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50136e-d504-4955-96d3-db9061d6f97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56f61eb4-fd73-4b3b-89b6-5f2b1ed2fa5a}" ma:internalName="TaxCatchAll" ma:showField="CatchAllData" ma:web="0950136e-d504-4955-96d3-db9061d6f9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950136e-d504-4955-96d3-db9061d6f979" xsi:nil="true"/>
    <lcf76f155ced4ddcb4097134ff3c332f xmlns="3010e75d-2e43-4689-8843-d2711dbc5ef2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F3953BA5-C2CF-434C-BE22-0151D3D8D0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9B2F7E-1B2D-43B2-8E44-B7109098F0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10e75d-2e43-4689-8843-d2711dbc5ef2"/>
    <ds:schemaRef ds:uri="0950136e-d504-4955-96d3-db9061d6f9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DF7241D-A285-40E9-BC01-5AF3C1C04FC4}">
  <ds:schemaRefs>
    <ds:schemaRef ds:uri="http://schemas.microsoft.com/office/2006/metadata/properties"/>
    <ds:schemaRef ds:uri="http://schemas.microsoft.com/office/infopath/2007/PartnerControls"/>
    <ds:schemaRef ds:uri="0950136e-d504-4955-96d3-db9061d6f979"/>
    <ds:schemaRef ds:uri="3010e75d-2e43-4689-8843-d2711dbc5ef2"/>
  </ds:schemaRefs>
</ds:datastoreItem>
</file>

<file path=customXml/itemProps4.xml><?xml version="1.0" encoding="utf-8"?>
<ds:datastoreItem xmlns:ds="http://schemas.openxmlformats.org/officeDocument/2006/customXml" ds:itemID="{05D94C15-FB74-4C3C-95E1-0DBE6383CD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Dados</vt:lpstr>
      <vt:lpstr>Diretório</vt:lpstr>
      <vt:lpstr>Balancete MLN_WebPosto</vt:lpstr>
      <vt:lpstr>Balancete Oficial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Everton Assis Silveira Pinto</dc:creator>
  <cp:lastModifiedBy>Everton Assis Silveira Pinto</cp:lastModifiedBy>
  <dcterms:created xsi:type="dcterms:W3CDTF">2025-09-26T13:57:30Z</dcterms:created>
  <dcterms:modified xsi:type="dcterms:W3CDTF">2025-10-30T14:34:10Z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e44bfa1-68f5-41a5-b69a-70cc29b74f01_Enabled">
    <vt:lpwstr>true</vt:lpwstr>
  </property>
  <property fmtid="{D5CDD505-2E9C-101B-9397-08002B2CF9AE}" pid="3" name="MSIP_Label_2e44bfa1-68f5-41a5-b69a-70cc29b74f01_SetDate">
    <vt:lpwstr>2025-09-26T14:00:27Z</vt:lpwstr>
  </property>
  <property fmtid="{D5CDD505-2E9C-101B-9397-08002B2CF9AE}" pid="4" name="MSIP_Label_2e44bfa1-68f5-41a5-b69a-70cc29b74f01_Method">
    <vt:lpwstr>Privileged</vt:lpwstr>
  </property>
  <property fmtid="{D5CDD505-2E9C-101B-9397-08002B2CF9AE}" pid="5" name="MSIP_Label_2e44bfa1-68f5-41a5-b69a-70cc29b74f01_Name">
    <vt:lpwstr>Ultrapar-Interna</vt:lpwstr>
  </property>
  <property fmtid="{D5CDD505-2E9C-101B-9397-08002B2CF9AE}" pid="6" name="MSIP_Label_2e44bfa1-68f5-41a5-b69a-70cc29b74f01_SiteId">
    <vt:lpwstr>72b5f416-8f41-4c88-a6a0-bb4b91383888</vt:lpwstr>
  </property>
  <property fmtid="{D5CDD505-2E9C-101B-9397-08002B2CF9AE}" pid="7" name="MSIP_Label_2e44bfa1-68f5-41a5-b69a-70cc29b74f01_ActionId">
    <vt:lpwstr>28c3682b-b6f7-46f2-b2fa-c282812b9d71</vt:lpwstr>
  </property>
  <property fmtid="{D5CDD505-2E9C-101B-9397-08002B2CF9AE}" pid="8" name="MSIP_Label_2e44bfa1-68f5-41a5-b69a-70cc29b74f01_ContentBits">
    <vt:lpwstr>2</vt:lpwstr>
  </property>
  <property fmtid="{D5CDD505-2E9C-101B-9397-08002B2CF9AE}" pid="9" name="MSIP_Label_2e44bfa1-68f5-41a5-b69a-70cc29b74f01_Tag">
    <vt:lpwstr>10, 0, 1, 1</vt:lpwstr>
  </property>
  <property fmtid="{D5CDD505-2E9C-101B-9397-08002B2CF9AE}" pid="10" name="ContentTypeId">
    <vt:lpwstr>0x010100CDC78742BE6DF14DB96C5C2AA0341CDB</vt:lpwstr>
  </property>
  <property fmtid="{D5CDD505-2E9C-101B-9397-08002B2CF9AE}" pid="11" name="MediaServiceImageTags">
    <vt:lpwstr/>
  </property>
</Properties>
</file>